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BE13F6D1-D85C-4975-97EA-BF9EC78C668E}" xr6:coauthVersionLast="47" xr6:coauthVersionMax="47" xr10:uidLastSave="{00000000-0000-0000-0000-000000000000}"/>
  <bookViews>
    <workbookView xWindow="-110" yWindow="-110" windowWidth="19420" windowHeight="11020" activeTab="4" xr2:uid="{129DAC48-8072-4286-BEFB-E6B4B9C9FBC3}"/>
  </bookViews>
  <sheets>
    <sheet name="Dataset" sheetId="1" r:id="rId1"/>
    <sheet name="T-Test_Role" sheetId="3" r:id="rId2"/>
    <sheet name="T-Test_Care Responsibilities" sheetId="5" r:id="rId3"/>
    <sheet name="T-Test_Gender" sheetId="4" r:id="rId4"/>
    <sheet name="Variables" sheetId="2" r:id="rId5"/>
  </sheets>
  <definedNames>
    <definedName name="_xlnm._FilterDatabase" localSheetId="0" hidden="1">Dataset!$A$1:$Y$200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3" i="1" l="1"/>
  <c r="B202" i="1"/>
  <c r="O204" i="1"/>
  <c r="O203" i="1"/>
  <c r="O20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" i="1"/>
  <c r="AB5" i="1" l="1"/>
</calcChain>
</file>

<file path=xl/sharedStrings.xml><?xml version="1.0" encoding="utf-8"?>
<sst xmlns="http://schemas.openxmlformats.org/spreadsheetml/2006/main" count="173" uniqueCount="121">
  <si>
    <t>Age</t>
  </si>
  <si>
    <t>Sex</t>
  </si>
  <si>
    <t xml:space="preserve">Role </t>
  </si>
  <si>
    <t>WFH 1</t>
  </si>
  <si>
    <t>WFH 2</t>
  </si>
  <si>
    <t>WFH 3</t>
  </si>
  <si>
    <t>WFH 4</t>
  </si>
  <si>
    <t>WFH 5</t>
  </si>
  <si>
    <t>Employee ID</t>
  </si>
  <si>
    <t>Variable</t>
  </si>
  <si>
    <t>Description</t>
  </si>
  <si>
    <t>Codes</t>
  </si>
  <si>
    <t xml:space="preserve">To protect the employee's identity, we do not use the names of our particiants, but instead give then a unique employee ID number. </t>
  </si>
  <si>
    <t>Randomly generated</t>
  </si>
  <si>
    <t>Variable #</t>
  </si>
  <si>
    <t>Type of data</t>
  </si>
  <si>
    <t>Random string</t>
  </si>
  <si>
    <t>Interval</t>
  </si>
  <si>
    <t>Age in years</t>
  </si>
  <si>
    <t>Basic demographic data, states the employees' age in full years</t>
  </si>
  <si>
    <t>Nominal</t>
  </si>
  <si>
    <t>Role</t>
  </si>
  <si>
    <t>Describes the employees role. This variable divded employees into two roles: managers and workers</t>
  </si>
  <si>
    <t>1 = managers ; 0 = workers</t>
  </si>
  <si>
    <t>Care</t>
  </si>
  <si>
    <t>Describes if the employees have care responsibilities for children and/or adults, or not.</t>
  </si>
  <si>
    <t>1 = Care responsibilites ; 0 = no care responsibilites</t>
  </si>
  <si>
    <t>Gender</t>
  </si>
  <si>
    <t>Basic demographic data, states the employees' gender</t>
  </si>
  <si>
    <t>1 = male ; 0 = female ; 3 = non binary / self describe ; 4 = prefer not to say</t>
  </si>
  <si>
    <t>WFH 6</t>
  </si>
  <si>
    <t>WFH 7</t>
  </si>
  <si>
    <t>WFH 8</t>
  </si>
  <si>
    <t>EXT 1</t>
  </si>
  <si>
    <t>EXT 2</t>
  </si>
  <si>
    <t>EXT 3</t>
  </si>
  <si>
    <t>EXT 4</t>
  </si>
  <si>
    <t>EXT 5</t>
  </si>
  <si>
    <t>EXT 6</t>
  </si>
  <si>
    <t>EXT 7</t>
  </si>
  <si>
    <t>EXT 8</t>
  </si>
  <si>
    <t>EXT 9</t>
  </si>
  <si>
    <t>EXT 10</t>
  </si>
  <si>
    <t xml:space="preserve">Extroversion </t>
  </si>
  <si>
    <t>WFH1</t>
  </si>
  <si>
    <t>WFH2</t>
  </si>
  <si>
    <t>WFH3</t>
  </si>
  <si>
    <t>WFH4</t>
  </si>
  <si>
    <t>WFH5</t>
  </si>
  <si>
    <t>WFH6</t>
  </si>
  <si>
    <t>WFH7</t>
  </si>
  <si>
    <t>WFH8</t>
  </si>
  <si>
    <t xml:space="preserve">How satisfied are you that you have all the equipment you need to work from home effectively? </t>
  </si>
  <si>
    <t>How satisfied are you with your work-life balance since working from home?</t>
  </si>
  <si>
    <t>How satisfied are you with the current Work From Home arrangement?</t>
  </si>
  <si>
    <t xml:space="preserve">How satisfied are you with your Work From Home routine? </t>
  </si>
  <si>
    <t xml:space="preserve">How satisfied are you with communication with your colleagues since the Work From Home arrangement began? </t>
  </si>
  <si>
    <t xml:space="preserve">How satisfied are you with communication with your line manager since the Work From Home arrangement began? </t>
  </si>
  <si>
    <t>Overall, I have enjoyed working from home over the last 9 months</t>
  </si>
  <si>
    <t xml:space="preserve">I would like to continue to work from home for at least part of the week in the future. </t>
  </si>
  <si>
    <t xml:space="preserve">Ordinal </t>
  </si>
  <si>
    <t>Demographic</t>
  </si>
  <si>
    <t>Work From Home</t>
  </si>
  <si>
    <t>I am sociable</t>
  </si>
  <si>
    <t xml:space="preserve">I am talkative </t>
  </si>
  <si>
    <t>I am impulsive</t>
  </si>
  <si>
    <t>I am outgoing</t>
  </si>
  <si>
    <t xml:space="preserve">I find it easy to approach others </t>
  </si>
  <si>
    <t>I like being the centre of attention</t>
  </si>
  <si>
    <t>I am easy to get to know</t>
  </si>
  <si>
    <t>I look forward to activities where I can socialise with others</t>
  </si>
  <si>
    <t>I am the life of the party</t>
  </si>
  <si>
    <t>I am skilled at handling social situations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</si>
  <si>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</si>
  <si>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</si>
  <si>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</si>
  <si>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</si>
  <si>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</si>
  <si>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</si>
  <si>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</si>
  <si>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</si>
  <si>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</si>
  <si>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</si>
  <si>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Ordinal</t>
  </si>
  <si>
    <t xml:space="preserve">1= To a very small extent </t>
  </si>
  <si>
    <t>2 = To some extent</t>
  </si>
  <si>
    <t>3 = To a moderate extent</t>
  </si>
  <si>
    <t>4 = To a large extent</t>
  </si>
  <si>
    <t>3 =Neither satisfied nor unsatisfied</t>
  </si>
  <si>
    <t>5 = Very satisfied</t>
  </si>
  <si>
    <t xml:space="preserve">4 = Somewhat satisfied </t>
  </si>
  <si>
    <t>2 = Dissatisfied</t>
  </si>
  <si>
    <t>1 = Very dissatisfied</t>
  </si>
  <si>
    <t>WFHSATIS</t>
  </si>
  <si>
    <t>EXT SCORE</t>
  </si>
  <si>
    <t>WTH Satisfaction - Managers v Non Managers</t>
  </si>
  <si>
    <t>Non-Managers</t>
  </si>
  <si>
    <t>Managers</t>
  </si>
  <si>
    <t>t-Test: Two-Sample Assuming Equal Variances</t>
  </si>
  <si>
    <t>Mean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</si>
  <si>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</si>
  <si>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</si>
  <si>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</si>
  <si>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</si>
  <si>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</si>
  <si>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</si>
  <si>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</si>
  <si>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</si>
  <si>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</si>
  <si>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Standard Deviation</t>
  </si>
  <si>
    <t>WTH Satisfaction - Caring v No Caring</t>
  </si>
  <si>
    <t>Caring Responsibilities</t>
  </si>
  <si>
    <t>No Caring Responsibilities</t>
  </si>
  <si>
    <t>WTH Satisfaction Gender</t>
  </si>
  <si>
    <t>Male</t>
  </si>
  <si>
    <t>Female</t>
  </si>
  <si>
    <t>Standard Deviatio</t>
  </si>
  <si>
    <t>No Care</t>
  </si>
  <si>
    <t>Pearson Correlation</t>
  </si>
  <si>
    <t>Mode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</si>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</sst>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Scatterplot Showing the Relationship between Extraversion and Satisfaction with Working from Home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Dataset!$N$2:$N$200</c:f>
              <c:numCache>
                <c:formatCode>0.00</c:formatCode>
                <c:ptCount val="199"/>
                <c:pt idx="0">
                  <c:v>1</c:v>
                </c:pt>
                <c:pt idx="1">
                  <c:v>1.875</c:v>
                </c:pt>
                <c:pt idx="2">
                  <c:v>2.625</c:v>
                </c:pt>
                <c:pt idx="3">
                  <c:v>5</c:v>
                </c:pt>
                <c:pt idx="4">
                  <c:v>3.125</c:v>
                </c:pt>
                <c:pt idx="5">
                  <c:v>2.5</c:v>
                </c:pt>
                <c:pt idx="6">
                  <c:v>2.5</c:v>
                </c:pt>
                <c:pt idx="7">
                  <c:v>4.25</c:v>
                </c:pt>
                <c:pt idx="8">
                  <c:v>4.375</c:v>
                </c:pt>
                <c:pt idx="9">
                  <c:v>3.125</c:v>
                </c:pt>
                <c:pt idx="10">
                  <c:v>1</c:v>
                </c:pt>
                <c:pt idx="11">
                  <c:v>5</c:v>
                </c:pt>
                <c:pt idx="12">
                  <c:v>3.125</c:v>
                </c:pt>
                <c:pt idx="13">
                  <c:v>3.625</c:v>
                </c:pt>
                <c:pt idx="14">
                  <c:v>4</c:v>
                </c:pt>
                <c:pt idx="15">
                  <c:v>3.125</c:v>
                </c:pt>
                <c:pt idx="16">
                  <c:v>3.125</c:v>
                </c:pt>
                <c:pt idx="17">
                  <c:v>1.5</c:v>
                </c:pt>
                <c:pt idx="18">
                  <c:v>3.875</c:v>
                </c:pt>
                <c:pt idx="19">
                  <c:v>4.125</c:v>
                </c:pt>
                <c:pt idx="20">
                  <c:v>4.125</c:v>
                </c:pt>
                <c:pt idx="21">
                  <c:v>2.875</c:v>
                </c:pt>
                <c:pt idx="22">
                  <c:v>3.125</c:v>
                </c:pt>
                <c:pt idx="23">
                  <c:v>3</c:v>
                </c:pt>
                <c:pt idx="24">
                  <c:v>3.25</c:v>
                </c:pt>
                <c:pt idx="25">
                  <c:v>4</c:v>
                </c:pt>
                <c:pt idx="26">
                  <c:v>3.875</c:v>
                </c:pt>
                <c:pt idx="27">
                  <c:v>2.75</c:v>
                </c:pt>
                <c:pt idx="28">
                  <c:v>2.75</c:v>
                </c:pt>
                <c:pt idx="29">
                  <c:v>4.375</c:v>
                </c:pt>
                <c:pt idx="30">
                  <c:v>5</c:v>
                </c:pt>
                <c:pt idx="31">
                  <c:v>3</c:v>
                </c:pt>
                <c:pt idx="32">
                  <c:v>1.5</c:v>
                </c:pt>
                <c:pt idx="33">
                  <c:v>2.25</c:v>
                </c:pt>
                <c:pt idx="34">
                  <c:v>2.125</c:v>
                </c:pt>
                <c:pt idx="35">
                  <c:v>4</c:v>
                </c:pt>
                <c:pt idx="36">
                  <c:v>3.625</c:v>
                </c:pt>
                <c:pt idx="37">
                  <c:v>3.75</c:v>
                </c:pt>
                <c:pt idx="38">
                  <c:v>4</c:v>
                </c:pt>
                <c:pt idx="39">
                  <c:v>4.875</c:v>
                </c:pt>
                <c:pt idx="40">
                  <c:v>1.875</c:v>
                </c:pt>
                <c:pt idx="41">
                  <c:v>3.375</c:v>
                </c:pt>
                <c:pt idx="42">
                  <c:v>3.25</c:v>
                </c:pt>
                <c:pt idx="43">
                  <c:v>2.625</c:v>
                </c:pt>
                <c:pt idx="44">
                  <c:v>3.5</c:v>
                </c:pt>
                <c:pt idx="45">
                  <c:v>3.5</c:v>
                </c:pt>
                <c:pt idx="46">
                  <c:v>4</c:v>
                </c:pt>
                <c:pt idx="47">
                  <c:v>2.875</c:v>
                </c:pt>
                <c:pt idx="48">
                  <c:v>3.875</c:v>
                </c:pt>
                <c:pt idx="49">
                  <c:v>4.625</c:v>
                </c:pt>
                <c:pt idx="50">
                  <c:v>2.625</c:v>
                </c:pt>
                <c:pt idx="51">
                  <c:v>3</c:v>
                </c:pt>
                <c:pt idx="52">
                  <c:v>3.875</c:v>
                </c:pt>
                <c:pt idx="53">
                  <c:v>4</c:v>
                </c:pt>
                <c:pt idx="54">
                  <c:v>3.25</c:v>
                </c:pt>
                <c:pt idx="55">
                  <c:v>4.125</c:v>
                </c:pt>
                <c:pt idx="56">
                  <c:v>4.125</c:v>
                </c:pt>
                <c:pt idx="57">
                  <c:v>4.375</c:v>
                </c:pt>
                <c:pt idx="58">
                  <c:v>4.5</c:v>
                </c:pt>
                <c:pt idx="59">
                  <c:v>4.375</c:v>
                </c:pt>
                <c:pt idx="60">
                  <c:v>5</c:v>
                </c:pt>
                <c:pt idx="61">
                  <c:v>5</c:v>
                </c:pt>
                <c:pt idx="62">
                  <c:v>2.625</c:v>
                </c:pt>
                <c:pt idx="63">
                  <c:v>2.125</c:v>
                </c:pt>
                <c:pt idx="64">
                  <c:v>4.625</c:v>
                </c:pt>
                <c:pt idx="65">
                  <c:v>4.625</c:v>
                </c:pt>
                <c:pt idx="66">
                  <c:v>3.75</c:v>
                </c:pt>
                <c:pt idx="67">
                  <c:v>4.375</c:v>
                </c:pt>
                <c:pt idx="68">
                  <c:v>3.75</c:v>
                </c:pt>
                <c:pt idx="69">
                  <c:v>5</c:v>
                </c:pt>
                <c:pt idx="70">
                  <c:v>4.25</c:v>
                </c:pt>
                <c:pt idx="71">
                  <c:v>2.875</c:v>
                </c:pt>
                <c:pt idx="72">
                  <c:v>3.625</c:v>
                </c:pt>
                <c:pt idx="73">
                  <c:v>2.375</c:v>
                </c:pt>
                <c:pt idx="74">
                  <c:v>2.5</c:v>
                </c:pt>
                <c:pt idx="75">
                  <c:v>3.375</c:v>
                </c:pt>
                <c:pt idx="76">
                  <c:v>1.875</c:v>
                </c:pt>
                <c:pt idx="77">
                  <c:v>2.25</c:v>
                </c:pt>
                <c:pt idx="78">
                  <c:v>2.625</c:v>
                </c:pt>
                <c:pt idx="79">
                  <c:v>3.125</c:v>
                </c:pt>
                <c:pt idx="80">
                  <c:v>3.5</c:v>
                </c:pt>
                <c:pt idx="81">
                  <c:v>3.75</c:v>
                </c:pt>
                <c:pt idx="82">
                  <c:v>3.25</c:v>
                </c:pt>
                <c:pt idx="83">
                  <c:v>3.75</c:v>
                </c:pt>
                <c:pt idx="84">
                  <c:v>3.25</c:v>
                </c:pt>
                <c:pt idx="85">
                  <c:v>4.5</c:v>
                </c:pt>
                <c:pt idx="86">
                  <c:v>4.25</c:v>
                </c:pt>
                <c:pt idx="87">
                  <c:v>4.25</c:v>
                </c:pt>
                <c:pt idx="88">
                  <c:v>5</c:v>
                </c:pt>
                <c:pt idx="89">
                  <c:v>2.875</c:v>
                </c:pt>
                <c:pt idx="90">
                  <c:v>1.625</c:v>
                </c:pt>
                <c:pt idx="91">
                  <c:v>2.375</c:v>
                </c:pt>
                <c:pt idx="92">
                  <c:v>2.375</c:v>
                </c:pt>
                <c:pt idx="93">
                  <c:v>2.125</c:v>
                </c:pt>
                <c:pt idx="94">
                  <c:v>1.125</c:v>
                </c:pt>
                <c:pt idx="95">
                  <c:v>1</c:v>
                </c:pt>
                <c:pt idx="96">
                  <c:v>3.75</c:v>
                </c:pt>
                <c:pt idx="97">
                  <c:v>1.625</c:v>
                </c:pt>
                <c:pt idx="98">
                  <c:v>5</c:v>
                </c:pt>
                <c:pt idx="99">
                  <c:v>3.125</c:v>
                </c:pt>
                <c:pt idx="100">
                  <c:v>1.5</c:v>
                </c:pt>
                <c:pt idx="101">
                  <c:v>1</c:v>
                </c:pt>
                <c:pt idx="102">
                  <c:v>1</c:v>
                </c:pt>
                <c:pt idx="103">
                  <c:v>4.25</c:v>
                </c:pt>
                <c:pt idx="104">
                  <c:v>2.5</c:v>
                </c:pt>
                <c:pt idx="105">
                  <c:v>5</c:v>
                </c:pt>
                <c:pt idx="106">
                  <c:v>4.25</c:v>
                </c:pt>
                <c:pt idx="107">
                  <c:v>3.125</c:v>
                </c:pt>
                <c:pt idx="108">
                  <c:v>3.875</c:v>
                </c:pt>
                <c:pt idx="109">
                  <c:v>3.625</c:v>
                </c:pt>
                <c:pt idx="110">
                  <c:v>4</c:v>
                </c:pt>
                <c:pt idx="111">
                  <c:v>3.125</c:v>
                </c:pt>
                <c:pt idx="112">
                  <c:v>3.875</c:v>
                </c:pt>
                <c:pt idx="113">
                  <c:v>2.875</c:v>
                </c:pt>
                <c:pt idx="114">
                  <c:v>3.25</c:v>
                </c:pt>
                <c:pt idx="115">
                  <c:v>4.625</c:v>
                </c:pt>
                <c:pt idx="116">
                  <c:v>5</c:v>
                </c:pt>
                <c:pt idx="117">
                  <c:v>2.75</c:v>
                </c:pt>
                <c:pt idx="118">
                  <c:v>4.125</c:v>
                </c:pt>
                <c:pt idx="119">
                  <c:v>3</c:v>
                </c:pt>
                <c:pt idx="120">
                  <c:v>1.5</c:v>
                </c:pt>
                <c:pt idx="121">
                  <c:v>2.125</c:v>
                </c:pt>
                <c:pt idx="122">
                  <c:v>5</c:v>
                </c:pt>
                <c:pt idx="123">
                  <c:v>5</c:v>
                </c:pt>
                <c:pt idx="124">
                  <c:v>3.75</c:v>
                </c:pt>
                <c:pt idx="125">
                  <c:v>1.875</c:v>
                </c:pt>
                <c:pt idx="126">
                  <c:v>3.375</c:v>
                </c:pt>
                <c:pt idx="127">
                  <c:v>2.625</c:v>
                </c:pt>
                <c:pt idx="128">
                  <c:v>3.5</c:v>
                </c:pt>
                <c:pt idx="129">
                  <c:v>5</c:v>
                </c:pt>
                <c:pt idx="130">
                  <c:v>2.875</c:v>
                </c:pt>
                <c:pt idx="131">
                  <c:v>3.875</c:v>
                </c:pt>
                <c:pt idx="132">
                  <c:v>3.875</c:v>
                </c:pt>
                <c:pt idx="133">
                  <c:v>3.25</c:v>
                </c:pt>
                <c:pt idx="134">
                  <c:v>4.125</c:v>
                </c:pt>
                <c:pt idx="135">
                  <c:v>4.375</c:v>
                </c:pt>
                <c:pt idx="136">
                  <c:v>5</c:v>
                </c:pt>
                <c:pt idx="137">
                  <c:v>3.875</c:v>
                </c:pt>
                <c:pt idx="138">
                  <c:v>4.625</c:v>
                </c:pt>
                <c:pt idx="139">
                  <c:v>4.625</c:v>
                </c:pt>
                <c:pt idx="140">
                  <c:v>1.375</c:v>
                </c:pt>
                <c:pt idx="141">
                  <c:v>1.875</c:v>
                </c:pt>
                <c:pt idx="142">
                  <c:v>2.875</c:v>
                </c:pt>
                <c:pt idx="143">
                  <c:v>3.625</c:v>
                </c:pt>
                <c:pt idx="144">
                  <c:v>2.375</c:v>
                </c:pt>
                <c:pt idx="145">
                  <c:v>3.375</c:v>
                </c:pt>
                <c:pt idx="146">
                  <c:v>1.875</c:v>
                </c:pt>
                <c:pt idx="147">
                  <c:v>2.25</c:v>
                </c:pt>
                <c:pt idx="148">
                  <c:v>2.25</c:v>
                </c:pt>
                <c:pt idx="149">
                  <c:v>3.75</c:v>
                </c:pt>
                <c:pt idx="150">
                  <c:v>4.25</c:v>
                </c:pt>
                <c:pt idx="151">
                  <c:v>4.25</c:v>
                </c:pt>
                <c:pt idx="152">
                  <c:v>2.875</c:v>
                </c:pt>
                <c:pt idx="153">
                  <c:v>1.625</c:v>
                </c:pt>
                <c:pt idx="154">
                  <c:v>2.375</c:v>
                </c:pt>
                <c:pt idx="155">
                  <c:v>2.375</c:v>
                </c:pt>
                <c:pt idx="156">
                  <c:v>2.125</c:v>
                </c:pt>
                <c:pt idx="157">
                  <c:v>1.125</c:v>
                </c:pt>
                <c:pt idx="158">
                  <c:v>1</c:v>
                </c:pt>
                <c:pt idx="159">
                  <c:v>3.75</c:v>
                </c:pt>
                <c:pt idx="160">
                  <c:v>1.5</c:v>
                </c:pt>
                <c:pt idx="161">
                  <c:v>1</c:v>
                </c:pt>
                <c:pt idx="162">
                  <c:v>1.25</c:v>
                </c:pt>
                <c:pt idx="163">
                  <c:v>3.75</c:v>
                </c:pt>
                <c:pt idx="164">
                  <c:v>1.5</c:v>
                </c:pt>
                <c:pt idx="165">
                  <c:v>2.625</c:v>
                </c:pt>
                <c:pt idx="166">
                  <c:v>1.25</c:v>
                </c:pt>
                <c:pt idx="167">
                  <c:v>2.25</c:v>
                </c:pt>
                <c:pt idx="168">
                  <c:v>3.375</c:v>
                </c:pt>
                <c:pt idx="169">
                  <c:v>1.625</c:v>
                </c:pt>
                <c:pt idx="170">
                  <c:v>3.75</c:v>
                </c:pt>
                <c:pt idx="171">
                  <c:v>3</c:v>
                </c:pt>
                <c:pt idx="172">
                  <c:v>1.125</c:v>
                </c:pt>
                <c:pt idx="173">
                  <c:v>4.25</c:v>
                </c:pt>
                <c:pt idx="174">
                  <c:v>5</c:v>
                </c:pt>
                <c:pt idx="175">
                  <c:v>1</c:v>
                </c:pt>
                <c:pt idx="176">
                  <c:v>1</c:v>
                </c:pt>
                <c:pt idx="177">
                  <c:v>5</c:v>
                </c:pt>
                <c:pt idx="178">
                  <c:v>3.125</c:v>
                </c:pt>
                <c:pt idx="179">
                  <c:v>1.25</c:v>
                </c:pt>
                <c:pt idx="180">
                  <c:v>1.25</c:v>
                </c:pt>
                <c:pt idx="181">
                  <c:v>3.5</c:v>
                </c:pt>
                <c:pt idx="182">
                  <c:v>1.5</c:v>
                </c:pt>
                <c:pt idx="183">
                  <c:v>1</c:v>
                </c:pt>
                <c:pt idx="184">
                  <c:v>1.625</c:v>
                </c:pt>
                <c:pt idx="185">
                  <c:v>1.75</c:v>
                </c:pt>
                <c:pt idx="186">
                  <c:v>3.125</c:v>
                </c:pt>
                <c:pt idx="187">
                  <c:v>3.125</c:v>
                </c:pt>
                <c:pt idx="188">
                  <c:v>3</c:v>
                </c:pt>
                <c:pt idx="189">
                  <c:v>5</c:v>
                </c:pt>
                <c:pt idx="190">
                  <c:v>1.625</c:v>
                </c:pt>
                <c:pt idx="191">
                  <c:v>1</c:v>
                </c:pt>
                <c:pt idx="192">
                  <c:v>4.875</c:v>
                </c:pt>
                <c:pt idx="193">
                  <c:v>3.25</c:v>
                </c:pt>
                <c:pt idx="194">
                  <c:v>1.75</c:v>
                </c:pt>
                <c:pt idx="195">
                  <c:v>1.75</c:v>
                </c:pt>
                <c:pt idx="196">
                  <c:v>2.625</c:v>
                </c:pt>
                <c:pt idx="197">
                  <c:v>1.25</c:v>
                </c:pt>
                <c:pt idx="198">
                  <c:v>1.125</c:v>
                </c:pt>
              </c:numCache>
            </c:numRef>
          </c:xVal>
          <c:yVal>
            <c:numRef>
              <c:f>Dataset!$Y$2:$Y$200</c:f>
              <c:numCache>
                <c:formatCode>General</c:formatCode>
                <c:ptCount val="199"/>
                <c:pt idx="0">
                  <c:v>2.7</c:v>
                </c:pt>
                <c:pt idx="1">
                  <c:v>3.2</c:v>
                </c:pt>
                <c:pt idx="2">
                  <c:v>1.1000000000000001</c:v>
                </c:pt>
                <c:pt idx="3">
                  <c:v>1</c:v>
                </c:pt>
                <c:pt idx="4">
                  <c:v>2.2999999999999998</c:v>
                </c:pt>
                <c:pt idx="5">
                  <c:v>2</c:v>
                </c:pt>
                <c:pt idx="6">
                  <c:v>2.1</c:v>
                </c:pt>
                <c:pt idx="7">
                  <c:v>2.1</c:v>
                </c:pt>
                <c:pt idx="8">
                  <c:v>1.6</c:v>
                </c:pt>
                <c:pt idx="9">
                  <c:v>1.4</c:v>
                </c:pt>
                <c:pt idx="10">
                  <c:v>3.8</c:v>
                </c:pt>
                <c:pt idx="11">
                  <c:v>2.1</c:v>
                </c:pt>
                <c:pt idx="12">
                  <c:v>2</c:v>
                </c:pt>
                <c:pt idx="13">
                  <c:v>1.5</c:v>
                </c:pt>
                <c:pt idx="14">
                  <c:v>1</c:v>
                </c:pt>
                <c:pt idx="15">
                  <c:v>3.2</c:v>
                </c:pt>
                <c:pt idx="16">
                  <c:v>2.6</c:v>
                </c:pt>
                <c:pt idx="17">
                  <c:v>1</c:v>
                </c:pt>
                <c:pt idx="18">
                  <c:v>2.2000000000000002</c:v>
                </c:pt>
                <c:pt idx="19">
                  <c:v>1.6</c:v>
                </c:pt>
                <c:pt idx="20">
                  <c:v>2.2999999999999998</c:v>
                </c:pt>
                <c:pt idx="21">
                  <c:v>1.4</c:v>
                </c:pt>
                <c:pt idx="22">
                  <c:v>1</c:v>
                </c:pt>
                <c:pt idx="23">
                  <c:v>4</c:v>
                </c:pt>
                <c:pt idx="24">
                  <c:v>2.2000000000000002</c:v>
                </c:pt>
                <c:pt idx="25">
                  <c:v>1.5</c:v>
                </c:pt>
                <c:pt idx="26">
                  <c:v>1.4</c:v>
                </c:pt>
                <c:pt idx="27">
                  <c:v>2</c:v>
                </c:pt>
                <c:pt idx="28">
                  <c:v>1.3</c:v>
                </c:pt>
                <c:pt idx="29">
                  <c:v>1.1000000000000001</c:v>
                </c:pt>
                <c:pt idx="30">
                  <c:v>2.4</c:v>
                </c:pt>
                <c:pt idx="31">
                  <c:v>2.2000000000000002</c:v>
                </c:pt>
                <c:pt idx="32">
                  <c:v>2.2999999999999998</c:v>
                </c:pt>
                <c:pt idx="33">
                  <c:v>2</c:v>
                </c:pt>
                <c:pt idx="34">
                  <c:v>3.6</c:v>
                </c:pt>
                <c:pt idx="35">
                  <c:v>1.4</c:v>
                </c:pt>
                <c:pt idx="36">
                  <c:v>2.5</c:v>
                </c:pt>
                <c:pt idx="37">
                  <c:v>2.5</c:v>
                </c:pt>
                <c:pt idx="38">
                  <c:v>1</c:v>
                </c:pt>
                <c:pt idx="39">
                  <c:v>1</c:v>
                </c:pt>
                <c:pt idx="40">
                  <c:v>2.4</c:v>
                </c:pt>
                <c:pt idx="41">
                  <c:v>1.6</c:v>
                </c:pt>
                <c:pt idx="42">
                  <c:v>2.9</c:v>
                </c:pt>
                <c:pt idx="43">
                  <c:v>3</c:v>
                </c:pt>
                <c:pt idx="44">
                  <c:v>1.4</c:v>
                </c:pt>
                <c:pt idx="45">
                  <c:v>1.6</c:v>
                </c:pt>
                <c:pt idx="46">
                  <c:v>1.6</c:v>
                </c:pt>
                <c:pt idx="47">
                  <c:v>1.4</c:v>
                </c:pt>
                <c:pt idx="48">
                  <c:v>3.1</c:v>
                </c:pt>
                <c:pt idx="49">
                  <c:v>3.2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1.8</c:v>
                </c:pt>
                <c:pt idx="54">
                  <c:v>1.8</c:v>
                </c:pt>
                <c:pt idx="55">
                  <c:v>1.3</c:v>
                </c:pt>
                <c:pt idx="56">
                  <c:v>1.2</c:v>
                </c:pt>
                <c:pt idx="57">
                  <c:v>1</c:v>
                </c:pt>
                <c:pt idx="58">
                  <c:v>1</c:v>
                </c:pt>
                <c:pt idx="59">
                  <c:v>1.1000000000000001</c:v>
                </c:pt>
                <c:pt idx="60">
                  <c:v>1</c:v>
                </c:pt>
                <c:pt idx="61">
                  <c:v>1</c:v>
                </c:pt>
                <c:pt idx="62">
                  <c:v>2.6</c:v>
                </c:pt>
                <c:pt idx="63">
                  <c:v>3</c:v>
                </c:pt>
                <c:pt idx="64">
                  <c:v>1.1000000000000001</c:v>
                </c:pt>
                <c:pt idx="65">
                  <c:v>3</c:v>
                </c:pt>
                <c:pt idx="66">
                  <c:v>1.6</c:v>
                </c:pt>
                <c:pt idx="67">
                  <c:v>1</c:v>
                </c:pt>
                <c:pt idx="68">
                  <c:v>1.5</c:v>
                </c:pt>
                <c:pt idx="69">
                  <c:v>1</c:v>
                </c:pt>
                <c:pt idx="70">
                  <c:v>1</c:v>
                </c:pt>
                <c:pt idx="71">
                  <c:v>2.2999999999999998</c:v>
                </c:pt>
                <c:pt idx="72">
                  <c:v>1.8</c:v>
                </c:pt>
                <c:pt idx="73">
                  <c:v>2.9</c:v>
                </c:pt>
                <c:pt idx="74">
                  <c:v>2.7</c:v>
                </c:pt>
                <c:pt idx="75">
                  <c:v>1.9</c:v>
                </c:pt>
                <c:pt idx="76">
                  <c:v>3.3</c:v>
                </c:pt>
                <c:pt idx="77">
                  <c:v>2.9</c:v>
                </c:pt>
                <c:pt idx="78">
                  <c:v>2.6</c:v>
                </c:pt>
                <c:pt idx="79">
                  <c:v>2.1</c:v>
                </c:pt>
                <c:pt idx="80">
                  <c:v>1.8</c:v>
                </c:pt>
                <c:pt idx="81">
                  <c:v>1.6</c:v>
                </c:pt>
                <c:pt idx="82">
                  <c:v>2.1</c:v>
                </c:pt>
                <c:pt idx="83">
                  <c:v>1.5</c:v>
                </c:pt>
                <c:pt idx="84">
                  <c:v>2.1</c:v>
                </c:pt>
                <c:pt idx="85">
                  <c:v>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</c:v>
                </c:pt>
                <c:pt idx="89">
                  <c:v>2.4</c:v>
                </c:pt>
                <c:pt idx="90">
                  <c:v>3.5</c:v>
                </c:pt>
                <c:pt idx="91">
                  <c:v>2.8</c:v>
                </c:pt>
                <c:pt idx="92">
                  <c:v>3</c:v>
                </c:pt>
                <c:pt idx="93">
                  <c:v>3.1</c:v>
                </c:pt>
                <c:pt idx="94">
                  <c:v>3.9</c:v>
                </c:pt>
                <c:pt idx="95">
                  <c:v>4</c:v>
                </c:pt>
                <c:pt idx="96">
                  <c:v>1.7</c:v>
                </c:pt>
                <c:pt idx="97">
                  <c:v>3.5</c:v>
                </c:pt>
                <c:pt idx="98">
                  <c:v>1</c:v>
                </c:pt>
                <c:pt idx="99">
                  <c:v>2.2000000000000002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1.1000000000000001</c:v>
                </c:pt>
                <c:pt idx="104">
                  <c:v>2.7</c:v>
                </c:pt>
                <c:pt idx="105">
                  <c:v>2.8</c:v>
                </c:pt>
                <c:pt idx="106">
                  <c:v>1.1000000000000001</c:v>
                </c:pt>
                <c:pt idx="107">
                  <c:v>2.2999999999999998</c:v>
                </c:pt>
                <c:pt idx="108">
                  <c:v>1.4</c:v>
                </c:pt>
                <c:pt idx="109">
                  <c:v>1.6</c:v>
                </c:pt>
                <c:pt idx="110">
                  <c:v>1.4</c:v>
                </c:pt>
                <c:pt idx="111">
                  <c:v>2.2000000000000002</c:v>
                </c:pt>
                <c:pt idx="112">
                  <c:v>1.5</c:v>
                </c:pt>
                <c:pt idx="113">
                  <c:v>2.4</c:v>
                </c:pt>
                <c:pt idx="114">
                  <c:v>2</c:v>
                </c:pt>
                <c:pt idx="115">
                  <c:v>1</c:v>
                </c:pt>
                <c:pt idx="116">
                  <c:v>1.8</c:v>
                </c:pt>
                <c:pt idx="117">
                  <c:v>2.5</c:v>
                </c:pt>
                <c:pt idx="118">
                  <c:v>3.2</c:v>
                </c:pt>
                <c:pt idx="119">
                  <c:v>2.4</c:v>
                </c:pt>
                <c:pt idx="120">
                  <c:v>3.6</c:v>
                </c:pt>
                <c:pt idx="121">
                  <c:v>3</c:v>
                </c:pt>
                <c:pt idx="122">
                  <c:v>1.7</c:v>
                </c:pt>
                <c:pt idx="123">
                  <c:v>1</c:v>
                </c:pt>
                <c:pt idx="124">
                  <c:v>1.6</c:v>
                </c:pt>
                <c:pt idx="125">
                  <c:v>3.2</c:v>
                </c:pt>
                <c:pt idx="126">
                  <c:v>2</c:v>
                </c:pt>
                <c:pt idx="127">
                  <c:v>3</c:v>
                </c:pt>
                <c:pt idx="128">
                  <c:v>2.8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1.4</c:v>
                </c:pt>
                <c:pt idx="132">
                  <c:v>1.5</c:v>
                </c:pt>
                <c:pt idx="133">
                  <c:v>2</c:v>
                </c:pt>
                <c:pt idx="134">
                  <c:v>1.3</c:v>
                </c:pt>
                <c:pt idx="135">
                  <c:v>1</c:v>
                </c:pt>
                <c:pt idx="136">
                  <c:v>1.1000000000000001</c:v>
                </c:pt>
                <c:pt idx="137">
                  <c:v>1.4</c:v>
                </c:pt>
                <c:pt idx="138">
                  <c:v>2</c:v>
                </c:pt>
                <c:pt idx="139">
                  <c:v>1</c:v>
                </c:pt>
                <c:pt idx="140">
                  <c:v>3.6</c:v>
                </c:pt>
                <c:pt idx="141">
                  <c:v>3.3</c:v>
                </c:pt>
                <c:pt idx="142">
                  <c:v>2.2999999999999998</c:v>
                </c:pt>
                <c:pt idx="143">
                  <c:v>1.8</c:v>
                </c:pt>
                <c:pt idx="144">
                  <c:v>2.9</c:v>
                </c:pt>
                <c:pt idx="145">
                  <c:v>1.9</c:v>
                </c:pt>
                <c:pt idx="146">
                  <c:v>3.3</c:v>
                </c:pt>
                <c:pt idx="147">
                  <c:v>2.9</c:v>
                </c:pt>
                <c:pt idx="148">
                  <c:v>2.9</c:v>
                </c:pt>
                <c:pt idx="149">
                  <c:v>1.5</c:v>
                </c:pt>
                <c:pt idx="150">
                  <c:v>1</c:v>
                </c:pt>
                <c:pt idx="151">
                  <c:v>1.1000000000000001</c:v>
                </c:pt>
                <c:pt idx="152">
                  <c:v>2.4</c:v>
                </c:pt>
                <c:pt idx="153">
                  <c:v>3.5</c:v>
                </c:pt>
                <c:pt idx="154">
                  <c:v>2.8</c:v>
                </c:pt>
                <c:pt idx="155">
                  <c:v>2.8</c:v>
                </c:pt>
                <c:pt idx="156">
                  <c:v>3.1</c:v>
                </c:pt>
                <c:pt idx="157">
                  <c:v>3.9</c:v>
                </c:pt>
                <c:pt idx="158">
                  <c:v>4</c:v>
                </c:pt>
                <c:pt idx="159">
                  <c:v>1.7</c:v>
                </c:pt>
                <c:pt idx="160">
                  <c:v>3.6</c:v>
                </c:pt>
                <c:pt idx="161">
                  <c:v>3</c:v>
                </c:pt>
                <c:pt idx="162">
                  <c:v>3.8</c:v>
                </c:pt>
                <c:pt idx="163">
                  <c:v>1.6</c:v>
                </c:pt>
                <c:pt idx="164">
                  <c:v>3.6</c:v>
                </c:pt>
                <c:pt idx="165">
                  <c:v>2.7</c:v>
                </c:pt>
                <c:pt idx="166">
                  <c:v>3.7</c:v>
                </c:pt>
                <c:pt idx="167">
                  <c:v>2.9</c:v>
                </c:pt>
                <c:pt idx="168">
                  <c:v>1.9</c:v>
                </c:pt>
                <c:pt idx="169">
                  <c:v>2</c:v>
                </c:pt>
                <c:pt idx="170">
                  <c:v>1.6</c:v>
                </c:pt>
                <c:pt idx="171">
                  <c:v>2.2000000000000002</c:v>
                </c:pt>
                <c:pt idx="172">
                  <c:v>3.8</c:v>
                </c:pt>
                <c:pt idx="173">
                  <c:v>1.1000000000000001</c:v>
                </c:pt>
                <c:pt idx="174">
                  <c:v>1</c:v>
                </c:pt>
                <c:pt idx="175">
                  <c:v>4</c:v>
                </c:pt>
                <c:pt idx="176">
                  <c:v>3.9</c:v>
                </c:pt>
                <c:pt idx="177">
                  <c:v>1.3</c:v>
                </c:pt>
                <c:pt idx="178">
                  <c:v>2.1</c:v>
                </c:pt>
                <c:pt idx="179">
                  <c:v>3.9</c:v>
                </c:pt>
                <c:pt idx="180">
                  <c:v>3.8</c:v>
                </c:pt>
                <c:pt idx="181">
                  <c:v>1.8</c:v>
                </c:pt>
                <c:pt idx="182">
                  <c:v>2</c:v>
                </c:pt>
                <c:pt idx="183">
                  <c:v>3.6</c:v>
                </c:pt>
                <c:pt idx="184">
                  <c:v>3.5</c:v>
                </c:pt>
                <c:pt idx="185">
                  <c:v>3.4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2.1</c:v>
                </c:pt>
                <c:pt idx="189">
                  <c:v>2</c:v>
                </c:pt>
                <c:pt idx="190">
                  <c:v>3.4</c:v>
                </c:pt>
                <c:pt idx="191">
                  <c:v>3.9</c:v>
                </c:pt>
                <c:pt idx="192">
                  <c:v>1.5</c:v>
                </c:pt>
                <c:pt idx="193">
                  <c:v>2</c:v>
                </c:pt>
                <c:pt idx="194">
                  <c:v>3.4</c:v>
                </c:pt>
                <c:pt idx="195">
                  <c:v>3.4</c:v>
                </c:pt>
                <c:pt idx="196">
                  <c:v>2.7</c:v>
                </c:pt>
                <c:pt idx="197">
                  <c:v>4</c:v>
                </c:pt>
                <c:pt idx="198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E-45D5-9278-81EC26DE3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04031"/>
        <c:axId val="194507391"/>
      </c:scatterChart>
      <c:valAx>
        <c:axId val="19450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Working From Home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4507391"/>
        <c:crosses val="autoZero"/>
        <c:crossBetween val="midCat"/>
      </c:valAx>
      <c:valAx>
        <c:axId val="1945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Extraversion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450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498474</xdr:colOff>
      <xdr:row>8</xdr:row>
      <xdr:rowOff>44450</xdr:rowOff>
    </xdr:from>
    <xdr:to>
      <xdr:col>35</xdr:col>
      <xdr:colOff>501649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DD171-903F-9D44-A4AB-9E2279BC6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3B37-7A7F-425E-8823-A3AFDFB60DA8}">
  <dimension ref="A1:AB207"/>
  <sheetViews>
    <sheetView workbookViewId="0">
      <selection activeCell="F205" sqref="F205"/>
    </sheetView>
  </sheetViews>
  <sheetFormatPr defaultRowHeight="14.5" x14ac:dyDescent="0.35"/>
  <cols>
    <col min="1" max="1" width="12.81640625" customWidth="1"/>
    <col min="5" max="5" width="8.453125" customWidth="1"/>
    <col min="14" max="14" width="11.6328125" bestFit="1" customWidth="1"/>
  </cols>
  <sheetData>
    <row r="1" spans="1:28" s="2" customFormat="1" x14ac:dyDescent="0.35">
      <c r="A1" s="2" t="s">
        <v>8</v>
      </c>
      <c r="B1" s="2" t="s">
        <v>0</v>
      </c>
      <c r="C1" s="2" t="s">
        <v>27</v>
      </c>
      <c r="D1" s="2" t="s">
        <v>2</v>
      </c>
      <c r="E1" s="2" t="s">
        <v>24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30</v>
      </c>
      <c r="L1" s="2" t="s">
        <v>31</v>
      </c>
      <c r="M1" s="2" t="s">
        <v>32</v>
      </c>
      <c r="N1" s="2" t="s">
        <v>93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94</v>
      </c>
    </row>
    <row r="2" spans="1:28" x14ac:dyDescent="0.35">
      <c r="A2">
        <v>200104</v>
      </c>
      <c r="B2">
        <v>45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s="6">
        <f t="shared" ref="N2:N33" si="0">AVERAGE(F2:M2)</f>
        <v>1</v>
      </c>
      <c r="O2">
        <v>2</v>
      </c>
      <c r="P2">
        <v>2</v>
      </c>
      <c r="Q2">
        <v>2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f>AVERAGE(O2:X2)</f>
        <v>2.7</v>
      </c>
    </row>
    <row r="3" spans="1:28" x14ac:dyDescent="0.35">
      <c r="A3">
        <v>200105</v>
      </c>
      <c r="B3">
        <v>46</v>
      </c>
      <c r="C3">
        <v>1</v>
      </c>
      <c r="D3">
        <v>1</v>
      </c>
      <c r="E3">
        <v>0</v>
      </c>
      <c r="F3">
        <v>1</v>
      </c>
      <c r="G3">
        <v>2</v>
      </c>
      <c r="H3">
        <v>3</v>
      </c>
      <c r="I3">
        <v>2</v>
      </c>
      <c r="J3">
        <v>2</v>
      </c>
      <c r="K3">
        <v>2</v>
      </c>
      <c r="L3">
        <v>1</v>
      </c>
      <c r="M3">
        <v>2</v>
      </c>
      <c r="N3" s="6">
        <f t="shared" si="0"/>
        <v>1.875</v>
      </c>
      <c r="O3">
        <v>3</v>
      </c>
      <c r="P3">
        <v>3</v>
      </c>
      <c r="Q3">
        <v>2</v>
      </c>
      <c r="R3">
        <v>4</v>
      </c>
      <c r="S3">
        <v>3</v>
      </c>
      <c r="T3">
        <v>3</v>
      </c>
      <c r="U3">
        <v>3</v>
      </c>
      <c r="V3">
        <v>4</v>
      </c>
      <c r="W3">
        <v>4</v>
      </c>
      <c r="X3">
        <v>3</v>
      </c>
      <c r="Y3">
        <f t="shared" ref="Y3:Y66" si="1">AVERAGE(O3:X3)</f>
        <v>3.2</v>
      </c>
    </row>
    <row r="4" spans="1:28" x14ac:dyDescent="0.35">
      <c r="A4" s="1">
        <v>200107</v>
      </c>
      <c r="B4">
        <v>59</v>
      </c>
      <c r="C4">
        <v>0</v>
      </c>
      <c r="D4">
        <v>1</v>
      </c>
      <c r="E4">
        <v>1</v>
      </c>
      <c r="F4">
        <v>5</v>
      </c>
      <c r="G4">
        <v>2</v>
      </c>
      <c r="H4">
        <v>2</v>
      </c>
      <c r="I4">
        <v>3</v>
      </c>
      <c r="J4">
        <v>2</v>
      </c>
      <c r="K4">
        <v>3</v>
      </c>
      <c r="L4">
        <v>2</v>
      </c>
      <c r="M4">
        <v>2</v>
      </c>
      <c r="N4" s="6">
        <f t="shared" si="0"/>
        <v>2.625</v>
      </c>
      <c r="O4">
        <v>1</v>
      </c>
      <c r="P4">
        <v>1</v>
      </c>
      <c r="Q4">
        <v>1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f t="shared" si="1"/>
        <v>1.1000000000000001</v>
      </c>
      <c r="AB4" t="s">
        <v>118</v>
      </c>
    </row>
    <row r="5" spans="1:28" x14ac:dyDescent="0.35">
      <c r="A5" s="1">
        <v>200118</v>
      </c>
      <c r="B5">
        <v>44</v>
      </c>
      <c r="C5">
        <v>1</v>
      </c>
      <c r="D5">
        <v>0</v>
      </c>
      <c r="E5">
        <v>0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 s="6">
        <f t="shared" si="0"/>
        <v>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f t="shared" si="1"/>
        <v>1</v>
      </c>
      <c r="AB5" s="9">
        <f>PEARSON(N2:N200,Y2:Y200)</f>
        <v>-0.76319167993223802</v>
      </c>
    </row>
    <row r="6" spans="1:28" x14ac:dyDescent="0.35">
      <c r="A6" s="1">
        <v>200124</v>
      </c>
      <c r="B6">
        <v>26</v>
      </c>
      <c r="C6">
        <v>1</v>
      </c>
      <c r="D6">
        <v>0</v>
      </c>
      <c r="E6">
        <v>0</v>
      </c>
      <c r="F6">
        <v>3</v>
      </c>
      <c r="G6">
        <v>3</v>
      </c>
      <c r="H6">
        <v>3</v>
      </c>
      <c r="I6">
        <v>4</v>
      </c>
      <c r="J6">
        <v>3</v>
      </c>
      <c r="K6">
        <v>3</v>
      </c>
      <c r="L6">
        <v>3</v>
      </c>
      <c r="M6">
        <v>3</v>
      </c>
      <c r="N6" s="6">
        <f t="shared" si="0"/>
        <v>3.125</v>
      </c>
      <c r="O6">
        <v>2</v>
      </c>
      <c r="P6">
        <v>2</v>
      </c>
      <c r="Q6">
        <v>3</v>
      </c>
      <c r="R6">
        <v>3</v>
      </c>
      <c r="S6">
        <v>2</v>
      </c>
      <c r="T6">
        <v>2</v>
      </c>
      <c r="U6">
        <v>2</v>
      </c>
      <c r="V6">
        <v>3</v>
      </c>
      <c r="W6">
        <v>2</v>
      </c>
      <c r="X6">
        <v>2</v>
      </c>
      <c r="Y6">
        <f t="shared" si="1"/>
        <v>2.2999999999999998</v>
      </c>
    </row>
    <row r="7" spans="1:28" x14ac:dyDescent="0.35">
      <c r="A7" s="1">
        <v>200008</v>
      </c>
      <c r="B7">
        <v>40</v>
      </c>
      <c r="C7">
        <v>0</v>
      </c>
      <c r="D7">
        <v>0</v>
      </c>
      <c r="E7">
        <v>1</v>
      </c>
      <c r="F7">
        <v>4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4</v>
      </c>
      <c r="N7" s="6">
        <f t="shared" si="0"/>
        <v>2.5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f t="shared" si="1"/>
        <v>2</v>
      </c>
    </row>
    <row r="8" spans="1:28" x14ac:dyDescent="0.35">
      <c r="A8" s="1">
        <v>200009</v>
      </c>
      <c r="B8">
        <v>55</v>
      </c>
      <c r="C8">
        <v>0</v>
      </c>
      <c r="D8">
        <v>0</v>
      </c>
      <c r="E8">
        <v>1</v>
      </c>
      <c r="F8">
        <v>2</v>
      </c>
      <c r="G8">
        <v>3</v>
      </c>
      <c r="H8">
        <v>2</v>
      </c>
      <c r="I8">
        <v>3</v>
      </c>
      <c r="J8">
        <v>2</v>
      </c>
      <c r="K8">
        <v>3</v>
      </c>
      <c r="L8">
        <v>2</v>
      </c>
      <c r="M8">
        <v>3</v>
      </c>
      <c r="N8" s="6">
        <f t="shared" si="0"/>
        <v>2.5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3</v>
      </c>
      <c r="Y8">
        <f t="shared" si="1"/>
        <v>2.1</v>
      </c>
    </row>
    <row r="9" spans="1:28" x14ac:dyDescent="0.35">
      <c r="A9" s="1">
        <v>200011</v>
      </c>
      <c r="B9">
        <v>29</v>
      </c>
      <c r="C9">
        <v>1</v>
      </c>
      <c r="D9">
        <v>0</v>
      </c>
      <c r="E9">
        <v>1</v>
      </c>
      <c r="F9">
        <v>5</v>
      </c>
      <c r="G9">
        <v>4</v>
      </c>
      <c r="H9">
        <v>4</v>
      </c>
      <c r="I9">
        <v>4</v>
      </c>
      <c r="J9">
        <v>5</v>
      </c>
      <c r="K9">
        <v>4</v>
      </c>
      <c r="L9">
        <v>4</v>
      </c>
      <c r="M9">
        <v>4</v>
      </c>
      <c r="N9" s="6">
        <f t="shared" si="0"/>
        <v>4.25</v>
      </c>
      <c r="O9">
        <v>2</v>
      </c>
      <c r="P9">
        <v>2</v>
      </c>
      <c r="Q9">
        <v>2</v>
      </c>
      <c r="R9">
        <v>2</v>
      </c>
      <c r="S9">
        <v>2</v>
      </c>
      <c r="T9">
        <v>3</v>
      </c>
      <c r="U9">
        <v>2</v>
      </c>
      <c r="V9">
        <v>2</v>
      </c>
      <c r="W9">
        <v>2</v>
      </c>
      <c r="X9">
        <v>2</v>
      </c>
      <c r="Y9">
        <f t="shared" si="1"/>
        <v>2.1</v>
      </c>
    </row>
    <row r="10" spans="1:28" x14ac:dyDescent="0.35">
      <c r="A10" s="1">
        <v>200028</v>
      </c>
      <c r="B10">
        <v>24</v>
      </c>
      <c r="C10">
        <v>0</v>
      </c>
      <c r="D10">
        <v>0</v>
      </c>
      <c r="E10">
        <v>0</v>
      </c>
      <c r="F10">
        <v>4</v>
      </c>
      <c r="G10">
        <v>4</v>
      </c>
      <c r="H10">
        <v>4</v>
      </c>
      <c r="I10">
        <v>5</v>
      </c>
      <c r="J10">
        <v>5</v>
      </c>
      <c r="K10">
        <v>4</v>
      </c>
      <c r="L10">
        <v>4</v>
      </c>
      <c r="M10">
        <v>5</v>
      </c>
      <c r="N10" s="6">
        <f t="shared" si="0"/>
        <v>4.375</v>
      </c>
      <c r="O10">
        <v>1</v>
      </c>
      <c r="P10">
        <v>2</v>
      </c>
      <c r="Q10">
        <v>2</v>
      </c>
      <c r="R10">
        <v>2</v>
      </c>
      <c r="S10">
        <v>1</v>
      </c>
      <c r="T10">
        <v>1</v>
      </c>
      <c r="U10">
        <v>2</v>
      </c>
      <c r="V10">
        <v>2</v>
      </c>
      <c r="W10">
        <v>1</v>
      </c>
      <c r="X10">
        <v>2</v>
      </c>
      <c r="Y10">
        <f t="shared" si="1"/>
        <v>1.6</v>
      </c>
    </row>
    <row r="11" spans="1:28" x14ac:dyDescent="0.35">
      <c r="A11">
        <v>200039</v>
      </c>
      <c r="B11">
        <v>41</v>
      </c>
      <c r="C11">
        <v>1</v>
      </c>
      <c r="D11">
        <v>1</v>
      </c>
      <c r="E11">
        <v>1</v>
      </c>
      <c r="F11">
        <v>4</v>
      </c>
      <c r="G11">
        <v>3</v>
      </c>
      <c r="H11">
        <v>3</v>
      </c>
      <c r="I11">
        <v>4</v>
      </c>
      <c r="J11">
        <v>3</v>
      </c>
      <c r="K11">
        <v>3</v>
      </c>
      <c r="L11">
        <v>3</v>
      </c>
      <c r="M11">
        <v>2</v>
      </c>
      <c r="N11" s="6">
        <f t="shared" si="0"/>
        <v>3.125</v>
      </c>
      <c r="O11">
        <v>1</v>
      </c>
      <c r="P11">
        <v>1</v>
      </c>
      <c r="Q11">
        <v>1</v>
      </c>
      <c r="R11">
        <v>1</v>
      </c>
      <c r="S11">
        <v>2</v>
      </c>
      <c r="T11">
        <v>2</v>
      </c>
      <c r="U11">
        <v>2</v>
      </c>
      <c r="V11">
        <v>1</v>
      </c>
      <c r="W11">
        <v>2</v>
      </c>
      <c r="X11">
        <v>1</v>
      </c>
      <c r="Y11">
        <f t="shared" si="1"/>
        <v>1.4</v>
      </c>
    </row>
    <row r="12" spans="1:28" x14ac:dyDescent="0.35">
      <c r="A12">
        <v>200042</v>
      </c>
      <c r="B12">
        <v>39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s="6">
        <f t="shared" si="0"/>
        <v>1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3</v>
      </c>
      <c r="W12">
        <v>3</v>
      </c>
      <c r="X12">
        <v>4</v>
      </c>
      <c r="Y12">
        <f t="shared" si="1"/>
        <v>3.8</v>
      </c>
    </row>
    <row r="13" spans="1:28" x14ac:dyDescent="0.35">
      <c r="A13">
        <v>200047</v>
      </c>
      <c r="B13">
        <v>41</v>
      </c>
      <c r="C13">
        <v>0</v>
      </c>
      <c r="D13">
        <v>0</v>
      </c>
      <c r="E13">
        <v>0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 s="6">
        <f t="shared" si="0"/>
        <v>5</v>
      </c>
      <c r="O13">
        <v>2</v>
      </c>
      <c r="P13">
        <v>2</v>
      </c>
      <c r="Q13">
        <v>2</v>
      </c>
      <c r="R13">
        <v>2</v>
      </c>
      <c r="S13">
        <v>2</v>
      </c>
      <c r="T13">
        <v>3</v>
      </c>
      <c r="U13">
        <v>2</v>
      </c>
      <c r="V13">
        <v>2</v>
      </c>
      <c r="W13">
        <v>2</v>
      </c>
      <c r="X13">
        <v>2</v>
      </c>
      <c r="Y13">
        <f t="shared" si="1"/>
        <v>2.1</v>
      </c>
    </row>
    <row r="14" spans="1:28" x14ac:dyDescent="0.35">
      <c r="A14">
        <v>200048</v>
      </c>
      <c r="B14">
        <v>52</v>
      </c>
      <c r="C14">
        <v>0</v>
      </c>
      <c r="D14">
        <v>1</v>
      </c>
      <c r="E14">
        <v>0</v>
      </c>
      <c r="F14">
        <v>3</v>
      </c>
      <c r="G14">
        <v>4</v>
      </c>
      <c r="H14">
        <v>3</v>
      </c>
      <c r="I14">
        <v>3</v>
      </c>
      <c r="J14">
        <v>2</v>
      </c>
      <c r="K14">
        <v>4</v>
      </c>
      <c r="L14">
        <v>3</v>
      </c>
      <c r="M14">
        <v>3</v>
      </c>
      <c r="N14" s="6">
        <f t="shared" si="0"/>
        <v>3.125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f t="shared" si="1"/>
        <v>2</v>
      </c>
    </row>
    <row r="15" spans="1:28" x14ac:dyDescent="0.35">
      <c r="A15">
        <v>200049</v>
      </c>
      <c r="B15">
        <v>26</v>
      </c>
      <c r="C15">
        <v>0</v>
      </c>
      <c r="D15">
        <v>1</v>
      </c>
      <c r="E15">
        <v>1</v>
      </c>
      <c r="F15">
        <v>4</v>
      </c>
      <c r="G15">
        <v>3</v>
      </c>
      <c r="H15">
        <v>4</v>
      </c>
      <c r="I15">
        <v>4</v>
      </c>
      <c r="J15">
        <v>3</v>
      </c>
      <c r="K15">
        <v>4</v>
      </c>
      <c r="L15">
        <v>4</v>
      </c>
      <c r="M15">
        <v>3</v>
      </c>
      <c r="N15" s="6">
        <f t="shared" si="0"/>
        <v>3.625</v>
      </c>
      <c r="O15">
        <v>1</v>
      </c>
      <c r="P15">
        <v>1</v>
      </c>
      <c r="Q15">
        <v>1</v>
      </c>
      <c r="R15">
        <v>2</v>
      </c>
      <c r="S15">
        <v>2</v>
      </c>
      <c r="T15">
        <v>2</v>
      </c>
      <c r="U15">
        <v>1</v>
      </c>
      <c r="V15">
        <v>2</v>
      </c>
      <c r="W15">
        <v>1</v>
      </c>
      <c r="X15">
        <v>2</v>
      </c>
      <c r="Y15">
        <f t="shared" si="1"/>
        <v>1.5</v>
      </c>
    </row>
    <row r="16" spans="1:28" x14ac:dyDescent="0.35">
      <c r="A16">
        <v>200051</v>
      </c>
      <c r="B16">
        <v>36</v>
      </c>
      <c r="C16">
        <v>0</v>
      </c>
      <c r="D16">
        <v>1</v>
      </c>
      <c r="E16">
        <v>1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 s="6">
        <f t="shared" si="0"/>
        <v>4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f t="shared" si="1"/>
        <v>1</v>
      </c>
    </row>
    <row r="17" spans="1:25" x14ac:dyDescent="0.35">
      <c r="A17">
        <v>200052</v>
      </c>
      <c r="B17">
        <v>47</v>
      </c>
      <c r="C17">
        <v>0</v>
      </c>
      <c r="D17">
        <v>1</v>
      </c>
      <c r="E17">
        <v>1</v>
      </c>
      <c r="F17">
        <v>4</v>
      </c>
      <c r="G17">
        <v>3</v>
      </c>
      <c r="H17">
        <v>2</v>
      </c>
      <c r="I17">
        <v>4</v>
      </c>
      <c r="J17">
        <v>2</v>
      </c>
      <c r="K17">
        <v>4</v>
      </c>
      <c r="L17">
        <v>2</v>
      </c>
      <c r="M17">
        <v>4</v>
      </c>
      <c r="N17" s="6">
        <f t="shared" si="0"/>
        <v>3.125</v>
      </c>
      <c r="O17">
        <v>4</v>
      </c>
      <c r="P17">
        <v>3</v>
      </c>
      <c r="Q17">
        <v>3</v>
      </c>
      <c r="R17">
        <v>4</v>
      </c>
      <c r="S17">
        <v>4</v>
      </c>
      <c r="T17">
        <v>3</v>
      </c>
      <c r="U17">
        <v>2</v>
      </c>
      <c r="V17">
        <v>3</v>
      </c>
      <c r="W17">
        <v>2</v>
      </c>
      <c r="X17">
        <v>4</v>
      </c>
      <c r="Y17">
        <f t="shared" si="1"/>
        <v>3.2</v>
      </c>
    </row>
    <row r="18" spans="1:25" x14ac:dyDescent="0.35">
      <c r="A18">
        <v>200055</v>
      </c>
      <c r="B18">
        <v>53</v>
      </c>
      <c r="C18">
        <v>1</v>
      </c>
      <c r="D18">
        <v>0</v>
      </c>
      <c r="E18">
        <v>0</v>
      </c>
      <c r="F18">
        <v>3</v>
      </c>
      <c r="G18">
        <v>3</v>
      </c>
      <c r="H18">
        <v>3</v>
      </c>
      <c r="I18">
        <v>2</v>
      </c>
      <c r="J18">
        <v>4</v>
      </c>
      <c r="K18">
        <v>3</v>
      </c>
      <c r="L18">
        <v>4</v>
      </c>
      <c r="M18">
        <v>3</v>
      </c>
      <c r="N18" s="6">
        <f t="shared" si="0"/>
        <v>3.125</v>
      </c>
      <c r="O18">
        <v>3</v>
      </c>
      <c r="P18">
        <v>2</v>
      </c>
      <c r="Q18">
        <v>3</v>
      </c>
      <c r="R18">
        <v>3</v>
      </c>
      <c r="S18">
        <v>3</v>
      </c>
      <c r="T18">
        <v>2</v>
      </c>
      <c r="U18">
        <v>3</v>
      </c>
      <c r="V18">
        <v>3</v>
      </c>
      <c r="W18">
        <v>2</v>
      </c>
      <c r="X18">
        <v>2</v>
      </c>
      <c r="Y18">
        <f t="shared" si="1"/>
        <v>2.6</v>
      </c>
    </row>
    <row r="19" spans="1:25" x14ac:dyDescent="0.35">
      <c r="A19">
        <v>200060</v>
      </c>
      <c r="B19">
        <v>34</v>
      </c>
      <c r="C19">
        <v>1</v>
      </c>
      <c r="D19">
        <v>1</v>
      </c>
      <c r="E19">
        <v>0</v>
      </c>
      <c r="F19">
        <v>1</v>
      </c>
      <c r="G19">
        <v>1</v>
      </c>
      <c r="H19">
        <v>2</v>
      </c>
      <c r="I19">
        <v>2</v>
      </c>
      <c r="J19">
        <v>2</v>
      </c>
      <c r="K19">
        <v>1</v>
      </c>
      <c r="L19">
        <v>1</v>
      </c>
      <c r="M19">
        <v>2</v>
      </c>
      <c r="N19" s="6">
        <f t="shared" si="0"/>
        <v>1.5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f t="shared" si="1"/>
        <v>1</v>
      </c>
    </row>
    <row r="20" spans="1:25" x14ac:dyDescent="0.35">
      <c r="A20">
        <v>200066</v>
      </c>
      <c r="B20">
        <v>30</v>
      </c>
      <c r="C20">
        <v>1</v>
      </c>
      <c r="D20">
        <v>0</v>
      </c>
      <c r="E20">
        <v>1</v>
      </c>
      <c r="F20">
        <v>4</v>
      </c>
      <c r="G20">
        <v>3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 s="6">
        <f t="shared" si="0"/>
        <v>3.875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3</v>
      </c>
      <c r="W20">
        <v>3</v>
      </c>
      <c r="X20">
        <v>2</v>
      </c>
      <c r="Y20">
        <f t="shared" si="1"/>
        <v>2.2000000000000002</v>
      </c>
    </row>
    <row r="21" spans="1:25" x14ac:dyDescent="0.35">
      <c r="A21">
        <v>200195</v>
      </c>
      <c r="B21">
        <v>52</v>
      </c>
      <c r="C21">
        <v>0</v>
      </c>
      <c r="D21">
        <v>1</v>
      </c>
      <c r="E21">
        <v>0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5</v>
      </c>
      <c r="M21">
        <v>4</v>
      </c>
      <c r="N21" s="6">
        <f t="shared" si="0"/>
        <v>4.125</v>
      </c>
      <c r="O21">
        <v>2</v>
      </c>
      <c r="P21">
        <v>2</v>
      </c>
      <c r="Q21">
        <v>2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>
        <v>2</v>
      </c>
      <c r="Y21">
        <f t="shared" si="1"/>
        <v>1.6</v>
      </c>
    </row>
    <row r="22" spans="1:25" x14ac:dyDescent="0.35">
      <c r="A22">
        <v>200201</v>
      </c>
      <c r="B22">
        <v>42</v>
      </c>
      <c r="C22">
        <v>1</v>
      </c>
      <c r="D22">
        <v>0</v>
      </c>
      <c r="E22">
        <v>0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5</v>
      </c>
      <c r="M22">
        <v>4</v>
      </c>
      <c r="N22" s="6">
        <f t="shared" si="0"/>
        <v>4.125</v>
      </c>
      <c r="O22">
        <v>3</v>
      </c>
      <c r="P22">
        <v>2</v>
      </c>
      <c r="Q22">
        <v>2</v>
      </c>
      <c r="R22">
        <v>3</v>
      </c>
      <c r="S22">
        <v>2</v>
      </c>
      <c r="T22">
        <v>3</v>
      </c>
      <c r="U22">
        <v>2</v>
      </c>
      <c r="V22">
        <v>2</v>
      </c>
      <c r="W22">
        <v>2</v>
      </c>
      <c r="X22">
        <v>2</v>
      </c>
      <c r="Y22">
        <f t="shared" si="1"/>
        <v>2.2999999999999998</v>
      </c>
    </row>
    <row r="23" spans="1:25" x14ac:dyDescent="0.35">
      <c r="A23">
        <v>200203</v>
      </c>
      <c r="B23">
        <v>51</v>
      </c>
      <c r="C23">
        <v>0</v>
      </c>
      <c r="D23">
        <v>0</v>
      </c>
      <c r="E23">
        <v>1</v>
      </c>
      <c r="F23">
        <v>3</v>
      </c>
      <c r="G23">
        <v>4</v>
      </c>
      <c r="H23">
        <v>2</v>
      </c>
      <c r="I23">
        <v>3</v>
      </c>
      <c r="J23">
        <v>2</v>
      </c>
      <c r="K23">
        <v>4</v>
      </c>
      <c r="L23">
        <v>3</v>
      </c>
      <c r="M23">
        <v>2</v>
      </c>
      <c r="N23" s="6">
        <f t="shared" si="0"/>
        <v>2.875</v>
      </c>
      <c r="O23">
        <v>1</v>
      </c>
      <c r="P23">
        <v>1</v>
      </c>
      <c r="Q23">
        <v>2</v>
      </c>
      <c r="R23">
        <v>1</v>
      </c>
      <c r="S23">
        <v>2</v>
      </c>
      <c r="T23">
        <v>2</v>
      </c>
      <c r="U23">
        <v>2</v>
      </c>
      <c r="V23">
        <v>1</v>
      </c>
      <c r="W23">
        <v>1</v>
      </c>
      <c r="X23">
        <v>1</v>
      </c>
      <c r="Y23">
        <f t="shared" si="1"/>
        <v>1.4</v>
      </c>
    </row>
    <row r="24" spans="1:25" x14ac:dyDescent="0.35">
      <c r="A24">
        <v>200205</v>
      </c>
      <c r="B24">
        <v>52</v>
      </c>
      <c r="C24">
        <v>0</v>
      </c>
      <c r="D24">
        <v>0</v>
      </c>
      <c r="E24">
        <v>0</v>
      </c>
      <c r="F24">
        <v>3</v>
      </c>
      <c r="G24">
        <v>3</v>
      </c>
      <c r="H24">
        <v>3</v>
      </c>
      <c r="I24">
        <v>4</v>
      </c>
      <c r="J24">
        <v>3</v>
      </c>
      <c r="K24">
        <v>3</v>
      </c>
      <c r="L24">
        <v>3</v>
      </c>
      <c r="M24">
        <v>3</v>
      </c>
      <c r="N24" s="6">
        <f t="shared" si="0"/>
        <v>3.125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f t="shared" si="1"/>
        <v>1</v>
      </c>
    </row>
    <row r="25" spans="1:25" x14ac:dyDescent="0.35">
      <c r="A25">
        <v>200206</v>
      </c>
      <c r="B25">
        <v>40</v>
      </c>
      <c r="C25">
        <v>1</v>
      </c>
      <c r="D25">
        <v>1</v>
      </c>
      <c r="E25">
        <v>0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 s="6">
        <f t="shared" si="0"/>
        <v>3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f t="shared" si="1"/>
        <v>4</v>
      </c>
    </row>
    <row r="26" spans="1:25" x14ac:dyDescent="0.35">
      <c r="A26">
        <v>200210</v>
      </c>
      <c r="B26">
        <v>43</v>
      </c>
      <c r="C26">
        <v>0</v>
      </c>
      <c r="D26">
        <v>0</v>
      </c>
      <c r="E26">
        <v>1</v>
      </c>
      <c r="F26">
        <v>4</v>
      </c>
      <c r="G26">
        <v>3</v>
      </c>
      <c r="H26">
        <v>4</v>
      </c>
      <c r="I26">
        <v>2</v>
      </c>
      <c r="J26">
        <v>2</v>
      </c>
      <c r="K26">
        <v>3</v>
      </c>
      <c r="L26">
        <v>4</v>
      </c>
      <c r="M26">
        <v>4</v>
      </c>
      <c r="N26" s="6">
        <f t="shared" si="0"/>
        <v>3.25</v>
      </c>
      <c r="O26">
        <v>2</v>
      </c>
      <c r="P26">
        <v>2</v>
      </c>
      <c r="Q26">
        <v>2</v>
      </c>
      <c r="R26">
        <v>3</v>
      </c>
      <c r="S26">
        <v>2</v>
      </c>
      <c r="T26">
        <v>2</v>
      </c>
      <c r="U26">
        <v>3</v>
      </c>
      <c r="V26">
        <v>2</v>
      </c>
      <c r="W26">
        <v>2</v>
      </c>
      <c r="X26">
        <v>2</v>
      </c>
      <c r="Y26">
        <f t="shared" si="1"/>
        <v>2.2000000000000002</v>
      </c>
    </row>
    <row r="27" spans="1:25" x14ac:dyDescent="0.35">
      <c r="A27">
        <v>200211</v>
      </c>
      <c r="B27">
        <v>46</v>
      </c>
      <c r="C27">
        <v>0</v>
      </c>
      <c r="D27">
        <v>0</v>
      </c>
      <c r="E27">
        <v>1</v>
      </c>
      <c r="F27">
        <v>5</v>
      </c>
      <c r="G27">
        <v>4</v>
      </c>
      <c r="H27">
        <v>4</v>
      </c>
      <c r="I27">
        <v>4</v>
      </c>
      <c r="J27">
        <v>4</v>
      </c>
      <c r="K27">
        <v>4</v>
      </c>
      <c r="L27">
        <v>3</v>
      </c>
      <c r="M27">
        <v>4</v>
      </c>
      <c r="N27" s="6">
        <f t="shared" si="0"/>
        <v>4</v>
      </c>
      <c r="O27">
        <v>2</v>
      </c>
      <c r="P27">
        <v>1</v>
      </c>
      <c r="Q27">
        <v>2</v>
      </c>
      <c r="R27">
        <v>1</v>
      </c>
      <c r="S27">
        <v>2</v>
      </c>
      <c r="T27">
        <v>1</v>
      </c>
      <c r="U27">
        <v>2</v>
      </c>
      <c r="V27">
        <v>1</v>
      </c>
      <c r="W27">
        <v>2</v>
      </c>
      <c r="X27">
        <v>1</v>
      </c>
      <c r="Y27">
        <f t="shared" si="1"/>
        <v>1.5</v>
      </c>
    </row>
    <row r="28" spans="1:25" x14ac:dyDescent="0.35">
      <c r="A28">
        <v>200213</v>
      </c>
      <c r="B28">
        <v>55</v>
      </c>
      <c r="C28">
        <v>1</v>
      </c>
      <c r="D28">
        <v>1</v>
      </c>
      <c r="E28">
        <v>1</v>
      </c>
      <c r="F28">
        <v>5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3</v>
      </c>
      <c r="N28" s="6">
        <f t="shared" si="0"/>
        <v>3.875</v>
      </c>
      <c r="O28">
        <v>1</v>
      </c>
      <c r="P28">
        <v>1</v>
      </c>
      <c r="Q28">
        <v>1</v>
      </c>
      <c r="R28">
        <v>2</v>
      </c>
      <c r="S28">
        <v>1</v>
      </c>
      <c r="T28">
        <v>1</v>
      </c>
      <c r="U28">
        <v>2</v>
      </c>
      <c r="V28">
        <v>1</v>
      </c>
      <c r="W28">
        <v>2</v>
      </c>
      <c r="X28">
        <v>2</v>
      </c>
      <c r="Y28">
        <f t="shared" si="1"/>
        <v>1.4</v>
      </c>
    </row>
    <row r="29" spans="1:25" x14ac:dyDescent="0.35">
      <c r="A29">
        <v>200217</v>
      </c>
      <c r="B29">
        <v>47</v>
      </c>
      <c r="C29">
        <v>0</v>
      </c>
      <c r="D29">
        <v>1</v>
      </c>
      <c r="E29">
        <v>1</v>
      </c>
      <c r="F29">
        <v>2</v>
      </c>
      <c r="G29">
        <v>3</v>
      </c>
      <c r="H29">
        <v>2</v>
      </c>
      <c r="I29">
        <v>3</v>
      </c>
      <c r="J29">
        <v>3</v>
      </c>
      <c r="K29">
        <v>2</v>
      </c>
      <c r="L29">
        <v>4</v>
      </c>
      <c r="M29">
        <v>3</v>
      </c>
      <c r="N29" s="6">
        <f t="shared" si="0"/>
        <v>2.75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f t="shared" si="1"/>
        <v>2</v>
      </c>
    </row>
    <row r="30" spans="1:25" x14ac:dyDescent="0.35">
      <c r="A30">
        <v>200223</v>
      </c>
      <c r="B30">
        <v>29</v>
      </c>
      <c r="C30">
        <v>0</v>
      </c>
      <c r="D30">
        <v>1</v>
      </c>
      <c r="E30">
        <v>0</v>
      </c>
      <c r="F30">
        <v>3</v>
      </c>
      <c r="G30">
        <v>3</v>
      </c>
      <c r="H30">
        <v>3</v>
      </c>
      <c r="I30">
        <v>3</v>
      </c>
      <c r="J30">
        <v>2</v>
      </c>
      <c r="K30">
        <v>3</v>
      </c>
      <c r="L30">
        <v>3</v>
      </c>
      <c r="M30">
        <v>2</v>
      </c>
      <c r="N30" s="6">
        <f t="shared" si="0"/>
        <v>2.75</v>
      </c>
      <c r="O30">
        <v>1</v>
      </c>
      <c r="P30">
        <v>1</v>
      </c>
      <c r="Q30">
        <v>2</v>
      </c>
      <c r="R30">
        <v>2</v>
      </c>
      <c r="S30">
        <v>1</v>
      </c>
      <c r="T30">
        <v>1</v>
      </c>
      <c r="U30">
        <v>1</v>
      </c>
      <c r="V30">
        <v>2</v>
      </c>
      <c r="W30">
        <v>1</v>
      </c>
      <c r="X30">
        <v>1</v>
      </c>
      <c r="Y30">
        <f t="shared" si="1"/>
        <v>1.3</v>
      </c>
    </row>
    <row r="31" spans="1:25" x14ac:dyDescent="0.35">
      <c r="A31">
        <v>200224</v>
      </c>
      <c r="B31">
        <v>42</v>
      </c>
      <c r="C31">
        <v>1</v>
      </c>
      <c r="D31">
        <v>0</v>
      </c>
      <c r="E31">
        <v>1</v>
      </c>
      <c r="F31">
        <v>5</v>
      </c>
      <c r="G31">
        <v>4</v>
      </c>
      <c r="H31">
        <v>4</v>
      </c>
      <c r="I31">
        <v>4</v>
      </c>
      <c r="J31">
        <v>4</v>
      </c>
      <c r="K31">
        <v>5</v>
      </c>
      <c r="L31">
        <v>4</v>
      </c>
      <c r="M31">
        <v>5</v>
      </c>
      <c r="N31" s="6">
        <f t="shared" si="0"/>
        <v>4.375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f t="shared" si="1"/>
        <v>1.1000000000000001</v>
      </c>
    </row>
    <row r="32" spans="1:25" x14ac:dyDescent="0.35">
      <c r="A32">
        <v>200226</v>
      </c>
      <c r="B32">
        <v>37</v>
      </c>
      <c r="C32">
        <v>0</v>
      </c>
      <c r="D32">
        <v>0</v>
      </c>
      <c r="E32">
        <v>0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 s="6">
        <f t="shared" si="0"/>
        <v>5</v>
      </c>
      <c r="O32">
        <v>2</v>
      </c>
      <c r="P32">
        <v>2</v>
      </c>
      <c r="Q32">
        <v>3</v>
      </c>
      <c r="R32">
        <v>3</v>
      </c>
      <c r="S32">
        <v>2</v>
      </c>
      <c r="T32">
        <v>3</v>
      </c>
      <c r="U32">
        <v>2</v>
      </c>
      <c r="V32">
        <v>2</v>
      </c>
      <c r="W32">
        <v>3</v>
      </c>
      <c r="X32">
        <v>2</v>
      </c>
      <c r="Y32">
        <f t="shared" si="1"/>
        <v>2.4</v>
      </c>
    </row>
    <row r="33" spans="1:25" x14ac:dyDescent="0.35">
      <c r="A33">
        <v>200227</v>
      </c>
      <c r="B33">
        <v>44</v>
      </c>
      <c r="C33">
        <v>1</v>
      </c>
      <c r="D33">
        <v>0</v>
      </c>
      <c r="E33">
        <v>1</v>
      </c>
      <c r="F33">
        <v>3</v>
      </c>
      <c r="G33">
        <v>4</v>
      </c>
      <c r="H33">
        <v>4</v>
      </c>
      <c r="I33">
        <v>3</v>
      </c>
      <c r="J33">
        <v>2</v>
      </c>
      <c r="K33">
        <v>3</v>
      </c>
      <c r="L33">
        <v>2</v>
      </c>
      <c r="M33">
        <v>3</v>
      </c>
      <c r="N33" s="6">
        <f t="shared" si="0"/>
        <v>3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3</v>
      </c>
      <c r="V33">
        <v>2</v>
      </c>
      <c r="W33">
        <v>3</v>
      </c>
      <c r="X33">
        <v>2</v>
      </c>
      <c r="Y33">
        <f t="shared" si="1"/>
        <v>2.2000000000000002</v>
      </c>
    </row>
    <row r="34" spans="1:25" x14ac:dyDescent="0.35">
      <c r="A34">
        <v>200229</v>
      </c>
      <c r="B34">
        <v>33</v>
      </c>
      <c r="C34">
        <v>1</v>
      </c>
      <c r="D34">
        <v>0</v>
      </c>
      <c r="E34">
        <v>1</v>
      </c>
      <c r="F34">
        <v>2</v>
      </c>
      <c r="G34">
        <v>1</v>
      </c>
      <c r="H34">
        <v>2</v>
      </c>
      <c r="I34">
        <v>1</v>
      </c>
      <c r="J34">
        <v>2</v>
      </c>
      <c r="K34">
        <v>1</v>
      </c>
      <c r="L34">
        <v>1</v>
      </c>
      <c r="M34">
        <v>2</v>
      </c>
      <c r="N34" s="6">
        <f t="shared" ref="N34:N65" si="2">AVERAGE(F34:M34)</f>
        <v>1.5</v>
      </c>
      <c r="O34">
        <v>3</v>
      </c>
      <c r="P34">
        <v>2</v>
      </c>
      <c r="Q34">
        <v>2</v>
      </c>
      <c r="R34">
        <v>2</v>
      </c>
      <c r="S34">
        <v>2</v>
      </c>
      <c r="T34">
        <v>3</v>
      </c>
      <c r="U34">
        <v>3</v>
      </c>
      <c r="V34">
        <v>2</v>
      </c>
      <c r="W34">
        <v>2</v>
      </c>
      <c r="X34">
        <v>2</v>
      </c>
      <c r="Y34">
        <f t="shared" si="1"/>
        <v>2.2999999999999998</v>
      </c>
    </row>
    <row r="35" spans="1:25" x14ac:dyDescent="0.35">
      <c r="A35">
        <v>200230</v>
      </c>
      <c r="B35">
        <v>55</v>
      </c>
      <c r="C35">
        <v>0</v>
      </c>
      <c r="D35">
        <v>0</v>
      </c>
      <c r="E35">
        <v>0</v>
      </c>
      <c r="F35">
        <v>2</v>
      </c>
      <c r="G35">
        <v>3</v>
      </c>
      <c r="H35">
        <v>3</v>
      </c>
      <c r="I35">
        <v>2</v>
      </c>
      <c r="J35">
        <v>2</v>
      </c>
      <c r="K35">
        <v>2</v>
      </c>
      <c r="L35">
        <v>2</v>
      </c>
      <c r="M35">
        <v>2</v>
      </c>
      <c r="N35" s="6">
        <f t="shared" si="2"/>
        <v>2.25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f t="shared" si="1"/>
        <v>2</v>
      </c>
    </row>
    <row r="36" spans="1:25" x14ac:dyDescent="0.35">
      <c r="A36">
        <v>200231</v>
      </c>
      <c r="B36">
        <v>23</v>
      </c>
      <c r="C36">
        <v>0</v>
      </c>
      <c r="D36">
        <v>0</v>
      </c>
      <c r="E36">
        <v>1</v>
      </c>
      <c r="F36">
        <v>3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 s="6">
        <f t="shared" si="2"/>
        <v>2.125</v>
      </c>
      <c r="O36">
        <v>4</v>
      </c>
      <c r="P36">
        <v>4</v>
      </c>
      <c r="Q36">
        <v>4</v>
      </c>
      <c r="R36">
        <v>3</v>
      </c>
      <c r="S36">
        <v>3</v>
      </c>
      <c r="T36">
        <v>3</v>
      </c>
      <c r="U36">
        <v>3</v>
      </c>
      <c r="V36">
        <v>4</v>
      </c>
      <c r="W36">
        <v>4</v>
      </c>
      <c r="X36">
        <v>4</v>
      </c>
      <c r="Y36">
        <f t="shared" si="1"/>
        <v>3.6</v>
      </c>
    </row>
    <row r="37" spans="1:25" x14ac:dyDescent="0.35">
      <c r="A37">
        <v>200233</v>
      </c>
      <c r="B37">
        <v>45</v>
      </c>
      <c r="C37">
        <v>1</v>
      </c>
      <c r="D37">
        <v>0</v>
      </c>
      <c r="E37">
        <v>1</v>
      </c>
      <c r="F37">
        <v>5</v>
      </c>
      <c r="G37">
        <v>3</v>
      </c>
      <c r="H37">
        <v>5</v>
      </c>
      <c r="I37">
        <v>4</v>
      </c>
      <c r="J37">
        <v>4</v>
      </c>
      <c r="K37">
        <v>3</v>
      </c>
      <c r="L37">
        <v>4</v>
      </c>
      <c r="M37">
        <v>4</v>
      </c>
      <c r="N37" s="6">
        <f t="shared" si="2"/>
        <v>4</v>
      </c>
      <c r="O37">
        <v>1</v>
      </c>
      <c r="P37">
        <v>1</v>
      </c>
      <c r="Q37">
        <v>2</v>
      </c>
      <c r="R37">
        <v>1</v>
      </c>
      <c r="S37">
        <v>2</v>
      </c>
      <c r="T37">
        <v>1</v>
      </c>
      <c r="U37">
        <v>2</v>
      </c>
      <c r="V37">
        <v>1</v>
      </c>
      <c r="W37">
        <v>2</v>
      </c>
      <c r="X37">
        <v>1</v>
      </c>
      <c r="Y37">
        <f t="shared" si="1"/>
        <v>1.4</v>
      </c>
    </row>
    <row r="38" spans="1:25" x14ac:dyDescent="0.35">
      <c r="A38">
        <v>200234</v>
      </c>
      <c r="B38">
        <v>42</v>
      </c>
      <c r="C38">
        <v>0</v>
      </c>
      <c r="D38">
        <v>0</v>
      </c>
      <c r="E38">
        <v>1</v>
      </c>
      <c r="F38">
        <v>5</v>
      </c>
      <c r="G38">
        <v>3</v>
      </c>
      <c r="H38">
        <v>3</v>
      </c>
      <c r="I38">
        <v>4</v>
      </c>
      <c r="J38">
        <v>3</v>
      </c>
      <c r="K38">
        <v>4</v>
      </c>
      <c r="L38">
        <v>3</v>
      </c>
      <c r="M38">
        <v>4</v>
      </c>
      <c r="N38" s="6">
        <f t="shared" si="2"/>
        <v>3.625</v>
      </c>
      <c r="O38">
        <v>2</v>
      </c>
      <c r="P38">
        <v>3</v>
      </c>
      <c r="Q38">
        <v>2</v>
      </c>
      <c r="R38">
        <v>3</v>
      </c>
      <c r="S38">
        <v>3</v>
      </c>
      <c r="T38">
        <v>2</v>
      </c>
      <c r="U38">
        <v>3</v>
      </c>
      <c r="V38">
        <v>2</v>
      </c>
      <c r="W38">
        <v>3</v>
      </c>
      <c r="X38">
        <v>2</v>
      </c>
      <c r="Y38">
        <f t="shared" si="1"/>
        <v>2.5</v>
      </c>
    </row>
    <row r="39" spans="1:25" x14ac:dyDescent="0.35">
      <c r="A39">
        <v>200238</v>
      </c>
      <c r="B39">
        <v>45</v>
      </c>
      <c r="C39">
        <v>1</v>
      </c>
      <c r="D39">
        <v>0</v>
      </c>
      <c r="E39">
        <v>1</v>
      </c>
      <c r="F39">
        <v>4</v>
      </c>
      <c r="G39">
        <v>4</v>
      </c>
      <c r="H39">
        <v>4</v>
      </c>
      <c r="I39">
        <v>3</v>
      </c>
      <c r="J39">
        <v>4</v>
      </c>
      <c r="K39">
        <v>4</v>
      </c>
      <c r="L39">
        <v>3</v>
      </c>
      <c r="M39">
        <v>4</v>
      </c>
      <c r="N39" s="6">
        <f t="shared" si="2"/>
        <v>3.75</v>
      </c>
      <c r="O39">
        <v>3</v>
      </c>
      <c r="P39">
        <v>2</v>
      </c>
      <c r="Q39">
        <v>3</v>
      </c>
      <c r="R39">
        <v>2</v>
      </c>
      <c r="S39">
        <v>3</v>
      </c>
      <c r="T39">
        <v>2</v>
      </c>
      <c r="U39">
        <v>3</v>
      </c>
      <c r="V39">
        <v>2</v>
      </c>
      <c r="W39">
        <v>3</v>
      </c>
      <c r="X39">
        <v>2</v>
      </c>
      <c r="Y39">
        <f t="shared" si="1"/>
        <v>2.5</v>
      </c>
    </row>
    <row r="40" spans="1:25" x14ac:dyDescent="0.35">
      <c r="A40">
        <v>200241</v>
      </c>
      <c r="B40">
        <v>27</v>
      </c>
      <c r="C40">
        <v>1</v>
      </c>
      <c r="D40">
        <v>1</v>
      </c>
      <c r="E40">
        <v>0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 s="6">
        <f t="shared" si="2"/>
        <v>4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f t="shared" si="1"/>
        <v>1</v>
      </c>
    </row>
    <row r="41" spans="1:25" x14ac:dyDescent="0.35">
      <c r="A41">
        <v>200242</v>
      </c>
      <c r="B41">
        <v>24</v>
      </c>
      <c r="C41">
        <v>0</v>
      </c>
      <c r="D41">
        <v>0</v>
      </c>
      <c r="E41">
        <v>0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4</v>
      </c>
      <c r="N41" s="6">
        <f t="shared" si="2"/>
        <v>4.875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f t="shared" si="1"/>
        <v>1</v>
      </c>
    </row>
    <row r="42" spans="1:25" x14ac:dyDescent="0.35">
      <c r="A42">
        <v>200244</v>
      </c>
      <c r="B42">
        <v>85</v>
      </c>
      <c r="C42">
        <v>0</v>
      </c>
      <c r="D42">
        <v>0</v>
      </c>
      <c r="E42">
        <v>1</v>
      </c>
      <c r="F42">
        <v>2</v>
      </c>
      <c r="G42">
        <v>2</v>
      </c>
      <c r="H42">
        <v>2</v>
      </c>
      <c r="I42">
        <v>3</v>
      </c>
      <c r="J42">
        <v>1</v>
      </c>
      <c r="K42">
        <v>2</v>
      </c>
      <c r="L42">
        <v>1</v>
      </c>
      <c r="M42">
        <v>2</v>
      </c>
      <c r="N42" s="6">
        <f t="shared" si="2"/>
        <v>1.875</v>
      </c>
      <c r="O42">
        <v>3</v>
      </c>
      <c r="P42">
        <v>2</v>
      </c>
      <c r="Q42">
        <v>2</v>
      </c>
      <c r="R42">
        <v>2</v>
      </c>
      <c r="S42">
        <v>3</v>
      </c>
      <c r="T42">
        <v>3</v>
      </c>
      <c r="U42">
        <v>2</v>
      </c>
      <c r="V42">
        <v>2</v>
      </c>
      <c r="W42">
        <v>3</v>
      </c>
      <c r="X42">
        <v>2</v>
      </c>
      <c r="Y42">
        <f t="shared" si="1"/>
        <v>2.4</v>
      </c>
    </row>
    <row r="43" spans="1:25" x14ac:dyDescent="0.35">
      <c r="A43">
        <v>200245</v>
      </c>
      <c r="B43">
        <v>43</v>
      </c>
      <c r="C43">
        <v>1</v>
      </c>
      <c r="D43">
        <v>0</v>
      </c>
      <c r="E43">
        <v>1</v>
      </c>
      <c r="F43">
        <v>3</v>
      </c>
      <c r="G43">
        <v>3</v>
      </c>
      <c r="H43">
        <v>3</v>
      </c>
      <c r="I43">
        <v>3</v>
      </c>
      <c r="J43">
        <v>3</v>
      </c>
      <c r="K43">
        <v>4</v>
      </c>
      <c r="L43">
        <v>4</v>
      </c>
      <c r="M43">
        <v>4</v>
      </c>
      <c r="N43" s="6">
        <f t="shared" si="2"/>
        <v>3.375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1</v>
      </c>
      <c r="V43">
        <v>1</v>
      </c>
      <c r="W43">
        <v>1</v>
      </c>
      <c r="X43">
        <v>1</v>
      </c>
      <c r="Y43">
        <f t="shared" si="1"/>
        <v>1.6</v>
      </c>
    </row>
    <row r="44" spans="1:25" x14ac:dyDescent="0.35">
      <c r="A44">
        <v>200247</v>
      </c>
      <c r="B44">
        <v>35</v>
      </c>
      <c r="C44">
        <v>0</v>
      </c>
      <c r="D44">
        <v>0</v>
      </c>
      <c r="E44">
        <v>0</v>
      </c>
      <c r="F44">
        <v>3</v>
      </c>
      <c r="G44">
        <v>2</v>
      </c>
      <c r="H44">
        <v>3</v>
      </c>
      <c r="I44">
        <v>3</v>
      </c>
      <c r="J44">
        <v>3</v>
      </c>
      <c r="K44">
        <v>4</v>
      </c>
      <c r="L44">
        <v>4</v>
      </c>
      <c r="M44">
        <v>4</v>
      </c>
      <c r="N44" s="6">
        <f t="shared" si="2"/>
        <v>3.25</v>
      </c>
      <c r="O44">
        <v>3</v>
      </c>
      <c r="P44">
        <v>3</v>
      </c>
      <c r="Q44">
        <v>3</v>
      </c>
      <c r="R44">
        <v>3</v>
      </c>
      <c r="S44">
        <v>2</v>
      </c>
      <c r="T44">
        <v>3</v>
      </c>
      <c r="U44">
        <v>3</v>
      </c>
      <c r="V44">
        <v>3</v>
      </c>
      <c r="W44">
        <v>3</v>
      </c>
      <c r="X44">
        <v>3</v>
      </c>
      <c r="Y44">
        <f t="shared" si="1"/>
        <v>2.9</v>
      </c>
    </row>
    <row r="45" spans="1:25" x14ac:dyDescent="0.35">
      <c r="A45">
        <v>200249</v>
      </c>
      <c r="B45">
        <v>52</v>
      </c>
      <c r="C45">
        <v>1</v>
      </c>
      <c r="D45">
        <v>0</v>
      </c>
      <c r="E45">
        <v>1</v>
      </c>
      <c r="F45">
        <v>3</v>
      </c>
      <c r="G45">
        <v>3</v>
      </c>
      <c r="H45">
        <v>2</v>
      </c>
      <c r="I45">
        <v>3</v>
      </c>
      <c r="J45">
        <v>3</v>
      </c>
      <c r="K45">
        <v>2</v>
      </c>
      <c r="L45">
        <v>3</v>
      </c>
      <c r="M45">
        <v>2</v>
      </c>
      <c r="N45" s="6">
        <f t="shared" si="2"/>
        <v>2.625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f t="shared" si="1"/>
        <v>3</v>
      </c>
    </row>
    <row r="46" spans="1:25" x14ac:dyDescent="0.35">
      <c r="A46">
        <v>200250</v>
      </c>
      <c r="B46">
        <v>57</v>
      </c>
      <c r="C46">
        <v>0</v>
      </c>
      <c r="D46">
        <v>0</v>
      </c>
      <c r="E46">
        <v>1</v>
      </c>
      <c r="F46">
        <v>2</v>
      </c>
      <c r="G46">
        <v>3</v>
      </c>
      <c r="H46">
        <v>4</v>
      </c>
      <c r="I46">
        <v>2</v>
      </c>
      <c r="J46">
        <v>5</v>
      </c>
      <c r="K46">
        <v>4</v>
      </c>
      <c r="L46">
        <v>4</v>
      </c>
      <c r="M46">
        <v>4</v>
      </c>
      <c r="N46" s="6">
        <f t="shared" si="2"/>
        <v>3.5</v>
      </c>
      <c r="O46">
        <v>1</v>
      </c>
      <c r="P46">
        <v>1</v>
      </c>
      <c r="Q46">
        <v>1</v>
      </c>
      <c r="R46">
        <v>1</v>
      </c>
      <c r="S46">
        <v>2</v>
      </c>
      <c r="T46">
        <v>1</v>
      </c>
      <c r="U46">
        <v>2</v>
      </c>
      <c r="V46">
        <v>1</v>
      </c>
      <c r="W46">
        <v>2</v>
      </c>
      <c r="X46">
        <v>2</v>
      </c>
      <c r="Y46">
        <f t="shared" si="1"/>
        <v>1.4</v>
      </c>
    </row>
    <row r="47" spans="1:25" x14ac:dyDescent="0.35">
      <c r="A47">
        <v>200251</v>
      </c>
      <c r="B47">
        <v>67</v>
      </c>
      <c r="C47">
        <v>0</v>
      </c>
      <c r="D47">
        <v>0</v>
      </c>
      <c r="E47">
        <v>0</v>
      </c>
      <c r="F47">
        <v>4</v>
      </c>
      <c r="G47">
        <v>4</v>
      </c>
      <c r="H47">
        <v>3</v>
      </c>
      <c r="I47">
        <v>3</v>
      </c>
      <c r="J47">
        <v>3</v>
      </c>
      <c r="K47">
        <v>4</v>
      </c>
      <c r="L47">
        <v>4</v>
      </c>
      <c r="M47">
        <v>3</v>
      </c>
      <c r="N47" s="6">
        <f t="shared" si="2"/>
        <v>3.5</v>
      </c>
      <c r="O47">
        <v>2</v>
      </c>
      <c r="P47">
        <v>2</v>
      </c>
      <c r="Q47">
        <v>1</v>
      </c>
      <c r="R47">
        <v>1</v>
      </c>
      <c r="S47">
        <v>1</v>
      </c>
      <c r="T47">
        <v>2</v>
      </c>
      <c r="U47">
        <v>2</v>
      </c>
      <c r="V47">
        <v>2</v>
      </c>
      <c r="W47">
        <v>2</v>
      </c>
      <c r="X47">
        <v>1</v>
      </c>
      <c r="Y47">
        <f t="shared" si="1"/>
        <v>1.6</v>
      </c>
    </row>
    <row r="48" spans="1:25" x14ac:dyDescent="0.35">
      <c r="A48">
        <v>200139</v>
      </c>
      <c r="B48">
        <v>34</v>
      </c>
      <c r="C48">
        <v>0</v>
      </c>
      <c r="D48">
        <v>0</v>
      </c>
      <c r="E48">
        <v>1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s="6">
        <f t="shared" si="2"/>
        <v>4</v>
      </c>
      <c r="O48">
        <v>1</v>
      </c>
      <c r="P48">
        <v>1</v>
      </c>
      <c r="Q48">
        <v>2</v>
      </c>
      <c r="R48">
        <v>2</v>
      </c>
      <c r="S48">
        <v>2</v>
      </c>
      <c r="T48">
        <v>1</v>
      </c>
      <c r="U48">
        <v>2</v>
      </c>
      <c r="V48">
        <v>2</v>
      </c>
      <c r="W48">
        <v>2</v>
      </c>
      <c r="X48">
        <v>1</v>
      </c>
      <c r="Y48">
        <f t="shared" si="1"/>
        <v>1.6</v>
      </c>
    </row>
    <row r="49" spans="1:25" x14ac:dyDescent="0.35">
      <c r="A49">
        <v>200148</v>
      </c>
      <c r="B49">
        <v>41</v>
      </c>
      <c r="C49">
        <v>0</v>
      </c>
      <c r="D49">
        <v>1</v>
      </c>
      <c r="E49">
        <v>1</v>
      </c>
      <c r="F49">
        <v>4</v>
      </c>
      <c r="G49">
        <v>2</v>
      </c>
      <c r="H49">
        <v>3</v>
      </c>
      <c r="I49">
        <v>2</v>
      </c>
      <c r="J49">
        <v>2</v>
      </c>
      <c r="K49">
        <v>3</v>
      </c>
      <c r="L49">
        <v>4</v>
      </c>
      <c r="M49">
        <v>3</v>
      </c>
      <c r="N49" s="6">
        <f t="shared" si="2"/>
        <v>2.875</v>
      </c>
      <c r="O49">
        <v>1</v>
      </c>
      <c r="P49">
        <v>1</v>
      </c>
      <c r="Q49">
        <v>1</v>
      </c>
      <c r="R49">
        <v>2</v>
      </c>
      <c r="S49">
        <v>2</v>
      </c>
      <c r="T49">
        <v>2</v>
      </c>
      <c r="U49">
        <v>2</v>
      </c>
      <c r="V49">
        <v>1</v>
      </c>
      <c r="W49">
        <v>1</v>
      </c>
      <c r="X49">
        <v>1</v>
      </c>
      <c r="Y49">
        <f t="shared" si="1"/>
        <v>1.4</v>
      </c>
    </row>
    <row r="50" spans="1:25" x14ac:dyDescent="0.35">
      <c r="A50">
        <v>200152</v>
      </c>
      <c r="B50">
        <v>36</v>
      </c>
      <c r="C50">
        <v>0</v>
      </c>
      <c r="D50">
        <v>1</v>
      </c>
      <c r="E50">
        <v>1</v>
      </c>
      <c r="F50">
        <v>4</v>
      </c>
      <c r="G50">
        <v>3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 s="6">
        <f t="shared" si="2"/>
        <v>3.875</v>
      </c>
      <c r="O50">
        <v>3</v>
      </c>
      <c r="P50">
        <v>3</v>
      </c>
      <c r="Q50">
        <v>3</v>
      </c>
      <c r="R50">
        <v>3</v>
      </c>
      <c r="S50">
        <v>3</v>
      </c>
      <c r="T50">
        <v>4</v>
      </c>
      <c r="U50">
        <v>3</v>
      </c>
      <c r="V50">
        <v>3</v>
      </c>
      <c r="W50">
        <v>3</v>
      </c>
      <c r="X50">
        <v>3</v>
      </c>
      <c r="Y50">
        <f t="shared" si="1"/>
        <v>3.1</v>
      </c>
    </row>
    <row r="51" spans="1:25" x14ac:dyDescent="0.35">
      <c r="A51">
        <v>200153</v>
      </c>
      <c r="B51">
        <v>50</v>
      </c>
      <c r="C51">
        <v>1</v>
      </c>
      <c r="D51">
        <v>0</v>
      </c>
      <c r="E51">
        <v>0</v>
      </c>
      <c r="F51">
        <v>5</v>
      </c>
      <c r="G51">
        <v>5</v>
      </c>
      <c r="H51">
        <v>4</v>
      </c>
      <c r="I51">
        <v>4</v>
      </c>
      <c r="J51">
        <v>5</v>
      </c>
      <c r="K51">
        <v>4</v>
      </c>
      <c r="L51">
        <v>5</v>
      </c>
      <c r="M51">
        <v>5</v>
      </c>
      <c r="N51" s="6">
        <f t="shared" si="2"/>
        <v>4.625</v>
      </c>
      <c r="O51">
        <v>3</v>
      </c>
      <c r="P51">
        <v>4</v>
      </c>
      <c r="Q51">
        <v>3</v>
      </c>
      <c r="R51">
        <v>3</v>
      </c>
      <c r="S51">
        <v>4</v>
      </c>
      <c r="T51">
        <v>3</v>
      </c>
      <c r="U51">
        <v>3</v>
      </c>
      <c r="V51">
        <v>3</v>
      </c>
      <c r="W51">
        <v>3</v>
      </c>
      <c r="X51">
        <v>3</v>
      </c>
      <c r="Y51">
        <f t="shared" si="1"/>
        <v>3.2</v>
      </c>
    </row>
    <row r="52" spans="1:25" x14ac:dyDescent="0.35">
      <c r="A52">
        <v>200170</v>
      </c>
      <c r="B52">
        <v>42</v>
      </c>
      <c r="C52">
        <v>1</v>
      </c>
      <c r="D52">
        <v>0</v>
      </c>
      <c r="E52">
        <v>0</v>
      </c>
      <c r="F52">
        <v>2</v>
      </c>
      <c r="G52">
        <v>3</v>
      </c>
      <c r="H52">
        <v>3</v>
      </c>
      <c r="I52">
        <v>2</v>
      </c>
      <c r="J52">
        <v>3</v>
      </c>
      <c r="K52">
        <v>3</v>
      </c>
      <c r="L52">
        <v>2</v>
      </c>
      <c r="M52">
        <v>3</v>
      </c>
      <c r="N52" s="6">
        <f t="shared" si="2"/>
        <v>2.625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f t="shared" si="1"/>
        <v>2</v>
      </c>
    </row>
    <row r="53" spans="1:25" x14ac:dyDescent="0.35">
      <c r="A53">
        <v>200172</v>
      </c>
      <c r="B53">
        <v>48</v>
      </c>
      <c r="C53">
        <v>1</v>
      </c>
      <c r="D53">
        <v>0</v>
      </c>
      <c r="E53">
        <v>0</v>
      </c>
      <c r="F53">
        <v>2</v>
      </c>
      <c r="G53">
        <v>3</v>
      </c>
      <c r="H53">
        <v>4</v>
      </c>
      <c r="I53">
        <v>2</v>
      </c>
      <c r="J53">
        <v>3</v>
      </c>
      <c r="K53">
        <v>4</v>
      </c>
      <c r="L53">
        <v>3</v>
      </c>
      <c r="M53">
        <v>3</v>
      </c>
      <c r="N53" s="6">
        <f t="shared" si="2"/>
        <v>3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f t="shared" si="1"/>
        <v>2</v>
      </c>
    </row>
    <row r="54" spans="1:25" x14ac:dyDescent="0.35">
      <c r="A54">
        <v>200177</v>
      </c>
      <c r="B54">
        <v>39</v>
      </c>
      <c r="C54">
        <v>0</v>
      </c>
      <c r="D54">
        <v>0</v>
      </c>
      <c r="E54">
        <v>1</v>
      </c>
      <c r="F54">
        <v>4</v>
      </c>
      <c r="G54">
        <v>4</v>
      </c>
      <c r="H54">
        <v>4</v>
      </c>
      <c r="I54">
        <v>4</v>
      </c>
      <c r="J54">
        <v>3</v>
      </c>
      <c r="K54">
        <v>4</v>
      </c>
      <c r="L54">
        <v>4</v>
      </c>
      <c r="M54">
        <v>4</v>
      </c>
      <c r="N54" s="6">
        <f t="shared" si="2"/>
        <v>3.875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f t="shared" si="1"/>
        <v>3</v>
      </c>
    </row>
    <row r="55" spans="1:25" x14ac:dyDescent="0.35">
      <c r="A55">
        <v>200185</v>
      </c>
      <c r="B55">
        <v>39</v>
      </c>
      <c r="C55">
        <v>1</v>
      </c>
      <c r="D55">
        <v>0</v>
      </c>
      <c r="E55">
        <v>0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 s="6">
        <f t="shared" si="2"/>
        <v>4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>
        <v>2</v>
      </c>
      <c r="V55">
        <v>2</v>
      </c>
      <c r="W55">
        <v>2</v>
      </c>
      <c r="X55">
        <v>1</v>
      </c>
      <c r="Y55">
        <f t="shared" si="1"/>
        <v>1.8</v>
      </c>
    </row>
    <row r="56" spans="1:25" x14ac:dyDescent="0.35">
      <c r="A56">
        <v>200189</v>
      </c>
      <c r="B56">
        <v>26</v>
      </c>
      <c r="C56">
        <v>1</v>
      </c>
      <c r="D56">
        <v>0</v>
      </c>
      <c r="E56">
        <v>1</v>
      </c>
      <c r="F56">
        <v>4</v>
      </c>
      <c r="G56">
        <v>3</v>
      </c>
      <c r="H56">
        <v>4</v>
      </c>
      <c r="I56">
        <v>4</v>
      </c>
      <c r="J56">
        <v>3</v>
      </c>
      <c r="K56">
        <v>3</v>
      </c>
      <c r="L56">
        <v>2</v>
      </c>
      <c r="M56">
        <v>3</v>
      </c>
      <c r="N56" s="6">
        <f t="shared" si="2"/>
        <v>3.25</v>
      </c>
      <c r="O56">
        <v>2</v>
      </c>
      <c r="P56">
        <v>2</v>
      </c>
      <c r="Q56">
        <v>2</v>
      </c>
      <c r="R56">
        <v>2</v>
      </c>
      <c r="S56">
        <v>1</v>
      </c>
      <c r="T56">
        <v>2</v>
      </c>
      <c r="U56">
        <v>2</v>
      </c>
      <c r="V56">
        <v>2</v>
      </c>
      <c r="W56">
        <v>2</v>
      </c>
      <c r="X56">
        <v>1</v>
      </c>
      <c r="Y56">
        <f t="shared" si="1"/>
        <v>1.8</v>
      </c>
    </row>
    <row r="57" spans="1:25" x14ac:dyDescent="0.35">
      <c r="A57">
        <v>200265</v>
      </c>
      <c r="B57">
        <v>37</v>
      </c>
      <c r="C57">
        <v>0</v>
      </c>
      <c r="D57">
        <v>0</v>
      </c>
      <c r="E57">
        <v>1</v>
      </c>
      <c r="F57">
        <v>3</v>
      </c>
      <c r="G57">
        <v>5</v>
      </c>
      <c r="H57">
        <v>4</v>
      </c>
      <c r="I57">
        <v>5</v>
      </c>
      <c r="J57">
        <v>4</v>
      </c>
      <c r="K57">
        <v>4</v>
      </c>
      <c r="L57">
        <v>4</v>
      </c>
      <c r="M57">
        <v>4</v>
      </c>
      <c r="N57" s="6">
        <f t="shared" si="2"/>
        <v>4.125</v>
      </c>
      <c r="O57">
        <v>1</v>
      </c>
      <c r="P57">
        <v>1</v>
      </c>
      <c r="Q57">
        <v>1</v>
      </c>
      <c r="R57">
        <v>2</v>
      </c>
      <c r="S57">
        <v>1</v>
      </c>
      <c r="T57">
        <v>2</v>
      </c>
      <c r="U57">
        <v>2</v>
      </c>
      <c r="V57">
        <v>1</v>
      </c>
      <c r="W57">
        <v>1</v>
      </c>
      <c r="X57">
        <v>1</v>
      </c>
      <c r="Y57">
        <f t="shared" si="1"/>
        <v>1.3</v>
      </c>
    </row>
    <row r="58" spans="1:25" x14ac:dyDescent="0.35">
      <c r="A58">
        <v>200267</v>
      </c>
      <c r="B58">
        <v>59</v>
      </c>
      <c r="C58">
        <v>1</v>
      </c>
      <c r="D58">
        <v>1</v>
      </c>
      <c r="E58">
        <v>0</v>
      </c>
      <c r="F58">
        <v>4</v>
      </c>
      <c r="G58">
        <v>4</v>
      </c>
      <c r="H58">
        <v>4</v>
      </c>
      <c r="I58">
        <v>5</v>
      </c>
      <c r="J58">
        <v>4</v>
      </c>
      <c r="K58">
        <v>4</v>
      </c>
      <c r="L58">
        <v>4</v>
      </c>
      <c r="M58">
        <v>4</v>
      </c>
      <c r="N58" s="6">
        <f t="shared" si="2"/>
        <v>4.125</v>
      </c>
      <c r="O58">
        <v>1</v>
      </c>
      <c r="P58">
        <v>1</v>
      </c>
      <c r="Q58">
        <v>1</v>
      </c>
      <c r="R58">
        <v>1</v>
      </c>
      <c r="S58">
        <v>1</v>
      </c>
      <c r="T58">
        <v>2</v>
      </c>
      <c r="U58">
        <v>2</v>
      </c>
      <c r="V58">
        <v>1</v>
      </c>
      <c r="W58">
        <v>1</v>
      </c>
      <c r="X58">
        <v>1</v>
      </c>
      <c r="Y58">
        <f t="shared" si="1"/>
        <v>1.2</v>
      </c>
    </row>
    <row r="59" spans="1:25" x14ac:dyDescent="0.35">
      <c r="A59">
        <v>200271</v>
      </c>
      <c r="B59">
        <v>54</v>
      </c>
      <c r="C59">
        <v>0</v>
      </c>
      <c r="D59">
        <v>1</v>
      </c>
      <c r="E59">
        <v>1</v>
      </c>
      <c r="F59">
        <v>5</v>
      </c>
      <c r="G59">
        <v>5</v>
      </c>
      <c r="H59">
        <v>5</v>
      </c>
      <c r="I59">
        <v>4</v>
      </c>
      <c r="J59">
        <v>4</v>
      </c>
      <c r="K59">
        <v>4</v>
      </c>
      <c r="L59">
        <v>4</v>
      </c>
      <c r="M59">
        <v>4</v>
      </c>
      <c r="N59" s="6">
        <f t="shared" si="2"/>
        <v>4.375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f t="shared" si="1"/>
        <v>1</v>
      </c>
    </row>
    <row r="60" spans="1:25" x14ac:dyDescent="0.35">
      <c r="A60">
        <v>200276</v>
      </c>
      <c r="B60">
        <v>58</v>
      </c>
      <c r="C60">
        <v>0</v>
      </c>
      <c r="D60">
        <v>0</v>
      </c>
      <c r="E60">
        <v>0</v>
      </c>
      <c r="F60">
        <v>4</v>
      </c>
      <c r="G60">
        <v>4</v>
      </c>
      <c r="H60">
        <v>5</v>
      </c>
      <c r="I60">
        <v>5</v>
      </c>
      <c r="J60">
        <v>5</v>
      </c>
      <c r="K60">
        <v>4</v>
      </c>
      <c r="L60">
        <v>5</v>
      </c>
      <c r="M60">
        <v>4</v>
      </c>
      <c r="N60" s="6">
        <f t="shared" si="2"/>
        <v>4.5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f t="shared" si="1"/>
        <v>1</v>
      </c>
    </row>
    <row r="61" spans="1:25" x14ac:dyDescent="0.35">
      <c r="A61">
        <v>200277</v>
      </c>
      <c r="B61">
        <v>21</v>
      </c>
      <c r="C61">
        <v>1</v>
      </c>
      <c r="D61">
        <v>0</v>
      </c>
      <c r="E61">
        <v>0</v>
      </c>
      <c r="F61">
        <v>4</v>
      </c>
      <c r="G61">
        <v>5</v>
      </c>
      <c r="H61">
        <v>4</v>
      </c>
      <c r="I61">
        <v>5</v>
      </c>
      <c r="J61">
        <v>4</v>
      </c>
      <c r="K61">
        <v>5</v>
      </c>
      <c r="L61">
        <v>4</v>
      </c>
      <c r="M61">
        <v>4</v>
      </c>
      <c r="N61" s="6">
        <f t="shared" si="2"/>
        <v>4.375</v>
      </c>
      <c r="O61">
        <v>1</v>
      </c>
      <c r="P61">
        <v>1</v>
      </c>
      <c r="Q61">
        <v>1</v>
      </c>
      <c r="R61">
        <v>1</v>
      </c>
      <c r="S61">
        <v>1</v>
      </c>
      <c r="T61">
        <v>2</v>
      </c>
      <c r="U61">
        <v>1</v>
      </c>
      <c r="V61">
        <v>1</v>
      </c>
      <c r="W61">
        <v>1</v>
      </c>
      <c r="X61">
        <v>1</v>
      </c>
      <c r="Y61">
        <f t="shared" si="1"/>
        <v>1.1000000000000001</v>
      </c>
    </row>
    <row r="62" spans="1:25" x14ac:dyDescent="0.35">
      <c r="A62">
        <v>200280</v>
      </c>
      <c r="B62">
        <v>47</v>
      </c>
      <c r="C62">
        <v>0</v>
      </c>
      <c r="D62">
        <v>0</v>
      </c>
      <c r="E62">
        <v>0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 s="6">
        <f t="shared" si="2"/>
        <v>5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f t="shared" si="1"/>
        <v>1</v>
      </c>
    </row>
    <row r="63" spans="1:25" x14ac:dyDescent="0.35">
      <c r="A63">
        <v>200282</v>
      </c>
      <c r="B63">
        <v>60</v>
      </c>
      <c r="C63">
        <v>1</v>
      </c>
      <c r="D63">
        <v>0</v>
      </c>
      <c r="E63">
        <v>0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 s="6">
        <f t="shared" si="2"/>
        <v>5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f t="shared" si="1"/>
        <v>1</v>
      </c>
    </row>
    <row r="64" spans="1:25" x14ac:dyDescent="0.35">
      <c r="A64">
        <v>200286</v>
      </c>
      <c r="B64">
        <v>32</v>
      </c>
      <c r="C64">
        <v>0</v>
      </c>
      <c r="D64">
        <v>0</v>
      </c>
      <c r="E64">
        <v>1</v>
      </c>
      <c r="F64">
        <v>5</v>
      </c>
      <c r="G64">
        <v>2</v>
      </c>
      <c r="H64">
        <v>2</v>
      </c>
      <c r="I64">
        <v>2</v>
      </c>
      <c r="J64">
        <v>3</v>
      </c>
      <c r="K64">
        <v>3</v>
      </c>
      <c r="L64">
        <v>2</v>
      </c>
      <c r="M64">
        <v>2</v>
      </c>
      <c r="N64" s="6">
        <f t="shared" si="2"/>
        <v>2.625</v>
      </c>
      <c r="O64">
        <v>2</v>
      </c>
      <c r="P64">
        <v>2</v>
      </c>
      <c r="Q64">
        <v>3</v>
      </c>
      <c r="R64">
        <v>3</v>
      </c>
      <c r="S64">
        <v>3</v>
      </c>
      <c r="T64">
        <v>2</v>
      </c>
      <c r="U64">
        <v>3</v>
      </c>
      <c r="V64">
        <v>3</v>
      </c>
      <c r="W64">
        <v>3</v>
      </c>
      <c r="X64">
        <v>2</v>
      </c>
      <c r="Y64">
        <f t="shared" si="1"/>
        <v>2.6</v>
      </c>
    </row>
    <row r="65" spans="1:25" x14ac:dyDescent="0.35">
      <c r="A65">
        <v>200291</v>
      </c>
      <c r="B65">
        <v>34</v>
      </c>
      <c r="C65">
        <v>1</v>
      </c>
      <c r="D65">
        <v>0</v>
      </c>
      <c r="E65">
        <v>1</v>
      </c>
      <c r="F65">
        <v>5</v>
      </c>
      <c r="G65">
        <v>1</v>
      </c>
      <c r="H65">
        <v>2</v>
      </c>
      <c r="I65">
        <v>1</v>
      </c>
      <c r="J65">
        <v>2</v>
      </c>
      <c r="K65">
        <v>2</v>
      </c>
      <c r="L65">
        <v>2</v>
      </c>
      <c r="M65">
        <v>2</v>
      </c>
      <c r="N65" s="6">
        <f t="shared" si="2"/>
        <v>2.125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3</v>
      </c>
      <c r="Y65">
        <f t="shared" si="1"/>
        <v>3</v>
      </c>
    </row>
    <row r="66" spans="1:25" x14ac:dyDescent="0.35">
      <c r="A66">
        <v>200303</v>
      </c>
      <c r="B66">
        <v>55</v>
      </c>
      <c r="C66">
        <v>0</v>
      </c>
      <c r="D66">
        <v>0</v>
      </c>
      <c r="E66">
        <v>1</v>
      </c>
      <c r="F66">
        <v>5</v>
      </c>
      <c r="G66">
        <v>4</v>
      </c>
      <c r="H66">
        <v>5</v>
      </c>
      <c r="I66">
        <v>4</v>
      </c>
      <c r="J66">
        <v>5</v>
      </c>
      <c r="K66">
        <v>5</v>
      </c>
      <c r="L66">
        <v>4</v>
      </c>
      <c r="M66">
        <v>5</v>
      </c>
      <c r="N66" s="6">
        <f t="shared" ref="N66:N97" si="3">AVERAGE(F66:M66)</f>
        <v>4.625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2</v>
      </c>
      <c r="W66">
        <v>1</v>
      </c>
      <c r="X66">
        <v>1</v>
      </c>
      <c r="Y66">
        <f t="shared" si="1"/>
        <v>1.1000000000000001</v>
      </c>
    </row>
    <row r="67" spans="1:25" x14ac:dyDescent="0.35">
      <c r="A67">
        <v>200313</v>
      </c>
      <c r="B67">
        <v>41</v>
      </c>
      <c r="C67">
        <v>0</v>
      </c>
      <c r="D67">
        <v>0</v>
      </c>
      <c r="E67">
        <v>1</v>
      </c>
      <c r="F67">
        <v>4</v>
      </c>
      <c r="G67">
        <v>5</v>
      </c>
      <c r="H67">
        <v>4</v>
      </c>
      <c r="I67">
        <v>5</v>
      </c>
      <c r="J67">
        <v>4</v>
      </c>
      <c r="K67">
        <v>5</v>
      </c>
      <c r="L67">
        <v>5</v>
      </c>
      <c r="M67">
        <v>5</v>
      </c>
      <c r="N67" s="6">
        <f t="shared" si="3"/>
        <v>4.625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f t="shared" ref="Y67:Y130" si="4">AVERAGE(O67:X67)</f>
        <v>3</v>
      </c>
    </row>
    <row r="68" spans="1:25" x14ac:dyDescent="0.35">
      <c r="A68">
        <v>200316</v>
      </c>
      <c r="B68">
        <v>40</v>
      </c>
      <c r="C68">
        <v>1</v>
      </c>
      <c r="D68">
        <v>1</v>
      </c>
      <c r="E68">
        <v>1</v>
      </c>
      <c r="F68">
        <v>4</v>
      </c>
      <c r="G68">
        <v>4</v>
      </c>
      <c r="H68">
        <v>4</v>
      </c>
      <c r="I68">
        <v>4</v>
      </c>
      <c r="J68">
        <v>3</v>
      </c>
      <c r="K68">
        <v>4</v>
      </c>
      <c r="L68">
        <v>4</v>
      </c>
      <c r="M68">
        <v>3</v>
      </c>
      <c r="N68" s="6">
        <f t="shared" si="3"/>
        <v>3.75</v>
      </c>
      <c r="O68">
        <v>1</v>
      </c>
      <c r="P68">
        <v>1</v>
      </c>
      <c r="Q68">
        <v>2</v>
      </c>
      <c r="R68">
        <v>2</v>
      </c>
      <c r="S68">
        <v>2</v>
      </c>
      <c r="T68">
        <v>2</v>
      </c>
      <c r="U68">
        <v>2</v>
      </c>
      <c r="V68">
        <v>1</v>
      </c>
      <c r="W68">
        <v>2</v>
      </c>
      <c r="X68">
        <v>1</v>
      </c>
      <c r="Y68">
        <f t="shared" si="4"/>
        <v>1.6</v>
      </c>
    </row>
    <row r="69" spans="1:25" x14ac:dyDescent="0.35">
      <c r="A69">
        <v>200321</v>
      </c>
      <c r="B69">
        <v>44</v>
      </c>
      <c r="C69">
        <v>1</v>
      </c>
      <c r="D69">
        <v>1</v>
      </c>
      <c r="E69">
        <v>0</v>
      </c>
      <c r="F69">
        <v>5</v>
      </c>
      <c r="G69">
        <v>5</v>
      </c>
      <c r="H69">
        <v>4</v>
      </c>
      <c r="I69">
        <v>4</v>
      </c>
      <c r="J69">
        <v>4</v>
      </c>
      <c r="K69">
        <v>5</v>
      </c>
      <c r="L69">
        <v>4</v>
      </c>
      <c r="M69">
        <v>4</v>
      </c>
      <c r="N69" s="6">
        <f t="shared" si="3"/>
        <v>4.375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f t="shared" si="4"/>
        <v>1</v>
      </c>
    </row>
    <row r="70" spans="1:25" x14ac:dyDescent="0.35">
      <c r="A70">
        <v>200333</v>
      </c>
      <c r="B70">
        <v>52</v>
      </c>
      <c r="C70">
        <v>1</v>
      </c>
      <c r="D70">
        <v>0</v>
      </c>
      <c r="E70">
        <v>1</v>
      </c>
      <c r="F70">
        <v>4</v>
      </c>
      <c r="G70">
        <v>4</v>
      </c>
      <c r="H70">
        <v>4</v>
      </c>
      <c r="I70">
        <v>4</v>
      </c>
      <c r="J70">
        <v>4</v>
      </c>
      <c r="K70">
        <v>3</v>
      </c>
      <c r="L70">
        <v>4</v>
      </c>
      <c r="M70">
        <v>3</v>
      </c>
      <c r="N70" s="6">
        <f t="shared" si="3"/>
        <v>3.75</v>
      </c>
      <c r="O70">
        <v>1</v>
      </c>
      <c r="P70">
        <v>1</v>
      </c>
      <c r="Q70">
        <v>1</v>
      </c>
      <c r="R70">
        <v>2</v>
      </c>
      <c r="S70">
        <v>2</v>
      </c>
      <c r="T70">
        <v>2</v>
      </c>
      <c r="U70">
        <v>2</v>
      </c>
      <c r="V70">
        <v>1</v>
      </c>
      <c r="W70">
        <v>1</v>
      </c>
      <c r="X70">
        <v>2</v>
      </c>
      <c r="Y70">
        <f t="shared" si="4"/>
        <v>1.5</v>
      </c>
    </row>
    <row r="71" spans="1:25" x14ac:dyDescent="0.35">
      <c r="A71">
        <v>200334</v>
      </c>
      <c r="B71">
        <v>34</v>
      </c>
      <c r="C71">
        <v>1</v>
      </c>
      <c r="D71">
        <v>1</v>
      </c>
      <c r="E71">
        <v>0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 s="6">
        <f t="shared" si="3"/>
        <v>5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f t="shared" si="4"/>
        <v>1</v>
      </c>
    </row>
    <row r="72" spans="1:25" x14ac:dyDescent="0.35">
      <c r="A72">
        <v>200335</v>
      </c>
      <c r="B72">
        <v>24</v>
      </c>
      <c r="C72">
        <v>0</v>
      </c>
      <c r="D72">
        <v>0</v>
      </c>
      <c r="E72">
        <v>0</v>
      </c>
      <c r="F72">
        <v>4</v>
      </c>
      <c r="G72">
        <v>5</v>
      </c>
      <c r="H72">
        <v>5</v>
      </c>
      <c r="I72">
        <v>4</v>
      </c>
      <c r="J72">
        <v>4</v>
      </c>
      <c r="K72">
        <v>3</v>
      </c>
      <c r="L72">
        <v>4</v>
      </c>
      <c r="M72">
        <v>5</v>
      </c>
      <c r="N72" s="6">
        <f t="shared" si="3"/>
        <v>4.25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f t="shared" si="4"/>
        <v>1</v>
      </c>
    </row>
    <row r="73" spans="1:25" x14ac:dyDescent="0.35">
      <c r="A73">
        <v>200336</v>
      </c>
      <c r="B73">
        <v>26</v>
      </c>
      <c r="C73">
        <v>1</v>
      </c>
      <c r="D73">
        <v>0</v>
      </c>
      <c r="E73">
        <v>1</v>
      </c>
      <c r="F73">
        <v>4</v>
      </c>
      <c r="G73">
        <v>4</v>
      </c>
      <c r="H73">
        <v>4</v>
      </c>
      <c r="I73">
        <v>2</v>
      </c>
      <c r="J73">
        <v>2</v>
      </c>
      <c r="K73">
        <v>2</v>
      </c>
      <c r="L73">
        <v>2</v>
      </c>
      <c r="M73">
        <v>3</v>
      </c>
      <c r="N73" s="6">
        <f t="shared" si="3"/>
        <v>2.875</v>
      </c>
      <c r="O73">
        <v>3</v>
      </c>
      <c r="P73">
        <v>3</v>
      </c>
      <c r="Q73">
        <v>2</v>
      </c>
      <c r="R73">
        <v>2</v>
      </c>
      <c r="S73">
        <v>2</v>
      </c>
      <c r="T73">
        <v>2</v>
      </c>
      <c r="U73">
        <v>3</v>
      </c>
      <c r="V73">
        <v>2</v>
      </c>
      <c r="W73">
        <v>2</v>
      </c>
      <c r="X73">
        <v>2</v>
      </c>
      <c r="Y73">
        <f t="shared" si="4"/>
        <v>2.2999999999999998</v>
      </c>
    </row>
    <row r="74" spans="1:25" x14ac:dyDescent="0.35">
      <c r="A74">
        <v>200340</v>
      </c>
      <c r="B74">
        <v>70</v>
      </c>
      <c r="C74">
        <v>0</v>
      </c>
      <c r="D74">
        <v>0</v>
      </c>
      <c r="E74">
        <v>1</v>
      </c>
      <c r="F74">
        <v>5</v>
      </c>
      <c r="G74">
        <v>4</v>
      </c>
      <c r="H74">
        <v>4</v>
      </c>
      <c r="I74">
        <v>2</v>
      </c>
      <c r="J74">
        <v>4</v>
      </c>
      <c r="K74">
        <v>5</v>
      </c>
      <c r="L74">
        <v>2</v>
      </c>
      <c r="M74">
        <v>3</v>
      </c>
      <c r="N74" s="6">
        <f t="shared" si="3"/>
        <v>3.625</v>
      </c>
      <c r="O74">
        <v>2</v>
      </c>
      <c r="P74">
        <v>2</v>
      </c>
      <c r="Q74">
        <v>2</v>
      </c>
      <c r="R74">
        <v>2</v>
      </c>
      <c r="S74">
        <v>2</v>
      </c>
      <c r="T74">
        <v>1</v>
      </c>
      <c r="U74">
        <v>1</v>
      </c>
      <c r="V74">
        <v>2</v>
      </c>
      <c r="W74">
        <v>2</v>
      </c>
      <c r="X74">
        <v>2</v>
      </c>
      <c r="Y74">
        <f t="shared" si="4"/>
        <v>1.8</v>
      </c>
    </row>
    <row r="75" spans="1:25" x14ac:dyDescent="0.35">
      <c r="A75">
        <v>200342</v>
      </c>
      <c r="B75">
        <v>44</v>
      </c>
      <c r="C75">
        <v>1</v>
      </c>
      <c r="D75">
        <v>1</v>
      </c>
      <c r="E75">
        <v>1</v>
      </c>
      <c r="F75">
        <v>2</v>
      </c>
      <c r="G75">
        <v>2</v>
      </c>
      <c r="H75">
        <v>3</v>
      </c>
      <c r="I75">
        <v>2</v>
      </c>
      <c r="J75">
        <v>2</v>
      </c>
      <c r="K75">
        <v>4</v>
      </c>
      <c r="L75">
        <v>2</v>
      </c>
      <c r="M75">
        <v>2</v>
      </c>
      <c r="N75" s="6">
        <f t="shared" si="3"/>
        <v>2.375</v>
      </c>
      <c r="O75">
        <v>3</v>
      </c>
      <c r="P75">
        <v>3</v>
      </c>
      <c r="Q75">
        <v>3</v>
      </c>
      <c r="R75">
        <v>3</v>
      </c>
      <c r="S75">
        <v>2</v>
      </c>
      <c r="T75">
        <v>3</v>
      </c>
      <c r="U75">
        <v>3</v>
      </c>
      <c r="V75">
        <v>3</v>
      </c>
      <c r="W75">
        <v>3</v>
      </c>
      <c r="X75">
        <v>3</v>
      </c>
      <c r="Y75">
        <f t="shared" si="4"/>
        <v>2.9</v>
      </c>
    </row>
    <row r="76" spans="1:25" x14ac:dyDescent="0.35">
      <c r="A76">
        <v>200349</v>
      </c>
      <c r="B76">
        <v>57</v>
      </c>
      <c r="C76">
        <v>1</v>
      </c>
      <c r="D76">
        <v>0</v>
      </c>
      <c r="E76">
        <v>0</v>
      </c>
      <c r="F76">
        <v>2</v>
      </c>
      <c r="G76">
        <v>3</v>
      </c>
      <c r="H76">
        <v>3</v>
      </c>
      <c r="I76">
        <v>2</v>
      </c>
      <c r="J76">
        <v>3</v>
      </c>
      <c r="K76">
        <v>2</v>
      </c>
      <c r="L76">
        <v>2</v>
      </c>
      <c r="M76">
        <v>3</v>
      </c>
      <c r="N76" s="6">
        <f t="shared" si="3"/>
        <v>2.5</v>
      </c>
      <c r="O76">
        <v>3</v>
      </c>
      <c r="P76">
        <v>3</v>
      </c>
      <c r="Q76">
        <v>3</v>
      </c>
      <c r="R76">
        <v>3</v>
      </c>
      <c r="S76">
        <v>2</v>
      </c>
      <c r="T76">
        <v>3</v>
      </c>
      <c r="U76">
        <v>3</v>
      </c>
      <c r="V76">
        <v>3</v>
      </c>
      <c r="W76">
        <v>2</v>
      </c>
      <c r="X76">
        <v>2</v>
      </c>
      <c r="Y76">
        <f t="shared" si="4"/>
        <v>2.7</v>
      </c>
    </row>
    <row r="77" spans="1:25" x14ac:dyDescent="0.35">
      <c r="A77">
        <v>200352</v>
      </c>
      <c r="B77">
        <v>53</v>
      </c>
      <c r="C77">
        <v>0</v>
      </c>
      <c r="D77">
        <v>1</v>
      </c>
      <c r="E77">
        <v>1</v>
      </c>
      <c r="F77">
        <v>3</v>
      </c>
      <c r="G77">
        <v>4</v>
      </c>
      <c r="H77">
        <v>3</v>
      </c>
      <c r="I77">
        <v>4</v>
      </c>
      <c r="J77">
        <v>3</v>
      </c>
      <c r="K77">
        <v>3</v>
      </c>
      <c r="L77">
        <v>4</v>
      </c>
      <c r="M77">
        <v>3</v>
      </c>
      <c r="N77" s="6">
        <f t="shared" si="3"/>
        <v>3.375</v>
      </c>
      <c r="O77">
        <v>2</v>
      </c>
      <c r="P77">
        <v>2</v>
      </c>
      <c r="Q77">
        <v>2</v>
      </c>
      <c r="R77">
        <v>2</v>
      </c>
      <c r="S77">
        <v>2</v>
      </c>
      <c r="T77">
        <v>1</v>
      </c>
      <c r="U77">
        <v>2</v>
      </c>
      <c r="V77">
        <v>2</v>
      </c>
      <c r="W77">
        <v>2</v>
      </c>
      <c r="X77">
        <v>2</v>
      </c>
      <c r="Y77">
        <f t="shared" si="4"/>
        <v>1.9</v>
      </c>
    </row>
    <row r="78" spans="1:25" x14ac:dyDescent="0.35">
      <c r="A78">
        <v>200354</v>
      </c>
      <c r="B78">
        <v>37</v>
      </c>
      <c r="C78">
        <v>1</v>
      </c>
      <c r="D78">
        <v>1</v>
      </c>
      <c r="E78">
        <v>1</v>
      </c>
      <c r="F78">
        <v>2</v>
      </c>
      <c r="G78">
        <v>2</v>
      </c>
      <c r="H78">
        <v>3</v>
      </c>
      <c r="I78">
        <v>1</v>
      </c>
      <c r="J78">
        <v>2</v>
      </c>
      <c r="K78">
        <v>1</v>
      </c>
      <c r="L78">
        <v>2</v>
      </c>
      <c r="M78">
        <v>2</v>
      </c>
      <c r="N78" s="6">
        <f t="shared" si="3"/>
        <v>1.875</v>
      </c>
      <c r="O78">
        <v>3</v>
      </c>
      <c r="P78">
        <v>3</v>
      </c>
      <c r="Q78">
        <v>3</v>
      </c>
      <c r="R78">
        <v>3</v>
      </c>
      <c r="S78">
        <v>4</v>
      </c>
      <c r="T78">
        <v>4</v>
      </c>
      <c r="U78">
        <v>4</v>
      </c>
      <c r="V78">
        <v>3</v>
      </c>
      <c r="W78">
        <v>3</v>
      </c>
      <c r="X78">
        <v>3</v>
      </c>
      <c r="Y78">
        <f t="shared" si="4"/>
        <v>3.3</v>
      </c>
    </row>
    <row r="79" spans="1:25" x14ac:dyDescent="0.35">
      <c r="A79">
        <v>200357</v>
      </c>
      <c r="B79">
        <v>46</v>
      </c>
      <c r="C79">
        <v>0</v>
      </c>
      <c r="D79">
        <v>1</v>
      </c>
      <c r="E79">
        <v>1</v>
      </c>
      <c r="F79">
        <v>1</v>
      </c>
      <c r="G79">
        <v>3</v>
      </c>
      <c r="H79">
        <v>2</v>
      </c>
      <c r="I79">
        <v>3</v>
      </c>
      <c r="J79">
        <v>3</v>
      </c>
      <c r="K79">
        <v>2</v>
      </c>
      <c r="L79">
        <v>2</v>
      </c>
      <c r="M79">
        <v>2</v>
      </c>
      <c r="N79" s="6">
        <f t="shared" si="3"/>
        <v>2.25</v>
      </c>
      <c r="O79">
        <v>3</v>
      </c>
      <c r="P79">
        <v>3</v>
      </c>
      <c r="Q79">
        <v>3</v>
      </c>
      <c r="R79">
        <v>3</v>
      </c>
      <c r="S79">
        <v>2</v>
      </c>
      <c r="T79">
        <v>3</v>
      </c>
      <c r="U79">
        <v>3</v>
      </c>
      <c r="V79">
        <v>3</v>
      </c>
      <c r="W79">
        <v>3</v>
      </c>
      <c r="X79">
        <v>3</v>
      </c>
      <c r="Y79">
        <f t="shared" si="4"/>
        <v>2.9</v>
      </c>
    </row>
    <row r="80" spans="1:25" x14ac:dyDescent="0.35">
      <c r="A80">
        <v>200358</v>
      </c>
      <c r="B80">
        <v>40</v>
      </c>
      <c r="C80">
        <v>1</v>
      </c>
      <c r="D80">
        <v>0</v>
      </c>
      <c r="E80">
        <v>0</v>
      </c>
      <c r="F80">
        <v>3</v>
      </c>
      <c r="G80">
        <v>3</v>
      </c>
      <c r="H80">
        <v>2</v>
      </c>
      <c r="I80">
        <v>3</v>
      </c>
      <c r="J80">
        <v>2</v>
      </c>
      <c r="K80">
        <v>3</v>
      </c>
      <c r="L80">
        <v>2</v>
      </c>
      <c r="M80">
        <v>3</v>
      </c>
      <c r="N80" s="6">
        <f t="shared" si="3"/>
        <v>2.625</v>
      </c>
      <c r="O80">
        <v>2</v>
      </c>
      <c r="P80">
        <v>2</v>
      </c>
      <c r="Q80">
        <v>2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2</v>
      </c>
      <c r="Y80">
        <f t="shared" si="4"/>
        <v>2.6</v>
      </c>
    </row>
    <row r="81" spans="1:25" x14ac:dyDescent="0.35">
      <c r="A81">
        <v>200364</v>
      </c>
      <c r="B81">
        <v>28</v>
      </c>
      <c r="C81">
        <v>0</v>
      </c>
      <c r="D81">
        <v>1</v>
      </c>
      <c r="E81">
        <v>0</v>
      </c>
      <c r="F81">
        <v>4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 s="6">
        <f t="shared" si="3"/>
        <v>3.125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3</v>
      </c>
      <c r="V81">
        <v>2</v>
      </c>
      <c r="W81">
        <v>2</v>
      </c>
      <c r="X81">
        <v>2</v>
      </c>
      <c r="Y81">
        <f t="shared" si="4"/>
        <v>2.1</v>
      </c>
    </row>
    <row r="82" spans="1:25" x14ac:dyDescent="0.35">
      <c r="A82">
        <v>200365</v>
      </c>
      <c r="B82">
        <v>57</v>
      </c>
      <c r="C82">
        <v>0</v>
      </c>
      <c r="D82">
        <v>1</v>
      </c>
      <c r="E82">
        <v>1</v>
      </c>
      <c r="F82">
        <v>3</v>
      </c>
      <c r="G82">
        <v>4</v>
      </c>
      <c r="H82">
        <v>4</v>
      </c>
      <c r="I82">
        <v>3</v>
      </c>
      <c r="J82">
        <v>4</v>
      </c>
      <c r="K82">
        <v>3</v>
      </c>
      <c r="L82">
        <v>3</v>
      </c>
      <c r="M82">
        <v>4</v>
      </c>
      <c r="N82" s="6">
        <f t="shared" si="3"/>
        <v>3.5</v>
      </c>
      <c r="O82">
        <v>2</v>
      </c>
      <c r="P82">
        <v>2</v>
      </c>
      <c r="Q82">
        <v>2</v>
      </c>
      <c r="R82">
        <v>1</v>
      </c>
      <c r="S82">
        <v>1</v>
      </c>
      <c r="T82">
        <v>2</v>
      </c>
      <c r="U82">
        <v>2</v>
      </c>
      <c r="V82">
        <v>2</v>
      </c>
      <c r="W82">
        <v>2</v>
      </c>
      <c r="X82">
        <v>2</v>
      </c>
      <c r="Y82">
        <f t="shared" si="4"/>
        <v>1.8</v>
      </c>
    </row>
    <row r="83" spans="1:25" x14ac:dyDescent="0.35">
      <c r="A83">
        <v>200367</v>
      </c>
      <c r="B83">
        <v>32</v>
      </c>
      <c r="C83">
        <v>1</v>
      </c>
      <c r="D83">
        <v>1</v>
      </c>
      <c r="E83">
        <v>0</v>
      </c>
      <c r="F83">
        <v>4</v>
      </c>
      <c r="G83">
        <v>5</v>
      </c>
      <c r="H83">
        <v>3</v>
      </c>
      <c r="I83">
        <v>4</v>
      </c>
      <c r="J83">
        <v>4</v>
      </c>
      <c r="K83">
        <v>3</v>
      </c>
      <c r="L83">
        <v>4</v>
      </c>
      <c r="M83">
        <v>3</v>
      </c>
      <c r="N83" s="6">
        <f t="shared" si="3"/>
        <v>3.75</v>
      </c>
      <c r="O83">
        <v>1</v>
      </c>
      <c r="P83">
        <v>1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1</v>
      </c>
      <c r="X83">
        <v>1</v>
      </c>
      <c r="Y83">
        <f t="shared" si="4"/>
        <v>1.6</v>
      </c>
    </row>
    <row r="84" spans="1:25" x14ac:dyDescent="0.35">
      <c r="A84">
        <v>200369</v>
      </c>
      <c r="B84">
        <v>31</v>
      </c>
      <c r="C84">
        <v>1</v>
      </c>
      <c r="D84">
        <v>0</v>
      </c>
      <c r="E84">
        <v>0</v>
      </c>
      <c r="F84">
        <v>2</v>
      </c>
      <c r="G84">
        <v>4</v>
      </c>
      <c r="H84">
        <v>4</v>
      </c>
      <c r="I84">
        <v>3</v>
      </c>
      <c r="J84">
        <v>4</v>
      </c>
      <c r="K84">
        <v>2</v>
      </c>
      <c r="L84">
        <v>4</v>
      </c>
      <c r="M84">
        <v>3</v>
      </c>
      <c r="N84" s="6">
        <f t="shared" si="3"/>
        <v>3.25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3</v>
      </c>
      <c r="V84">
        <v>2</v>
      </c>
      <c r="W84">
        <v>2</v>
      </c>
      <c r="X84">
        <v>2</v>
      </c>
      <c r="Y84">
        <f t="shared" si="4"/>
        <v>2.1</v>
      </c>
    </row>
    <row r="85" spans="1:25" x14ac:dyDescent="0.35">
      <c r="A85">
        <v>200372</v>
      </c>
      <c r="B85">
        <v>39</v>
      </c>
      <c r="C85">
        <v>0</v>
      </c>
      <c r="D85">
        <v>0</v>
      </c>
      <c r="E85">
        <v>1</v>
      </c>
      <c r="F85">
        <v>4</v>
      </c>
      <c r="G85">
        <v>4</v>
      </c>
      <c r="H85">
        <v>4</v>
      </c>
      <c r="I85">
        <v>3</v>
      </c>
      <c r="J85">
        <v>4</v>
      </c>
      <c r="K85">
        <v>4</v>
      </c>
      <c r="L85">
        <v>3</v>
      </c>
      <c r="M85">
        <v>4</v>
      </c>
      <c r="N85" s="6">
        <f t="shared" si="3"/>
        <v>3.75</v>
      </c>
      <c r="O85">
        <v>1</v>
      </c>
      <c r="P85">
        <v>1</v>
      </c>
      <c r="Q85">
        <v>1</v>
      </c>
      <c r="R85">
        <v>2</v>
      </c>
      <c r="S85">
        <v>2</v>
      </c>
      <c r="T85">
        <v>2</v>
      </c>
      <c r="U85">
        <v>1</v>
      </c>
      <c r="V85">
        <v>1</v>
      </c>
      <c r="W85">
        <v>2</v>
      </c>
      <c r="X85">
        <v>2</v>
      </c>
      <c r="Y85">
        <f t="shared" si="4"/>
        <v>1.5</v>
      </c>
    </row>
    <row r="86" spans="1:25" x14ac:dyDescent="0.35">
      <c r="A86">
        <v>200402</v>
      </c>
      <c r="B86">
        <v>35</v>
      </c>
      <c r="C86">
        <v>0</v>
      </c>
      <c r="D86">
        <v>0</v>
      </c>
      <c r="E86">
        <v>1</v>
      </c>
      <c r="F86">
        <v>4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4</v>
      </c>
      <c r="N86" s="6">
        <f t="shared" si="3"/>
        <v>3.25</v>
      </c>
      <c r="O86">
        <v>2</v>
      </c>
      <c r="P86">
        <v>2</v>
      </c>
      <c r="Q86">
        <v>2</v>
      </c>
      <c r="R86">
        <v>2</v>
      </c>
      <c r="S86">
        <v>2</v>
      </c>
      <c r="T86">
        <v>3</v>
      </c>
      <c r="U86">
        <v>2</v>
      </c>
      <c r="V86">
        <v>2</v>
      </c>
      <c r="W86">
        <v>2</v>
      </c>
      <c r="X86">
        <v>2</v>
      </c>
      <c r="Y86">
        <f t="shared" si="4"/>
        <v>2.1</v>
      </c>
    </row>
    <row r="87" spans="1:25" x14ac:dyDescent="0.35">
      <c r="A87">
        <v>200404</v>
      </c>
      <c r="B87">
        <v>38</v>
      </c>
      <c r="C87">
        <v>1</v>
      </c>
      <c r="D87">
        <v>0</v>
      </c>
      <c r="E87">
        <v>0</v>
      </c>
      <c r="F87">
        <v>5</v>
      </c>
      <c r="G87">
        <v>4</v>
      </c>
      <c r="H87">
        <v>5</v>
      </c>
      <c r="I87">
        <v>4</v>
      </c>
      <c r="J87">
        <v>5</v>
      </c>
      <c r="K87">
        <v>4</v>
      </c>
      <c r="L87">
        <v>4</v>
      </c>
      <c r="M87">
        <v>5</v>
      </c>
      <c r="N87" s="6">
        <f t="shared" si="3"/>
        <v>4.5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f t="shared" si="4"/>
        <v>1</v>
      </c>
    </row>
    <row r="88" spans="1:25" x14ac:dyDescent="0.35">
      <c r="A88">
        <v>200408</v>
      </c>
      <c r="B88">
        <v>43</v>
      </c>
      <c r="C88">
        <v>0</v>
      </c>
      <c r="D88">
        <v>0</v>
      </c>
      <c r="E88">
        <v>1</v>
      </c>
      <c r="F88">
        <v>5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5</v>
      </c>
      <c r="N88" s="6">
        <f t="shared" si="3"/>
        <v>4.25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2</v>
      </c>
      <c r="X88">
        <v>1</v>
      </c>
      <c r="Y88">
        <f t="shared" si="4"/>
        <v>1.1000000000000001</v>
      </c>
    </row>
    <row r="89" spans="1:25" x14ac:dyDescent="0.35">
      <c r="A89">
        <v>200411</v>
      </c>
      <c r="B89">
        <v>34</v>
      </c>
      <c r="C89">
        <v>1</v>
      </c>
      <c r="D89">
        <v>1</v>
      </c>
      <c r="E89">
        <v>0</v>
      </c>
      <c r="F89">
        <v>5</v>
      </c>
      <c r="G89">
        <v>4</v>
      </c>
      <c r="H89">
        <v>4</v>
      </c>
      <c r="I89">
        <v>4</v>
      </c>
      <c r="J89">
        <v>5</v>
      </c>
      <c r="K89">
        <v>4</v>
      </c>
      <c r="L89">
        <v>4</v>
      </c>
      <c r="M89">
        <v>4</v>
      </c>
      <c r="N89" s="6">
        <f t="shared" si="3"/>
        <v>4.25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2</v>
      </c>
      <c r="V89">
        <v>1</v>
      </c>
      <c r="W89">
        <v>1</v>
      </c>
      <c r="X89">
        <v>1</v>
      </c>
      <c r="Y89">
        <f t="shared" si="4"/>
        <v>1.1000000000000001</v>
      </c>
    </row>
    <row r="90" spans="1:25" x14ac:dyDescent="0.35">
      <c r="A90">
        <v>200412</v>
      </c>
      <c r="B90">
        <v>50</v>
      </c>
      <c r="C90">
        <v>1</v>
      </c>
      <c r="D90">
        <v>1</v>
      </c>
      <c r="E90">
        <v>0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 s="6">
        <f t="shared" si="3"/>
        <v>5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f t="shared" si="4"/>
        <v>1</v>
      </c>
    </row>
    <row r="91" spans="1:25" x14ac:dyDescent="0.35">
      <c r="A91">
        <v>200416</v>
      </c>
      <c r="B91">
        <v>25</v>
      </c>
      <c r="C91">
        <v>1</v>
      </c>
      <c r="D91">
        <v>1</v>
      </c>
      <c r="E91">
        <v>1</v>
      </c>
      <c r="F91">
        <v>4</v>
      </c>
      <c r="G91">
        <v>3</v>
      </c>
      <c r="H91">
        <v>4</v>
      </c>
      <c r="I91">
        <v>4</v>
      </c>
      <c r="J91">
        <v>1</v>
      </c>
      <c r="K91">
        <v>3</v>
      </c>
      <c r="L91">
        <v>2</v>
      </c>
      <c r="M91">
        <v>2</v>
      </c>
      <c r="N91" s="6">
        <f t="shared" si="3"/>
        <v>2.875</v>
      </c>
      <c r="O91">
        <v>2</v>
      </c>
      <c r="P91">
        <v>3</v>
      </c>
      <c r="Q91">
        <v>3</v>
      </c>
      <c r="R91">
        <v>3</v>
      </c>
      <c r="S91">
        <v>2</v>
      </c>
      <c r="T91">
        <v>2</v>
      </c>
      <c r="U91">
        <v>2</v>
      </c>
      <c r="V91">
        <v>2</v>
      </c>
      <c r="W91">
        <v>4</v>
      </c>
      <c r="X91">
        <v>1</v>
      </c>
      <c r="Y91">
        <f t="shared" si="4"/>
        <v>2.4</v>
      </c>
    </row>
    <row r="92" spans="1:25" x14ac:dyDescent="0.35">
      <c r="A92">
        <v>200419</v>
      </c>
      <c r="B92">
        <v>42</v>
      </c>
      <c r="C92">
        <v>0</v>
      </c>
      <c r="D92">
        <v>0</v>
      </c>
      <c r="E92">
        <v>1</v>
      </c>
      <c r="F92">
        <v>2</v>
      </c>
      <c r="G92">
        <v>1</v>
      </c>
      <c r="H92">
        <v>2</v>
      </c>
      <c r="I92">
        <v>2</v>
      </c>
      <c r="J92">
        <v>1</v>
      </c>
      <c r="K92">
        <v>2</v>
      </c>
      <c r="L92">
        <v>1</v>
      </c>
      <c r="M92">
        <v>2</v>
      </c>
      <c r="N92" s="6">
        <f t="shared" si="3"/>
        <v>1.625</v>
      </c>
      <c r="O92">
        <v>4</v>
      </c>
      <c r="P92">
        <v>4</v>
      </c>
      <c r="Q92">
        <v>3</v>
      </c>
      <c r="R92">
        <v>3</v>
      </c>
      <c r="S92">
        <v>4</v>
      </c>
      <c r="T92">
        <v>4</v>
      </c>
      <c r="U92">
        <v>4</v>
      </c>
      <c r="V92">
        <v>3</v>
      </c>
      <c r="W92">
        <v>3</v>
      </c>
      <c r="X92">
        <v>3</v>
      </c>
      <c r="Y92">
        <f t="shared" si="4"/>
        <v>3.5</v>
      </c>
    </row>
    <row r="93" spans="1:25" x14ac:dyDescent="0.35">
      <c r="A93">
        <v>200423</v>
      </c>
      <c r="B93">
        <v>55</v>
      </c>
      <c r="C93">
        <v>0</v>
      </c>
      <c r="D93">
        <v>0</v>
      </c>
      <c r="E93">
        <v>1</v>
      </c>
      <c r="F93">
        <v>2</v>
      </c>
      <c r="G93">
        <v>2</v>
      </c>
      <c r="H93">
        <v>3</v>
      </c>
      <c r="I93">
        <v>2</v>
      </c>
      <c r="J93">
        <v>3</v>
      </c>
      <c r="K93">
        <v>2</v>
      </c>
      <c r="L93">
        <v>2</v>
      </c>
      <c r="M93">
        <v>3</v>
      </c>
      <c r="N93" s="6">
        <f t="shared" si="3"/>
        <v>2.375</v>
      </c>
      <c r="O93">
        <v>3</v>
      </c>
      <c r="P93">
        <v>3</v>
      </c>
      <c r="Q93">
        <v>3</v>
      </c>
      <c r="R93">
        <v>2</v>
      </c>
      <c r="S93">
        <v>2</v>
      </c>
      <c r="T93">
        <v>3</v>
      </c>
      <c r="U93">
        <v>3</v>
      </c>
      <c r="V93">
        <v>3</v>
      </c>
      <c r="W93">
        <v>3</v>
      </c>
      <c r="X93">
        <v>3</v>
      </c>
      <c r="Y93">
        <f t="shared" si="4"/>
        <v>2.8</v>
      </c>
    </row>
    <row r="94" spans="1:25" x14ac:dyDescent="0.35">
      <c r="A94">
        <v>200424</v>
      </c>
      <c r="B94">
        <v>38</v>
      </c>
      <c r="C94">
        <v>1</v>
      </c>
      <c r="D94">
        <v>0</v>
      </c>
      <c r="E94">
        <v>1</v>
      </c>
      <c r="F94">
        <v>1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3</v>
      </c>
      <c r="N94" s="6">
        <f t="shared" si="3"/>
        <v>2.375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f t="shared" si="4"/>
        <v>3</v>
      </c>
    </row>
    <row r="95" spans="1:25" x14ac:dyDescent="0.35">
      <c r="A95">
        <v>200427</v>
      </c>
      <c r="B95">
        <v>32</v>
      </c>
      <c r="C95">
        <v>1</v>
      </c>
      <c r="D95">
        <v>0</v>
      </c>
      <c r="E95">
        <v>1</v>
      </c>
      <c r="F95">
        <v>1</v>
      </c>
      <c r="G95">
        <v>2</v>
      </c>
      <c r="H95">
        <v>2</v>
      </c>
      <c r="I95">
        <v>3</v>
      </c>
      <c r="J95">
        <v>3</v>
      </c>
      <c r="K95">
        <v>2</v>
      </c>
      <c r="L95">
        <v>2</v>
      </c>
      <c r="M95">
        <v>2</v>
      </c>
      <c r="N95" s="6">
        <f t="shared" si="3"/>
        <v>2.125</v>
      </c>
      <c r="O95">
        <v>3</v>
      </c>
      <c r="P95">
        <v>4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f t="shared" si="4"/>
        <v>3.1</v>
      </c>
    </row>
    <row r="96" spans="1:25" x14ac:dyDescent="0.35">
      <c r="A96">
        <v>200437</v>
      </c>
      <c r="B96">
        <v>39</v>
      </c>
      <c r="C96">
        <v>0</v>
      </c>
      <c r="D96">
        <v>0</v>
      </c>
      <c r="E96">
        <v>1</v>
      </c>
      <c r="F96">
        <v>1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 s="6">
        <f t="shared" si="3"/>
        <v>1.125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4</v>
      </c>
      <c r="V96">
        <v>4</v>
      </c>
      <c r="W96">
        <v>4</v>
      </c>
      <c r="X96">
        <v>4</v>
      </c>
      <c r="Y96">
        <f t="shared" si="4"/>
        <v>3.9</v>
      </c>
    </row>
    <row r="97" spans="1:25" x14ac:dyDescent="0.35">
      <c r="A97">
        <v>200438</v>
      </c>
      <c r="B97">
        <v>39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 s="6">
        <f t="shared" si="3"/>
        <v>1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f t="shared" si="4"/>
        <v>4</v>
      </c>
    </row>
    <row r="98" spans="1:25" x14ac:dyDescent="0.35">
      <c r="A98">
        <v>200440</v>
      </c>
      <c r="B98">
        <v>55</v>
      </c>
      <c r="C98">
        <v>1</v>
      </c>
      <c r="D98">
        <v>0</v>
      </c>
      <c r="E98">
        <v>1</v>
      </c>
      <c r="F98">
        <v>3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3</v>
      </c>
      <c r="N98" s="6">
        <f t="shared" ref="N98:N129" si="5">AVERAGE(F98:M98)</f>
        <v>3.75</v>
      </c>
      <c r="O98">
        <v>1</v>
      </c>
      <c r="P98">
        <v>2</v>
      </c>
      <c r="Q98">
        <v>1</v>
      </c>
      <c r="R98">
        <v>2</v>
      </c>
      <c r="S98">
        <v>2</v>
      </c>
      <c r="T98">
        <v>2</v>
      </c>
      <c r="U98">
        <v>1</v>
      </c>
      <c r="V98">
        <v>2</v>
      </c>
      <c r="W98">
        <v>2</v>
      </c>
      <c r="X98">
        <v>2</v>
      </c>
      <c r="Y98">
        <f t="shared" si="4"/>
        <v>1.7</v>
      </c>
    </row>
    <row r="99" spans="1:25" x14ac:dyDescent="0.35">
      <c r="A99">
        <v>200447</v>
      </c>
      <c r="B99">
        <v>38</v>
      </c>
      <c r="C99">
        <v>0</v>
      </c>
      <c r="D99">
        <v>0</v>
      </c>
      <c r="E99">
        <v>0</v>
      </c>
      <c r="F99">
        <v>2</v>
      </c>
      <c r="G99">
        <v>1</v>
      </c>
      <c r="H99">
        <v>2</v>
      </c>
      <c r="I99">
        <v>1</v>
      </c>
      <c r="J99">
        <v>2</v>
      </c>
      <c r="K99">
        <v>2</v>
      </c>
      <c r="L99">
        <v>1</v>
      </c>
      <c r="M99">
        <v>2</v>
      </c>
      <c r="N99" s="6">
        <f t="shared" si="5"/>
        <v>1.625</v>
      </c>
      <c r="O99">
        <v>3</v>
      </c>
      <c r="P99">
        <v>3</v>
      </c>
      <c r="Q99">
        <v>3</v>
      </c>
      <c r="R99">
        <v>4</v>
      </c>
      <c r="S99">
        <v>4</v>
      </c>
      <c r="T99">
        <v>4</v>
      </c>
      <c r="U99">
        <v>3</v>
      </c>
      <c r="V99">
        <v>3</v>
      </c>
      <c r="W99">
        <v>4</v>
      </c>
      <c r="X99">
        <v>4</v>
      </c>
      <c r="Y99">
        <f t="shared" si="4"/>
        <v>3.5</v>
      </c>
    </row>
    <row r="100" spans="1:25" x14ac:dyDescent="0.35">
      <c r="A100">
        <v>200448</v>
      </c>
      <c r="B100">
        <v>42</v>
      </c>
      <c r="C100">
        <v>0</v>
      </c>
      <c r="D100">
        <v>0</v>
      </c>
      <c r="E100">
        <v>0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 s="6">
        <f t="shared" si="5"/>
        <v>5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f t="shared" si="4"/>
        <v>1</v>
      </c>
    </row>
    <row r="101" spans="1:25" x14ac:dyDescent="0.35">
      <c r="A101">
        <v>200449</v>
      </c>
      <c r="B101">
        <v>43</v>
      </c>
      <c r="C101">
        <v>1</v>
      </c>
      <c r="D101">
        <v>0</v>
      </c>
      <c r="E101">
        <v>0</v>
      </c>
      <c r="F101">
        <v>3</v>
      </c>
      <c r="G101">
        <v>3</v>
      </c>
      <c r="H101">
        <v>3</v>
      </c>
      <c r="I101">
        <v>4</v>
      </c>
      <c r="J101">
        <v>3</v>
      </c>
      <c r="K101">
        <v>3</v>
      </c>
      <c r="L101">
        <v>3</v>
      </c>
      <c r="M101">
        <v>3</v>
      </c>
      <c r="N101" s="6">
        <f t="shared" si="5"/>
        <v>3.125</v>
      </c>
      <c r="O101">
        <v>2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2</v>
      </c>
      <c r="V101">
        <v>2</v>
      </c>
      <c r="W101">
        <v>2</v>
      </c>
      <c r="X101">
        <v>2</v>
      </c>
      <c r="Y101">
        <f t="shared" si="4"/>
        <v>2.2000000000000002</v>
      </c>
    </row>
    <row r="102" spans="1:25" x14ac:dyDescent="0.35">
      <c r="A102">
        <v>200455</v>
      </c>
      <c r="B102">
        <v>43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>
        <v>1</v>
      </c>
      <c r="J102">
        <v>1</v>
      </c>
      <c r="K102">
        <v>1</v>
      </c>
      <c r="L102">
        <v>2</v>
      </c>
      <c r="M102">
        <v>2</v>
      </c>
      <c r="N102" s="6">
        <f t="shared" si="5"/>
        <v>1.5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f t="shared" si="4"/>
        <v>2</v>
      </c>
    </row>
    <row r="103" spans="1:25" x14ac:dyDescent="0.35">
      <c r="A103">
        <v>200456</v>
      </c>
      <c r="B103">
        <v>26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s="6">
        <f t="shared" si="5"/>
        <v>1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f t="shared" si="4"/>
        <v>2</v>
      </c>
    </row>
    <row r="104" spans="1:25" x14ac:dyDescent="0.35">
      <c r="A104">
        <v>200459</v>
      </c>
      <c r="B104">
        <v>29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 s="6">
        <f t="shared" si="5"/>
        <v>1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f t="shared" si="4"/>
        <v>3</v>
      </c>
    </row>
    <row r="105" spans="1:25" x14ac:dyDescent="0.35">
      <c r="A105">
        <v>200461</v>
      </c>
      <c r="B105">
        <v>34</v>
      </c>
      <c r="C105">
        <v>0</v>
      </c>
      <c r="D105">
        <v>0</v>
      </c>
      <c r="E105">
        <v>0</v>
      </c>
      <c r="F105">
        <v>5</v>
      </c>
      <c r="G105">
        <v>4</v>
      </c>
      <c r="H105">
        <v>5</v>
      </c>
      <c r="I105">
        <v>5</v>
      </c>
      <c r="J105">
        <v>4</v>
      </c>
      <c r="K105">
        <v>4</v>
      </c>
      <c r="L105">
        <v>3</v>
      </c>
      <c r="M105">
        <v>4</v>
      </c>
      <c r="N105" s="6">
        <f t="shared" si="5"/>
        <v>4.25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1</v>
      </c>
      <c r="X105">
        <v>1</v>
      </c>
      <c r="Y105">
        <f t="shared" si="4"/>
        <v>1.1000000000000001</v>
      </c>
    </row>
    <row r="106" spans="1:25" x14ac:dyDescent="0.35">
      <c r="A106">
        <v>200463</v>
      </c>
      <c r="B106">
        <v>48</v>
      </c>
      <c r="C106">
        <v>0</v>
      </c>
      <c r="D106">
        <v>0</v>
      </c>
      <c r="E106">
        <v>0</v>
      </c>
      <c r="F106">
        <v>4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4</v>
      </c>
      <c r="N106" s="6">
        <f t="shared" si="5"/>
        <v>2.5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2</v>
      </c>
      <c r="U106">
        <v>3</v>
      </c>
      <c r="V106">
        <v>2</v>
      </c>
      <c r="W106">
        <v>2</v>
      </c>
      <c r="X106">
        <v>3</v>
      </c>
      <c r="Y106">
        <f t="shared" si="4"/>
        <v>2.7</v>
      </c>
    </row>
    <row r="107" spans="1:25" x14ac:dyDescent="0.35">
      <c r="A107">
        <v>200464</v>
      </c>
      <c r="B107">
        <v>45</v>
      </c>
      <c r="C107">
        <v>0</v>
      </c>
      <c r="D107">
        <v>0</v>
      </c>
      <c r="E107">
        <v>0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 s="6">
        <f t="shared" si="5"/>
        <v>5</v>
      </c>
      <c r="O107">
        <v>3</v>
      </c>
      <c r="P107">
        <v>3</v>
      </c>
      <c r="Q107">
        <v>3</v>
      </c>
      <c r="R107">
        <v>3</v>
      </c>
      <c r="S107">
        <v>2</v>
      </c>
      <c r="T107">
        <v>2</v>
      </c>
      <c r="U107">
        <v>3</v>
      </c>
      <c r="V107">
        <v>3</v>
      </c>
      <c r="W107">
        <v>3</v>
      </c>
      <c r="X107">
        <v>3</v>
      </c>
      <c r="Y107">
        <f t="shared" si="4"/>
        <v>2.8</v>
      </c>
    </row>
    <row r="108" spans="1:25" x14ac:dyDescent="0.35">
      <c r="A108">
        <v>200465</v>
      </c>
      <c r="B108">
        <v>43</v>
      </c>
      <c r="C108">
        <v>1</v>
      </c>
      <c r="D108">
        <v>0</v>
      </c>
      <c r="E108">
        <v>1</v>
      </c>
      <c r="F108">
        <v>5</v>
      </c>
      <c r="G108">
        <v>4</v>
      </c>
      <c r="H108">
        <v>4</v>
      </c>
      <c r="I108">
        <v>4</v>
      </c>
      <c r="J108">
        <v>5</v>
      </c>
      <c r="K108">
        <v>4</v>
      </c>
      <c r="L108">
        <v>4</v>
      </c>
      <c r="M108">
        <v>4</v>
      </c>
      <c r="N108" s="6">
        <f t="shared" si="5"/>
        <v>4.25</v>
      </c>
      <c r="O108">
        <v>1</v>
      </c>
      <c r="P108">
        <v>1</v>
      </c>
      <c r="Q108">
        <v>1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1</v>
      </c>
      <c r="X108">
        <v>1</v>
      </c>
      <c r="Y108">
        <f t="shared" si="4"/>
        <v>1.1000000000000001</v>
      </c>
    </row>
    <row r="109" spans="1:25" x14ac:dyDescent="0.35">
      <c r="A109">
        <v>200467</v>
      </c>
      <c r="B109">
        <v>39</v>
      </c>
      <c r="C109">
        <v>0</v>
      </c>
      <c r="D109">
        <v>0</v>
      </c>
      <c r="E109">
        <v>0</v>
      </c>
      <c r="F109">
        <v>4</v>
      </c>
      <c r="G109">
        <v>3</v>
      </c>
      <c r="H109">
        <v>3</v>
      </c>
      <c r="I109">
        <v>4</v>
      </c>
      <c r="J109">
        <v>3</v>
      </c>
      <c r="K109">
        <v>3</v>
      </c>
      <c r="L109">
        <v>3</v>
      </c>
      <c r="M109">
        <v>2</v>
      </c>
      <c r="N109" s="6">
        <f t="shared" si="5"/>
        <v>3.125</v>
      </c>
      <c r="O109">
        <v>2</v>
      </c>
      <c r="P109">
        <v>2</v>
      </c>
      <c r="Q109">
        <v>2</v>
      </c>
      <c r="R109">
        <v>3</v>
      </c>
      <c r="S109">
        <v>3</v>
      </c>
      <c r="T109">
        <v>3</v>
      </c>
      <c r="U109">
        <v>2</v>
      </c>
      <c r="V109">
        <v>2</v>
      </c>
      <c r="W109">
        <v>2</v>
      </c>
      <c r="X109">
        <v>2</v>
      </c>
      <c r="Y109">
        <f t="shared" si="4"/>
        <v>2.2999999999999998</v>
      </c>
    </row>
    <row r="110" spans="1:25" x14ac:dyDescent="0.35">
      <c r="A110">
        <v>200468</v>
      </c>
      <c r="B110">
        <v>42</v>
      </c>
      <c r="C110">
        <v>1</v>
      </c>
      <c r="D110">
        <v>0</v>
      </c>
      <c r="E110">
        <v>1</v>
      </c>
      <c r="F110">
        <v>5</v>
      </c>
      <c r="G110">
        <v>4</v>
      </c>
      <c r="H110">
        <v>4</v>
      </c>
      <c r="I110">
        <v>4</v>
      </c>
      <c r="J110">
        <v>3</v>
      </c>
      <c r="K110">
        <v>4</v>
      </c>
      <c r="L110">
        <v>4</v>
      </c>
      <c r="M110">
        <v>3</v>
      </c>
      <c r="N110" s="6">
        <f t="shared" si="5"/>
        <v>3.875</v>
      </c>
      <c r="O110">
        <v>1</v>
      </c>
      <c r="P110">
        <v>1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1</v>
      </c>
      <c r="W110">
        <v>2</v>
      </c>
      <c r="X110">
        <v>2</v>
      </c>
      <c r="Y110">
        <f t="shared" si="4"/>
        <v>1.4</v>
      </c>
    </row>
    <row r="111" spans="1:25" x14ac:dyDescent="0.35">
      <c r="A111">
        <v>200472</v>
      </c>
      <c r="B111">
        <v>26</v>
      </c>
      <c r="C111">
        <v>0</v>
      </c>
      <c r="D111">
        <v>0</v>
      </c>
      <c r="E111">
        <v>1</v>
      </c>
      <c r="F111">
        <v>4</v>
      </c>
      <c r="G111">
        <v>3</v>
      </c>
      <c r="H111">
        <v>4</v>
      </c>
      <c r="I111">
        <v>4</v>
      </c>
      <c r="J111">
        <v>3</v>
      </c>
      <c r="K111">
        <v>4</v>
      </c>
      <c r="L111">
        <v>4</v>
      </c>
      <c r="M111">
        <v>3</v>
      </c>
      <c r="N111" s="6">
        <f t="shared" si="5"/>
        <v>3.625</v>
      </c>
      <c r="O111">
        <v>2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2</v>
      </c>
      <c r="V111">
        <v>2</v>
      </c>
      <c r="W111">
        <v>2</v>
      </c>
      <c r="X111">
        <v>2</v>
      </c>
      <c r="Y111">
        <f t="shared" si="4"/>
        <v>1.6</v>
      </c>
    </row>
    <row r="112" spans="1:25" x14ac:dyDescent="0.35">
      <c r="A112">
        <v>200474</v>
      </c>
      <c r="B112">
        <v>41</v>
      </c>
      <c r="C112">
        <v>0</v>
      </c>
      <c r="D112">
        <v>1</v>
      </c>
      <c r="E112">
        <v>0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 s="6">
        <f t="shared" si="5"/>
        <v>4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2</v>
      </c>
      <c r="U112">
        <v>1</v>
      </c>
      <c r="V112">
        <v>2</v>
      </c>
      <c r="W112">
        <v>1</v>
      </c>
      <c r="X112">
        <v>2</v>
      </c>
      <c r="Y112">
        <f t="shared" si="4"/>
        <v>1.4</v>
      </c>
    </row>
    <row r="113" spans="1:25" x14ac:dyDescent="0.35">
      <c r="A113">
        <v>200478</v>
      </c>
      <c r="B113">
        <v>29</v>
      </c>
      <c r="C113">
        <v>1</v>
      </c>
      <c r="D113">
        <v>1</v>
      </c>
      <c r="E113">
        <v>0</v>
      </c>
      <c r="F113">
        <v>4</v>
      </c>
      <c r="G113">
        <v>3</v>
      </c>
      <c r="H113">
        <v>2</v>
      </c>
      <c r="I113">
        <v>4</v>
      </c>
      <c r="J113">
        <v>2</v>
      </c>
      <c r="K113">
        <v>4</v>
      </c>
      <c r="L113">
        <v>2</v>
      </c>
      <c r="M113">
        <v>4</v>
      </c>
      <c r="N113" s="6">
        <f t="shared" si="5"/>
        <v>3.125</v>
      </c>
      <c r="O113">
        <v>2</v>
      </c>
      <c r="P113">
        <v>2</v>
      </c>
      <c r="Q113">
        <v>2</v>
      </c>
      <c r="R113">
        <v>3</v>
      </c>
      <c r="S113">
        <v>2</v>
      </c>
      <c r="T113">
        <v>2</v>
      </c>
      <c r="U113">
        <v>3</v>
      </c>
      <c r="V113">
        <v>2</v>
      </c>
      <c r="W113">
        <v>2</v>
      </c>
      <c r="X113">
        <v>2</v>
      </c>
      <c r="Y113">
        <f t="shared" si="4"/>
        <v>2.2000000000000002</v>
      </c>
    </row>
    <row r="114" spans="1:25" x14ac:dyDescent="0.35">
      <c r="A114">
        <v>200480</v>
      </c>
      <c r="B114">
        <v>35</v>
      </c>
      <c r="C114">
        <v>1</v>
      </c>
      <c r="D114">
        <v>1</v>
      </c>
      <c r="E114">
        <v>0</v>
      </c>
      <c r="F114">
        <v>4</v>
      </c>
      <c r="G114">
        <v>3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 s="6">
        <f t="shared" si="5"/>
        <v>3.875</v>
      </c>
      <c r="O114">
        <v>2</v>
      </c>
      <c r="P114">
        <v>2</v>
      </c>
      <c r="Q114">
        <v>1</v>
      </c>
      <c r="R114">
        <v>1</v>
      </c>
      <c r="S114">
        <v>1</v>
      </c>
      <c r="T114">
        <v>1</v>
      </c>
      <c r="U114">
        <v>2</v>
      </c>
      <c r="V114">
        <v>1</v>
      </c>
      <c r="W114">
        <v>2</v>
      </c>
      <c r="X114">
        <v>2</v>
      </c>
      <c r="Y114">
        <f t="shared" si="4"/>
        <v>1.5</v>
      </c>
    </row>
    <row r="115" spans="1:25" x14ac:dyDescent="0.35">
      <c r="A115">
        <v>200481</v>
      </c>
      <c r="B115">
        <v>30</v>
      </c>
      <c r="C115">
        <v>0</v>
      </c>
      <c r="D115">
        <v>1</v>
      </c>
      <c r="E115">
        <v>0</v>
      </c>
      <c r="F115">
        <v>3</v>
      </c>
      <c r="G115">
        <v>4</v>
      </c>
      <c r="H115">
        <v>2</v>
      </c>
      <c r="I115">
        <v>3</v>
      </c>
      <c r="J115">
        <v>2</v>
      </c>
      <c r="K115">
        <v>4</v>
      </c>
      <c r="L115">
        <v>3</v>
      </c>
      <c r="M115">
        <v>2</v>
      </c>
      <c r="N115" s="6">
        <f t="shared" si="5"/>
        <v>2.875</v>
      </c>
      <c r="O115">
        <v>2</v>
      </c>
      <c r="P115">
        <v>2</v>
      </c>
      <c r="Q115">
        <v>3</v>
      </c>
      <c r="R115">
        <v>3</v>
      </c>
      <c r="S115">
        <v>3</v>
      </c>
      <c r="T115">
        <v>2</v>
      </c>
      <c r="U115">
        <v>3</v>
      </c>
      <c r="V115">
        <v>2</v>
      </c>
      <c r="W115">
        <v>2</v>
      </c>
      <c r="X115">
        <v>2</v>
      </c>
      <c r="Y115">
        <f t="shared" si="4"/>
        <v>2.4</v>
      </c>
    </row>
    <row r="116" spans="1:25" x14ac:dyDescent="0.35">
      <c r="A116">
        <v>200484</v>
      </c>
      <c r="B116">
        <v>27</v>
      </c>
      <c r="C116">
        <v>1</v>
      </c>
      <c r="D116">
        <v>0</v>
      </c>
      <c r="E116">
        <v>1</v>
      </c>
      <c r="F116">
        <v>4</v>
      </c>
      <c r="G116">
        <v>3</v>
      </c>
      <c r="H116">
        <v>4</v>
      </c>
      <c r="I116">
        <v>2</v>
      </c>
      <c r="J116">
        <v>2</v>
      </c>
      <c r="K116">
        <v>3</v>
      </c>
      <c r="L116">
        <v>4</v>
      </c>
      <c r="M116">
        <v>4</v>
      </c>
      <c r="N116" s="6">
        <f t="shared" si="5"/>
        <v>3.25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f t="shared" si="4"/>
        <v>2</v>
      </c>
    </row>
    <row r="117" spans="1:25" x14ac:dyDescent="0.35">
      <c r="A117">
        <v>200485</v>
      </c>
      <c r="B117">
        <v>38</v>
      </c>
      <c r="C117">
        <v>0</v>
      </c>
      <c r="D117">
        <v>0</v>
      </c>
      <c r="E117">
        <v>0</v>
      </c>
      <c r="F117">
        <v>5</v>
      </c>
      <c r="G117">
        <v>5</v>
      </c>
      <c r="H117">
        <v>4</v>
      </c>
      <c r="I117">
        <v>5</v>
      </c>
      <c r="J117">
        <v>4</v>
      </c>
      <c r="K117">
        <v>5</v>
      </c>
      <c r="L117">
        <v>4</v>
      </c>
      <c r="M117">
        <v>5</v>
      </c>
      <c r="N117" s="6">
        <f t="shared" si="5"/>
        <v>4.625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f t="shared" si="4"/>
        <v>1</v>
      </c>
    </row>
    <row r="118" spans="1:25" x14ac:dyDescent="0.35">
      <c r="A118">
        <v>200487</v>
      </c>
      <c r="B118">
        <v>57</v>
      </c>
      <c r="C118">
        <v>1</v>
      </c>
      <c r="D118">
        <v>0</v>
      </c>
      <c r="E118">
        <v>0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 s="6">
        <f t="shared" si="5"/>
        <v>5</v>
      </c>
      <c r="O118">
        <v>1</v>
      </c>
      <c r="P118">
        <v>1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f t="shared" si="4"/>
        <v>1.8</v>
      </c>
    </row>
    <row r="119" spans="1:25" x14ac:dyDescent="0.35">
      <c r="A119">
        <v>200489</v>
      </c>
      <c r="B119">
        <v>33</v>
      </c>
      <c r="C119">
        <v>0</v>
      </c>
      <c r="D119">
        <v>0</v>
      </c>
      <c r="E119">
        <v>1</v>
      </c>
      <c r="F119">
        <v>2</v>
      </c>
      <c r="G119">
        <v>3</v>
      </c>
      <c r="H119">
        <v>2</v>
      </c>
      <c r="I119">
        <v>3</v>
      </c>
      <c r="J119">
        <v>3</v>
      </c>
      <c r="K119">
        <v>2</v>
      </c>
      <c r="L119">
        <v>4</v>
      </c>
      <c r="M119">
        <v>3</v>
      </c>
      <c r="N119" s="6">
        <f t="shared" si="5"/>
        <v>2.75</v>
      </c>
      <c r="O119">
        <v>3</v>
      </c>
      <c r="P119">
        <v>2</v>
      </c>
      <c r="Q119">
        <v>3</v>
      </c>
      <c r="R119">
        <v>3</v>
      </c>
      <c r="S119">
        <v>3</v>
      </c>
      <c r="T119">
        <v>2</v>
      </c>
      <c r="U119">
        <v>3</v>
      </c>
      <c r="V119">
        <v>2</v>
      </c>
      <c r="W119">
        <v>2</v>
      </c>
      <c r="X119">
        <v>2</v>
      </c>
      <c r="Y119">
        <f t="shared" si="4"/>
        <v>2.5</v>
      </c>
    </row>
    <row r="120" spans="1:25" x14ac:dyDescent="0.35">
      <c r="A120">
        <v>200491</v>
      </c>
      <c r="B120">
        <v>40</v>
      </c>
      <c r="C120">
        <v>1</v>
      </c>
      <c r="D120">
        <v>0</v>
      </c>
      <c r="E120">
        <v>1</v>
      </c>
      <c r="F120">
        <v>5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 s="6">
        <f t="shared" si="5"/>
        <v>4.125</v>
      </c>
      <c r="O120">
        <v>3</v>
      </c>
      <c r="P120">
        <v>3</v>
      </c>
      <c r="Q120">
        <v>2</v>
      </c>
      <c r="R120">
        <v>2</v>
      </c>
      <c r="S120">
        <v>2</v>
      </c>
      <c r="T120">
        <v>4</v>
      </c>
      <c r="U120">
        <v>4</v>
      </c>
      <c r="V120">
        <v>4</v>
      </c>
      <c r="W120">
        <v>4</v>
      </c>
      <c r="X120">
        <v>4</v>
      </c>
      <c r="Y120">
        <f t="shared" si="4"/>
        <v>3.2</v>
      </c>
    </row>
    <row r="121" spans="1:25" x14ac:dyDescent="0.35">
      <c r="A121">
        <v>200492</v>
      </c>
      <c r="B121">
        <v>46</v>
      </c>
      <c r="C121">
        <v>0</v>
      </c>
      <c r="D121">
        <v>0</v>
      </c>
      <c r="E121">
        <v>1</v>
      </c>
      <c r="F121">
        <v>3</v>
      </c>
      <c r="G121">
        <v>4</v>
      </c>
      <c r="H121">
        <v>4</v>
      </c>
      <c r="I121">
        <v>3</v>
      </c>
      <c r="J121">
        <v>2</v>
      </c>
      <c r="K121">
        <v>3</v>
      </c>
      <c r="L121">
        <v>2</v>
      </c>
      <c r="M121">
        <v>3</v>
      </c>
      <c r="N121" s="6">
        <f t="shared" si="5"/>
        <v>3</v>
      </c>
      <c r="O121">
        <v>2</v>
      </c>
      <c r="P121">
        <v>2</v>
      </c>
      <c r="Q121">
        <v>3</v>
      </c>
      <c r="R121">
        <v>3</v>
      </c>
      <c r="S121">
        <v>2</v>
      </c>
      <c r="T121">
        <v>3</v>
      </c>
      <c r="U121">
        <v>3</v>
      </c>
      <c r="V121">
        <v>2</v>
      </c>
      <c r="W121">
        <v>2</v>
      </c>
      <c r="X121">
        <v>2</v>
      </c>
      <c r="Y121">
        <f t="shared" si="4"/>
        <v>2.4</v>
      </c>
    </row>
    <row r="122" spans="1:25" x14ac:dyDescent="0.35">
      <c r="A122">
        <v>200493</v>
      </c>
      <c r="B122">
        <v>35</v>
      </c>
      <c r="C122">
        <v>1</v>
      </c>
      <c r="D122">
        <v>0</v>
      </c>
      <c r="E122">
        <v>1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1</v>
      </c>
      <c r="L122">
        <v>1</v>
      </c>
      <c r="M122">
        <v>2</v>
      </c>
      <c r="N122" s="6">
        <f t="shared" si="5"/>
        <v>1.5</v>
      </c>
      <c r="O122">
        <v>3</v>
      </c>
      <c r="P122">
        <v>3</v>
      </c>
      <c r="Q122">
        <v>3</v>
      </c>
      <c r="R122">
        <v>3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f t="shared" si="4"/>
        <v>3.6</v>
      </c>
    </row>
    <row r="123" spans="1:25" x14ac:dyDescent="0.35">
      <c r="A123">
        <v>200496</v>
      </c>
      <c r="B123">
        <v>37</v>
      </c>
      <c r="C123">
        <v>1</v>
      </c>
      <c r="D123">
        <v>0</v>
      </c>
      <c r="E123">
        <v>0</v>
      </c>
      <c r="F123">
        <v>3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 s="6">
        <f t="shared" si="5"/>
        <v>2.125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f t="shared" si="4"/>
        <v>3</v>
      </c>
    </row>
    <row r="124" spans="1:25" x14ac:dyDescent="0.35">
      <c r="A124">
        <v>200497</v>
      </c>
      <c r="B124">
        <v>30</v>
      </c>
      <c r="C124">
        <v>0</v>
      </c>
      <c r="D124">
        <v>0</v>
      </c>
      <c r="E124">
        <v>0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 s="6">
        <f t="shared" si="5"/>
        <v>5</v>
      </c>
      <c r="O124">
        <v>1</v>
      </c>
      <c r="P124">
        <v>2</v>
      </c>
      <c r="Q124">
        <v>2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2</v>
      </c>
      <c r="X124">
        <v>2</v>
      </c>
      <c r="Y124">
        <f t="shared" si="4"/>
        <v>1.7</v>
      </c>
    </row>
    <row r="125" spans="1:25" x14ac:dyDescent="0.35">
      <c r="A125">
        <v>200502</v>
      </c>
      <c r="B125">
        <v>29</v>
      </c>
      <c r="C125">
        <v>1</v>
      </c>
      <c r="D125">
        <v>0</v>
      </c>
      <c r="E125">
        <v>0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 s="6">
        <f t="shared" si="5"/>
        <v>5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f t="shared" si="4"/>
        <v>1</v>
      </c>
    </row>
    <row r="126" spans="1:25" x14ac:dyDescent="0.35">
      <c r="A126">
        <v>200503</v>
      </c>
      <c r="B126">
        <v>41</v>
      </c>
      <c r="C126">
        <v>0</v>
      </c>
      <c r="D126">
        <v>0</v>
      </c>
      <c r="E126">
        <v>0</v>
      </c>
      <c r="F126">
        <v>4</v>
      </c>
      <c r="G126">
        <v>4</v>
      </c>
      <c r="H126">
        <v>4</v>
      </c>
      <c r="I126">
        <v>3</v>
      </c>
      <c r="J126">
        <v>4</v>
      </c>
      <c r="K126">
        <v>4</v>
      </c>
      <c r="L126">
        <v>3</v>
      </c>
      <c r="M126">
        <v>4</v>
      </c>
      <c r="N126" s="6">
        <f t="shared" si="5"/>
        <v>3.75</v>
      </c>
      <c r="O126">
        <v>2</v>
      </c>
      <c r="P126">
        <v>1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1</v>
      </c>
      <c r="W126">
        <v>1</v>
      </c>
      <c r="X126">
        <v>1</v>
      </c>
      <c r="Y126">
        <f t="shared" si="4"/>
        <v>1.6</v>
      </c>
    </row>
    <row r="127" spans="1:25" x14ac:dyDescent="0.35">
      <c r="A127">
        <v>200504</v>
      </c>
      <c r="B127">
        <v>35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2</v>
      </c>
      <c r="I127">
        <v>3</v>
      </c>
      <c r="J127">
        <v>1</v>
      </c>
      <c r="K127">
        <v>2</v>
      </c>
      <c r="L127">
        <v>1</v>
      </c>
      <c r="M127">
        <v>2</v>
      </c>
      <c r="N127" s="6">
        <f t="shared" si="5"/>
        <v>1.875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4</v>
      </c>
      <c r="U127">
        <v>4</v>
      </c>
      <c r="V127">
        <v>3</v>
      </c>
      <c r="W127">
        <v>3</v>
      </c>
      <c r="X127">
        <v>3</v>
      </c>
      <c r="Y127">
        <f t="shared" si="4"/>
        <v>3.2</v>
      </c>
    </row>
    <row r="128" spans="1:25" x14ac:dyDescent="0.35">
      <c r="A128">
        <v>200506</v>
      </c>
      <c r="B128">
        <v>35</v>
      </c>
      <c r="C128">
        <v>1</v>
      </c>
      <c r="D128">
        <v>0</v>
      </c>
      <c r="E128">
        <v>0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4</v>
      </c>
      <c r="L128">
        <v>4</v>
      </c>
      <c r="M128">
        <v>4</v>
      </c>
      <c r="N128" s="6">
        <f t="shared" si="5"/>
        <v>3.375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f t="shared" si="4"/>
        <v>2</v>
      </c>
    </row>
    <row r="129" spans="1:25" x14ac:dyDescent="0.35">
      <c r="A129">
        <v>200508</v>
      </c>
      <c r="B129">
        <v>32</v>
      </c>
      <c r="C129">
        <v>1</v>
      </c>
      <c r="D129">
        <v>0</v>
      </c>
      <c r="E129">
        <v>0</v>
      </c>
      <c r="F129">
        <v>3</v>
      </c>
      <c r="G129">
        <v>3</v>
      </c>
      <c r="H129">
        <v>2</v>
      </c>
      <c r="I129">
        <v>3</v>
      </c>
      <c r="J129">
        <v>3</v>
      </c>
      <c r="K129">
        <v>2</v>
      </c>
      <c r="L129">
        <v>3</v>
      </c>
      <c r="M129">
        <v>2</v>
      </c>
      <c r="N129" s="6">
        <f t="shared" si="5"/>
        <v>2.625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f t="shared" si="4"/>
        <v>3</v>
      </c>
    </row>
    <row r="130" spans="1:25" x14ac:dyDescent="0.35">
      <c r="A130">
        <v>200517</v>
      </c>
      <c r="B130">
        <v>27</v>
      </c>
      <c r="C130">
        <v>0</v>
      </c>
      <c r="D130">
        <v>0</v>
      </c>
      <c r="E130">
        <v>1</v>
      </c>
      <c r="F130">
        <v>2</v>
      </c>
      <c r="G130">
        <v>3</v>
      </c>
      <c r="H130">
        <v>4</v>
      </c>
      <c r="I130">
        <v>2</v>
      </c>
      <c r="J130">
        <v>5</v>
      </c>
      <c r="K130">
        <v>4</v>
      </c>
      <c r="L130">
        <v>4</v>
      </c>
      <c r="M130">
        <v>4</v>
      </c>
      <c r="N130" s="6">
        <f t="shared" ref="N130:N161" si="6">AVERAGE(F130:M130)</f>
        <v>3.5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2</v>
      </c>
      <c r="X130">
        <v>2</v>
      </c>
      <c r="Y130">
        <f t="shared" si="4"/>
        <v>2.8</v>
      </c>
    </row>
    <row r="131" spans="1:25" x14ac:dyDescent="0.35">
      <c r="A131">
        <v>200518</v>
      </c>
      <c r="B131">
        <v>42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 s="6">
        <f t="shared" si="6"/>
        <v>5</v>
      </c>
      <c r="O131">
        <v>3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f t="shared" ref="Y131:Y194" si="7">AVERAGE(O131:X131)</f>
        <v>2.1</v>
      </c>
    </row>
    <row r="132" spans="1:25" x14ac:dyDescent="0.35">
      <c r="A132">
        <v>200522</v>
      </c>
      <c r="B132">
        <v>37</v>
      </c>
      <c r="C132">
        <v>0</v>
      </c>
      <c r="D132">
        <v>0</v>
      </c>
      <c r="E132">
        <v>1</v>
      </c>
      <c r="F132">
        <v>4</v>
      </c>
      <c r="G132">
        <v>2</v>
      </c>
      <c r="H132">
        <v>3</v>
      </c>
      <c r="I132">
        <v>2</v>
      </c>
      <c r="J132">
        <v>2</v>
      </c>
      <c r="K132">
        <v>3</v>
      </c>
      <c r="L132">
        <v>4</v>
      </c>
      <c r="M132">
        <v>3</v>
      </c>
      <c r="N132" s="6">
        <f t="shared" si="6"/>
        <v>2.875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2</v>
      </c>
      <c r="U132">
        <v>2</v>
      </c>
      <c r="V132">
        <v>2</v>
      </c>
      <c r="W132">
        <v>1</v>
      </c>
      <c r="X132">
        <v>1</v>
      </c>
      <c r="Y132">
        <f t="shared" si="7"/>
        <v>2.2999999999999998</v>
      </c>
    </row>
    <row r="133" spans="1:25" x14ac:dyDescent="0.35">
      <c r="A133">
        <v>200524</v>
      </c>
      <c r="B133">
        <v>31</v>
      </c>
      <c r="C133">
        <v>1</v>
      </c>
      <c r="D133">
        <v>0</v>
      </c>
      <c r="E133">
        <v>1</v>
      </c>
      <c r="F133">
        <v>4</v>
      </c>
      <c r="G133">
        <v>3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 s="6">
        <f t="shared" si="6"/>
        <v>3.875</v>
      </c>
      <c r="O133">
        <v>3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2</v>
      </c>
      <c r="V133">
        <v>1</v>
      </c>
      <c r="W133">
        <v>1</v>
      </c>
      <c r="X133">
        <v>1</v>
      </c>
      <c r="Y133">
        <f t="shared" si="7"/>
        <v>1.4</v>
      </c>
    </row>
    <row r="134" spans="1:25" x14ac:dyDescent="0.35">
      <c r="A134">
        <v>200525</v>
      </c>
      <c r="B134">
        <v>29</v>
      </c>
      <c r="C134">
        <v>0</v>
      </c>
      <c r="D134">
        <v>0</v>
      </c>
      <c r="E134">
        <v>1</v>
      </c>
      <c r="F134">
        <v>4</v>
      </c>
      <c r="G134">
        <v>4</v>
      </c>
      <c r="H134">
        <v>4</v>
      </c>
      <c r="I134">
        <v>4</v>
      </c>
      <c r="J134">
        <v>3</v>
      </c>
      <c r="K134">
        <v>4</v>
      </c>
      <c r="L134">
        <v>4</v>
      </c>
      <c r="M134">
        <v>4</v>
      </c>
      <c r="N134" s="6">
        <f t="shared" si="6"/>
        <v>3.875</v>
      </c>
      <c r="O134">
        <v>2</v>
      </c>
      <c r="P134">
        <v>2</v>
      </c>
      <c r="Q134">
        <v>2</v>
      </c>
      <c r="R134">
        <v>1</v>
      </c>
      <c r="S134">
        <v>2</v>
      </c>
      <c r="T134">
        <v>2</v>
      </c>
      <c r="U134">
        <v>1</v>
      </c>
      <c r="V134">
        <v>1</v>
      </c>
      <c r="W134">
        <v>1</v>
      </c>
      <c r="X134">
        <v>1</v>
      </c>
      <c r="Y134">
        <f t="shared" si="7"/>
        <v>1.5</v>
      </c>
    </row>
    <row r="135" spans="1:25" x14ac:dyDescent="0.35">
      <c r="A135" s="1">
        <v>200557.17224880401</v>
      </c>
      <c r="B135">
        <v>26</v>
      </c>
      <c r="C135">
        <v>1</v>
      </c>
      <c r="D135">
        <v>0</v>
      </c>
      <c r="E135">
        <v>0</v>
      </c>
      <c r="F135">
        <v>4</v>
      </c>
      <c r="G135">
        <v>3</v>
      </c>
      <c r="H135">
        <v>4</v>
      </c>
      <c r="I135">
        <v>4</v>
      </c>
      <c r="J135">
        <v>3</v>
      </c>
      <c r="K135">
        <v>3</v>
      </c>
      <c r="L135">
        <v>2</v>
      </c>
      <c r="M135">
        <v>3</v>
      </c>
      <c r="N135" s="6">
        <f t="shared" si="6"/>
        <v>3.25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f t="shared" si="7"/>
        <v>2</v>
      </c>
    </row>
    <row r="136" spans="1:25" x14ac:dyDescent="0.35">
      <c r="A136" s="1">
        <v>200560.88730986201</v>
      </c>
      <c r="B136">
        <v>58</v>
      </c>
      <c r="C136">
        <v>1</v>
      </c>
      <c r="D136">
        <v>0</v>
      </c>
      <c r="E136">
        <v>1</v>
      </c>
      <c r="F136">
        <v>3</v>
      </c>
      <c r="G136">
        <v>5</v>
      </c>
      <c r="H136">
        <v>4</v>
      </c>
      <c r="I136">
        <v>5</v>
      </c>
      <c r="J136">
        <v>4</v>
      </c>
      <c r="K136">
        <v>4</v>
      </c>
      <c r="L136">
        <v>4</v>
      </c>
      <c r="M136">
        <v>4</v>
      </c>
      <c r="N136" s="6">
        <f t="shared" si="6"/>
        <v>4.125</v>
      </c>
      <c r="O136">
        <v>1</v>
      </c>
      <c r="P136">
        <v>2</v>
      </c>
      <c r="Q136">
        <v>2</v>
      </c>
      <c r="R136">
        <v>2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f t="shared" si="7"/>
        <v>1.3</v>
      </c>
    </row>
    <row r="137" spans="1:25" x14ac:dyDescent="0.35">
      <c r="A137" s="1">
        <v>200564.602370921</v>
      </c>
      <c r="B137">
        <v>30</v>
      </c>
      <c r="C137">
        <v>0</v>
      </c>
      <c r="D137">
        <v>0</v>
      </c>
      <c r="E137">
        <v>1</v>
      </c>
      <c r="F137">
        <v>5</v>
      </c>
      <c r="G137">
        <v>5</v>
      </c>
      <c r="H137">
        <v>5</v>
      </c>
      <c r="I137">
        <v>4</v>
      </c>
      <c r="J137">
        <v>4</v>
      </c>
      <c r="K137">
        <v>4</v>
      </c>
      <c r="L137">
        <v>4</v>
      </c>
      <c r="M137">
        <v>4</v>
      </c>
      <c r="N137" s="6">
        <f t="shared" si="6"/>
        <v>4.375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f t="shared" si="7"/>
        <v>1</v>
      </c>
    </row>
    <row r="138" spans="1:25" x14ac:dyDescent="0.35">
      <c r="A138" s="1">
        <v>200568.317431979</v>
      </c>
      <c r="B138">
        <v>55</v>
      </c>
      <c r="C138">
        <v>1</v>
      </c>
      <c r="D138">
        <v>0</v>
      </c>
      <c r="E138">
        <v>0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 s="6">
        <f t="shared" si="6"/>
        <v>5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2</v>
      </c>
      <c r="Y138">
        <f t="shared" si="7"/>
        <v>1.1000000000000001</v>
      </c>
    </row>
    <row r="139" spans="1:25" x14ac:dyDescent="0.35">
      <c r="A139" s="1">
        <v>200572.032493037</v>
      </c>
      <c r="B139">
        <v>21</v>
      </c>
      <c r="C139">
        <v>1</v>
      </c>
      <c r="D139">
        <v>0</v>
      </c>
      <c r="E139">
        <v>1</v>
      </c>
      <c r="F139">
        <v>5</v>
      </c>
      <c r="G139">
        <v>4</v>
      </c>
      <c r="H139">
        <v>4</v>
      </c>
      <c r="I139">
        <v>3</v>
      </c>
      <c r="J139">
        <v>4</v>
      </c>
      <c r="K139">
        <v>3</v>
      </c>
      <c r="L139">
        <v>4</v>
      </c>
      <c r="M139">
        <v>4</v>
      </c>
      <c r="N139" s="6">
        <f t="shared" si="6"/>
        <v>3.875</v>
      </c>
      <c r="O139">
        <v>1</v>
      </c>
      <c r="P139">
        <v>2</v>
      </c>
      <c r="Q139">
        <v>2</v>
      </c>
      <c r="R139">
        <v>2</v>
      </c>
      <c r="S139">
        <v>2</v>
      </c>
      <c r="T139">
        <v>1</v>
      </c>
      <c r="U139">
        <v>1</v>
      </c>
      <c r="V139">
        <v>1</v>
      </c>
      <c r="W139">
        <v>1</v>
      </c>
      <c r="X139">
        <v>1</v>
      </c>
      <c r="Y139">
        <f t="shared" si="7"/>
        <v>1.4</v>
      </c>
    </row>
    <row r="140" spans="1:25" x14ac:dyDescent="0.35">
      <c r="A140" s="1">
        <v>200575.74755409599</v>
      </c>
      <c r="B140">
        <v>32</v>
      </c>
      <c r="C140">
        <v>0</v>
      </c>
      <c r="D140">
        <v>0</v>
      </c>
      <c r="E140">
        <v>0</v>
      </c>
      <c r="F140">
        <v>5</v>
      </c>
      <c r="G140">
        <v>4</v>
      </c>
      <c r="H140">
        <v>5</v>
      </c>
      <c r="I140">
        <v>4</v>
      </c>
      <c r="J140">
        <v>5</v>
      </c>
      <c r="K140">
        <v>5</v>
      </c>
      <c r="L140">
        <v>4</v>
      </c>
      <c r="M140">
        <v>5</v>
      </c>
      <c r="N140" s="6">
        <f t="shared" si="6"/>
        <v>4.625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f t="shared" si="7"/>
        <v>2</v>
      </c>
    </row>
    <row r="141" spans="1:25" x14ac:dyDescent="0.35">
      <c r="A141" s="1">
        <v>200579.46261515401</v>
      </c>
      <c r="B141">
        <v>46</v>
      </c>
      <c r="C141">
        <v>0</v>
      </c>
      <c r="D141">
        <v>0</v>
      </c>
      <c r="E141">
        <v>1</v>
      </c>
      <c r="F141">
        <v>4</v>
      </c>
      <c r="G141">
        <v>5</v>
      </c>
      <c r="H141">
        <v>4</v>
      </c>
      <c r="I141">
        <v>5</v>
      </c>
      <c r="J141">
        <v>4</v>
      </c>
      <c r="K141">
        <v>5</v>
      </c>
      <c r="L141">
        <v>5</v>
      </c>
      <c r="M141">
        <v>5</v>
      </c>
      <c r="N141" s="6">
        <f t="shared" si="6"/>
        <v>4.625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f t="shared" si="7"/>
        <v>1</v>
      </c>
    </row>
    <row r="142" spans="1:25" x14ac:dyDescent="0.35">
      <c r="A142" s="1">
        <v>200583.17767621201</v>
      </c>
      <c r="B142">
        <v>23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1</v>
      </c>
      <c r="I142">
        <v>2</v>
      </c>
      <c r="J142">
        <v>1</v>
      </c>
      <c r="K142">
        <v>1</v>
      </c>
      <c r="L142">
        <v>1</v>
      </c>
      <c r="M142">
        <v>1</v>
      </c>
      <c r="N142" s="6">
        <f t="shared" si="6"/>
        <v>1.375</v>
      </c>
      <c r="O142">
        <v>3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4</v>
      </c>
      <c r="V142">
        <v>4</v>
      </c>
      <c r="W142">
        <v>4</v>
      </c>
      <c r="X142">
        <v>4</v>
      </c>
      <c r="Y142">
        <f t="shared" si="7"/>
        <v>3.6</v>
      </c>
    </row>
    <row r="143" spans="1:25" x14ac:dyDescent="0.35">
      <c r="A143" s="1">
        <v>200586.892737271</v>
      </c>
      <c r="B143">
        <v>55</v>
      </c>
      <c r="C143">
        <v>0</v>
      </c>
      <c r="D143">
        <v>1</v>
      </c>
      <c r="E143">
        <v>1</v>
      </c>
      <c r="F143">
        <v>5</v>
      </c>
      <c r="G143">
        <v>2</v>
      </c>
      <c r="H143">
        <v>1</v>
      </c>
      <c r="I143">
        <v>2</v>
      </c>
      <c r="J143">
        <v>1</v>
      </c>
      <c r="K143">
        <v>2</v>
      </c>
      <c r="L143">
        <v>1</v>
      </c>
      <c r="M143">
        <v>1</v>
      </c>
      <c r="N143" s="6">
        <f t="shared" si="6"/>
        <v>1.875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4</v>
      </c>
      <c r="U143">
        <v>3</v>
      </c>
      <c r="V143">
        <v>3</v>
      </c>
      <c r="W143">
        <v>4</v>
      </c>
      <c r="X143">
        <v>4</v>
      </c>
      <c r="Y143">
        <f t="shared" si="7"/>
        <v>3.3</v>
      </c>
    </row>
    <row r="144" spans="1:25" x14ac:dyDescent="0.35">
      <c r="A144" s="1">
        <v>200590.607798329</v>
      </c>
      <c r="B144">
        <v>60</v>
      </c>
      <c r="C144">
        <v>1</v>
      </c>
      <c r="D144">
        <v>1</v>
      </c>
      <c r="E144">
        <v>1</v>
      </c>
      <c r="F144">
        <v>4</v>
      </c>
      <c r="G144">
        <v>4</v>
      </c>
      <c r="H144">
        <v>4</v>
      </c>
      <c r="I144">
        <v>2</v>
      </c>
      <c r="J144">
        <v>2</v>
      </c>
      <c r="K144">
        <v>2</v>
      </c>
      <c r="L144">
        <v>2</v>
      </c>
      <c r="M144">
        <v>3</v>
      </c>
      <c r="N144" s="6">
        <f t="shared" si="6"/>
        <v>2.875</v>
      </c>
      <c r="O144">
        <v>2</v>
      </c>
      <c r="P144">
        <v>2</v>
      </c>
      <c r="Q144">
        <v>2</v>
      </c>
      <c r="R144">
        <v>2</v>
      </c>
      <c r="S144">
        <v>3</v>
      </c>
      <c r="T144">
        <v>3</v>
      </c>
      <c r="U144">
        <v>2</v>
      </c>
      <c r="V144">
        <v>3</v>
      </c>
      <c r="W144">
        <v>2</v>
      </c>
      <c r="X144">
        <v>2</v>
      </c>
      <c r="Y144">
        <f t="shared" si="7"/>
        <v>2.2999999999999998</v>
      </c>
    </row>
    <row r="145" spans="1:25" x14ac:dyDescent="0.35">
      <c r="A145" s="1">
        <v>200594.322859387</v>
      </c>
      <c r="B145">
        <v>58</v>
      </c>
      <c r="C145">
        <v>1</v>
      </c>
      <c r="D145">
        <v>1</v>
      </c>
      <c r="E145">
        <v>1</v>
      </c>
      <c r="F145">
        <v>5</v>
      </c>
      <c r="G145">
        <v>4</v>
      </c>
      <c r="H145">
        <v>4</v>
      </c>
      <c r="I145">
        <v>2</v>
      </c>
      <c r="J145">
        <v>4</v>
      </c>
      <c r="K145">
        <v>5</v>
      </c>
      <c r="L145">
        <v>2</v>
      </c>
      <c r="M145">
        <v>3</v>
      </c>
      <c r="N145" s="6">
        <f t="shared" si="6"/>
        <v>3.625</v>
      </c>
      <c r="O145">
        <v>2</v>
      </c>
      <c r="P145">
        <v>2</v>
      </c>
      <c r="Q145">
        <v>2</v>
      </c>
      <c r="R145">
        <v>2</v>
      </c>
      <c r="S145">
        <v>1</v>
      </c>
      <c r="T145">
        <v>1</v>
      </c>
      <c r="U145">
        <v>2</v>
      </c>
      <c r="V145">
        <v>2</v>
      </c>
      <c r="W145">
        <v>2</v>
      </c>
      <c r="X145">
        <v>2</v>
      </c>
      <c r="Y145">
        <f t="shared" si="7"/>
        <v>1.8</v>
      </c>
    </row>
    <row r="146" spans="1:25" x14ac:dyDescent="0.35">
      <c r="A146" s="1">
        <v>200598.03792044599</v>
      </c>
      <c r="B146">
        <v>20</v>
      </c>
      <c r="C146">
        <v>0</v>
      </c>
      <c r="D146">
        <v>0</v>
      </c>
      <c r="E146">
        <v>1</v>
      </c>
      <c r="F146">
        <v>2</v>
      </c>
      <c r="G146">
        <v>2</v>
      </c>
      <c r="H146">
        <v>3</v>
      </c>
      <c r="I146">
        <v>2</v>
      </c>
      <c r="J146">
        <v>2</v>
      </c>
      <c r="K146">
        <v>4</v>
      </c>
      <c r="L146">
        <v>2</v>
      </c>
      <c r="M146">
        <v>2</v>
      </c>
      <c r="N146" s="6">
        <f t="shared" si="6"/>
        <v>2.375</v>
      </c>
      <c r="O146">
        <v>3</v>
      </c>
      <c r="P146">
        <v>3</v>
      </c>
      <c r="Q146">
        <v>3</v>
      </c>
      <c r="R146">
        <v>3</v>
      </c>
      <c r="S146">
        <v>2</v>
      </c>
      <c r="T146">
        <v>3</v>
      </c>
      <c r="U146">
        <v>3</v>
      </c>
      <c r="V146">
        <v>3</v>
      </c>
      <c r="W146">
        <v>3</v>
      </c>
      <c r="X146">
        <v>3</v>
      </c>
      <c r="Y146">
        <f t="shared" si="7"/>
        <v>2.9</v>
      </c>
    </row>
    <row r="147" spans="1:25" x14ac:dyDescent="0.35">
      <c r="A147" s="1">
        <v>200601.75298150399</v>
      </c>
      <c r="B147">
        <v>50</v>
      </c>
      <c r="C147">
        <v>0</v>
      </c>
      <c r="D147">
        <v>0</v>
      </c>
      <c r="E147">
        <v>0</v>
      </c>
      <c r="F147">
        <v>3</v>
      </c>
      <c r="G147">
        <v>4</v>
      </c>
      <c r="H147">
        <v>3</v>
      </c>
      <c r="I147">
        <v>4</v>
      </c>
      <c r="J147">
        <v>3</v>
      </c>
      <c r="K147">
        <v>3</v>
      </c>
      <c r="L147">
        <v>4</v>
      </c>
      <c r="M147">
        <v>3</v>
      </c>
      <c r="N147" s="6">
        <f t="shared" si="6"/>
        <v>3.375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1</v>
      </c>
      <c r="U147">
        <v>2</v>
      </c>
      <c r="V147">
        <v>2</v>
      </c>
      <c r="W147">
        <v>2</v>
      </c>
      <c r="X147">
        <v>2</v>
      </c>
      <c r="Y147">
        <f t="shared" si="7"/>
        <v>1.9</v>
      </c>
    </row>
    <row r="148" spans="1:25" x14ac:dyDescent="0.35">
      <c r="A148" s="1">
        <v>200605.46804256199</v>
      </c>
      <c r="B148">
        <v>22</v>
      </c>
      <c r="C148">
        <v>0</v>
      </c>
      <c r="D148">
        <v>1</v>
      </c>
      <c r="E148">
        <v>1</v>
      </c>
      <c r="F148">
        <v>2</v>
      </c>
      <c r="G148">
        <v>2</v>
      </c>
      <c r="H148">
        <v>3</v>
      </c>
      <c r="I148">
        <v>1</v>
      </c>
      <c r="J148">
        <v>2</v>
      </c>
      <c r="K148">
        <v>1</v>
      </c>
      <c r="L148">
        <v>2</v>
      </c>
      <c r="M148">
        <v>2</v>
      </c>
      <c r="N148" s="6">
        <f t="shared" si="6"/>
        <v>1.875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4</v>
      </c>
      <c r="W148">
        <v>4</v>
      </c>
      <c r="X148">
        <v>4</v>
      </c>
      <c r="Y148">
        <f t="shared" si="7"/>
        <v>3.3</v>
      </c>
    </row>
    <row r="149" spans="1:25" x14ac:dyDescent="0.35">
      <c r="A149" s="1">
        <v>200609.18310362101</v>
      </c>
      <c r="B149">
        <v>41</v>
      </c>
      <c r="C149">
        <v>0</v>
      </c>
      <c r="D149">
        <v>0</v>
      </c>
      <c r="E149">
        <v>1</v>
      </c>
      <c r="F149">
        <v>1</v>
      </c>
      <c r="G149">
        <v>3</v>
      </c>
      <c r="H149">
        <v>2</v>
      </c>
      <c r="I149">
        <v>3</v>
      </c>
      <c r="J149">
        <v>3</v>
      </c>
      <c r="K149">
        <v>2</v>
      </c>
      <c r="L149">
        <v>2</v>
      </c>
      <c r="M149">
        <v>2</v>
      </c>
      <c r="N149" s="6">
        <f t="shared" si="6"/>
        <v>2.25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2</v>
      </c>
      <c r="U149">
        <v>3</v>
      </c>
      <c r="V149">
        <v>3</v>
      </c>
      <c r="W149">
        <v>3</v>
      </c>
      <c r="X149">
        <v>3</v>
      </c>
      <c r="Y149">
        <f t="shared" si="7"/>
        <v>2.9</v>
      </c>
    </row>
    <row r="150" spans="1:25" x14ac:dyDescent="0.35">
      <c r="A150" s="1">
        <v>200612.89816467901</v>
      </c>
      <c r="B150">
        <v>38</v>
      </c>
      <c r="C150">
        <v>0</v>
      </c>
      <c r="D150">
        <v>0</v>
      </c>
      <c r="E150">
        <v>1</v>
      </c>
      <c r="F150">
        <v>2</v>
      </c>
      <c r="G150">
        <v>2</v>
      </c>
      <c r="H150">
        <v>2</v>
      </c>
      <c r="I150">
        <v>2</v>
      </c>
      <c r="J150">
        <v>3</v>
      </c>
      <c r="K150">
        <v>3</v>
      </c>
      <c r="L150">
        <v>2</v>
      </c>
      <c r="M150">
        <v>2</v>
      </c>
      <c r="N150" s="6">
        <f t="shared" si="6"/>
        <v>2.25</v>
      </c>
      <c r="O150">
        <v>3</v>
      </c>
      <c r="P150">
        <v>3</v>
      </c>
      <c r="Q150">
        <v>3</v>
      </c>
      <c r="R150">
        <v>3</v>
      </c>
      <c r="S150">
        <v>2</v>
      </c>
      <c r="T150">
        <v>3</v>
      </c>
      <c r="U150">
        <v>3</v>
      </c>
      <c r="V150">
        <v>3</v>
      </c>
      <c r="W150">
        <v>3</v>
      </c>
      <c r="X150">
        <v>3</v>
      </c>
      <c r="Y150">
        <f t="shared" si="7"/>
        <v>2.9</v>
      </c>
    </row>
    <row r="151" spans="1:25" x14ac:dyDescent="0.35">
      <c r="A151" s="1">
        <v>200616.613225737</v>
      </c>
      <c r="B151">
        <v>40</v>
      </c>
      <c r="C151">
        <v>1</v>
      </c>
      <c r="D151">
        <v>0</v>
      </c>
      <c r="E151">
        <v>1</v>
      </c>
      <c r="F151">
        <v>4</v>
      </c>
      <c r="G151">
        <v>4</v>
      </c>
      <c r="H151">
        <v>4</v>
      </c>
      <c r="I151">
        <v>3</v>
      </c>
      <c r="J151">
        <v>4</v>
      </c>
      <c r="K151">
        <v>4</v>
      </c>
      <c r="L151">
        <v>3</v>
      </c>
      <c r="M151">
        <v>4</v>
      </c>
      <c r="N151" s="6">
        <f t="shared" si="6"/>
        <v>3.75</v>
      </c>
      <c r="O151">
        <v>1</v>
      </c>
      <c r="P151">
        <v>2</v>
      </c>
      <c r="Q151">
        <v>2</v>
      </c>
      <c r="R151">
        <v>2</v>
      </c>
      <c r="S151">
        <v>1</v>
      </c>
      <c r="T151">
        <v>1</v>
      </c>
      <c r="U151">
        <v>2</v>
      </c>
      <c r="V151">
        <v>2</v>
      </c>
      <c r="W151">
        <v>1</v>
      </c>
      <c r="X151">
        <v>1</v>
      </c>
      <c r="Y151">
        <f t="shared" si="7"/>
        <v>1.5</v>
      </c>
    </row>
    <row r="152" spans="1:25" x14ac:dyDescent="0.35">
      <c r="A152" s="1">
        <v>200620.32828679599</v>
      </c>
      <c r="B152">
        <v>27</v>
      </c>
      <c r="C152">
        <v>1</v>
      </c>
      <c r="D152">
        <v>0</v>
      </c>
      <c r="E152">
        <v>0</v>
      </c>
      <c r="F152">
        <v>4</v>
      </c>
      <c r="G152">
        <v>4</v>
      </c>
      <c r="H152">
        <v>4</v>
      </c>
      <c r="I152">
        <v>5</v>
      </c>
      <c r="J152">
        <v>4</v>
      </c>
      <c r="K152">
        <v>5</v>
      </c>
      <c r="L152">
        <v>4</v>
      </c>
      <c r="M152">
        <v>4</v>
      </c>
      <c r="N152" s="6">
        <f t="shared" si="6"/>
        <v>4.25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f t="shared" si="7"/>
        <v>1</v>
      </c>
    </row>
    <row r="153" spans="1:25" x14ac:dyDescent="0.35">
      <c r="A153" s="1">
        <v>200624.04334785399</v>
      </c>
      <c r="B153">
        <v>42</v>
      </c>
      <c r="C153">
        <v>1</v>
      </c>
      <c r="D153">
        <v>0</v>
      </c>
      <c r="E153">
        <v>1</v>
      </c>
      <c r="F153">
        <v>5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5</v>
      </c>
      <c r="N153" s="6">
        <f t="shared" si="6"/>
        <v>4.25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2</v>
      </c>
      <c r="X153">
        <v>1</v>
      </c>
      <c r="Y153">
        <f t="shared" si="7"/>
        <v>1.1000000000000001</v>
      </c>
    </row>
    <row r="154" spans="1:25" x14ac:dyDescent="0.35">
      <c r="A154" s="1">
        <v>200627.75840891199</v>
      </c>
      <c r="B154">
        <v>29</v>
      </c>
      <c r="C154">
        <v>0</v>
      </c>
      <c r="D154">
        <v>0</v>
      </c>
      <c r="E154">
        <v>0</v>
      </c>
      <c r="F154">
        <v>4</v>
      </c>
      <c r="G154">
        <v>3</v>
      </c>
      <c r="H154">
        <v>4</v>
      </c>
      <c r="I154">
        <v>4</v>
      </c>
      <c r="J154">
        <v>1</v>
      </c>
      <c r="K154">
        <v>3</v>
      </c>
      <c r="L154">
        <v>2</v>
      </c>
      <c r="M154">
        <v>2</v>
      </c>
      <c r="N154" s="6">
        <f t="shared" si="6"/>
        <v>2.875</v>
      </c>
      <c r="O154">
        <v>2</v>
      </c>
      <c r="P154">
        <v>2</v>
      </c>
      <c r="Q154">
        <v>2</v>
      </c>
      <c r="R154">
        <v>2</v>
      </c>
      <c r="S154">
        <v>3</v>
      </c>
      <c r="T154">
        <v>3</v>
      </c>
      <c r="U154">
        <v>3</v>
      </c>
      <c r="V154">
        <v>2</v>
      </c>
      <c r="W154">
        <v>2</v>
      </c>
      <c r="X154">
        <v>3</v>
      </c>
      <c r="Y154">
        <f t="shared" si="7"/>
        <v>2.4</v>
      </c>
    </row>
    <row r="155" spans="1:25" x14ac:dyDescent="0.35">
      <c r="A155" s="1">
        <v>200631.47346997101</v>
      </c>
      <c r="B155">
        <v>21</v>
      </c>
      <c r="C155">
        <v>1</v>
      </c>
      <c r="D155">
        <v>0</v>
      </c>
      <c r="E155">
        <v>0</v>
      </c>
      <c r="F155">
        <v>2</v>
      </c>
      <c r="G155">
        <v>1</v>
      </c>
      <c r="H155">
        <v>2</v>
      </c>
      <c r="I155">
        <v>2</v>
      </c>
      <c r="J155">
        <v>1</v>
      </c>
      <c r="K155">
        <v>2</v>
      </c>
      <c r="L155">
        <v>1</v>
      </c>
      <c r="M155">
        <v>2</v>
      </c>
      <c r="N155" s="6">
        <f t="shared" si="6"/>
        <v>1.625</v>
      </c>
      <c r="O155">
        <v>4</v>
      </c>
      <c r="P155">
        <v>3</v>
      </c>
      <c r="Q155">
        <v>3</v>
      </c>
      <c r="R155">
        <v>4</v>
      </c>
      <c r="S155">
        <v>4</v>
      </c>
      <c r="T155">
        <v>4</v>
      </c>
      <c r="U155">
        <v>4</v>
      </c>
      <c r="V155">
        <v>3</v>
      </c>
      <c r="W155">
        <v>3</v>
      </c>
      <c r="X155">
        <v>3</v>
      </c>
      <c r="Y155">
        <f t="shared" si="7"/>
        <v>3.5</v>
      </c>
    </row>
    <row r="156" spans="1:25" x14ac:dyDescent="0.35">
      <c r="A156" s="1">
        <v>200635.18853102901</v>
      </c>
      <c r="B156">
        <v>63</v>
      </c>
      <c r="C156">
        <v>0</v>
      </c>
      <c r="D156">
        <v>1</v>
      </c>
      <c r="E156">
        <v>1</v>
      </c>
      <c r="F156">
        <v>2</v>
      </c>
      <c r="G156">
        <v>2</v>
      </c>
      <c r="H156">
        <v>3</v>
      </c>
      <c r="I156">
        <v>2</v>
      </c>
      <c r="J156">
        <v>3</v>
      </c>
      <c r="K156">
        <v>2</v>
      </c>
      <c r="L156">
        <v>2</v>
      </c>
      <c r="M156">
        <v>3</v>
      </c>
      <c r="N156" s="6">
        <f t="shared" si="6"/>
        <v>2.375</v>
      </c>
      <c r="O156">
        <v>3</v>
      </c>
      <c r="P156">
        <v>3</v>
      </c>
      <c r="Q156">
        <v>3</v>
      </c>
      <c r="R156">
        <v>2</v>
      </c>
      <c r="S156">
        <v>2</v>
      </c>
      <c r="T156">
        <v>3</v>
      </c>
      <c r="U156">
        <v>3</v>
      </c>
      <c r="V156">
        <v>3</v>
      </c>
      <c r="W156">
        <v>3</v>
      </c>
      <c r="X156">
        <v>3</v>
      </c>
      <c r="Y156">
        <f t="shared" si="7"/>
        <v>2.8</v>
      </c>
    </row>
    <row r="157" spans="1:25" x14ac:dyDescent="0.35">
      <c r="A157" s="1">
        <v>200638.90359208701</v>
      </c>
      <c r="B157">
        <v>61</v>
      </c>
      <c r="C157">
        <v>0</v>
      </c>
      <c r="D157">
        <v>0</v>
      </c>
      <c r="E157">
        <v>1</v>
      </c>
      <c r="F157">
        <v>1</v>
      </c>
      <c r="G157">
        <v>3</v>
      </c>
      <c r="H157">
        <v>3</v>
      </c>
      <c r="I157">
        <v>3</v>
      </c>
      <c r="J157">
        <v>2</v>
      </c>
      <c r="K157">
        <v>2</v>
      </c>
      <c r="L157">
        <v>2</v>
      </c>
      <c r="M157">
        <v>3</v>
      </c>
      <c r="N157" s="6">
        <f t="shared" si="6"/>
        <v>2.375</v>
      </c>
      <c r="O157">
        <v>3</v>
      </c>
      <c r="P157">
        <v>3</v>
      </c>
      <c r="Q157">
        <v>3</v>
      </c>
      <c r="R157">
        <v>2</v>
      </c>
      <c r="S157">
        <v>2</v>
      </c>
      <c r="T157">
        <v>3</v>
      </c>
      <c r="U157">
        <v>3</v>
      </c>
      <c r="V157">
        <v>3</v>
      </c>
      <c r="W157">
        <v>3</v>
      </c>
      <c r="X157">
        <v>3</v>
      </c>
      <c r="Y157">
        <f t="shared" si="7"/>
        <v>2.8</v>
      </c>
    </row>
    <row r="158" spans="1:25" x14ac:dyDescent="0.35">
      <c r="A158" s="1">
        <v>200642.618653146</v>
      </c>
      <c r="B158">
        <v>32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2</v>
      </c>
      <c r="I158">
        <v>3</v>
      </c>
      <c r="J158">
        <v>3</v>
      </c>
      <c r="K158">
        <v>2</v>
      </c>
      <c r="L158">
        <v>2</v>
      </c>
      <c r="M158">
        <v>2</v>
      </c>
      <c r="N158" s="6">
        <f t="shared" si="6"/>
        <v>2.125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4</v>
      </c>
      <c r="U158">
        <v>3</v>
      </c>
      <c r="V158">
        <v>3</v>
      </c>
      <c r="W158">
        <v>3</v>
      </c>
      <c r="X158">
        <v>3</v>
      </c>
      <c r="Y158">
        <f t="shared" si="7"/>
        <v>3.1</v>
      </c>
    </row>
    <row r="159" spans="1:25" x14ac:dyDescent="0.35">
      <c r="A159" s="1">
        <v>200646.333714204</v>
      </c>
      <c r="B159">
        <v>30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 s="6">
        <f t="shared" si="6"/>
        <v>1.125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3</v>
      </c>
      <c r="X159">
        <v>4</v>
      </c>
      <c r="Y159">
        <f t="shared" si="7"/>
        <v>3.9</v>
      </c>
    </row>
    <row r="160" spans="1:25" x14ac:dyDescent="0.35">
      <c r="A160" s="1">
        <v>200650.048775262</v>
      </c>
      <c r="B160">
        <v>45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 s="6">
        <f t="shared" si="6"/>
        <v>1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f t="shared" si="7"/>
        <v>4</v>
      </c>
    </row>
    <row r="161" spans="1:25" x14ac:dyDescent="0.35">
      <c r="A161" s="1">
        <v>200653.76383632101</v>
      </c>
      <c r="B161">
        <v>65</v>
      </c>
      <c r="C161">
        <v>1</v>
      </c>
      <c r="D161">
        <v>1</v>
      </c>
      <c r="E161">
        <v>1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3</v>
      </c>
      <c r="N161" s="6">
        <f t="shared" si="6"/>
        <v>3.75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1</v>
      </c>
      <c r="V161">
        <v>1</v>
      </c>
      <c r="W161">
        <v>2</v>
      </c>
      <c r="X161">
        <v>1</v>
      </c>
      <c r="Y161">
        <f t="shared" si="7"/>
        <v>1.7</v>
      </c>
    </row>
    <row r="162" spans="1:25" x14ac:dyDescent="0.35">
      <c r="A162" s="1">
        <v>200657.47889737901</v>
      </c>
      <c r="B162">
        <v>31</v>
      </c>
      <c r="C162">
        <v>0</v>
      </c>
      <c r="D162">
        <v>1</v>
      </c>
      <c r="E162">
        <v>0</v>
      </c>
      <c r="F162">
        <v>2</v>
      </c>
      <c r="G162">
        <v>2</v>
      </c>
      <c r="H162">
        <v>1</v>
      </c>
      <c r="I162">
        <v>1</v>
      </c>
      <c r="J162">
        <v>1</v>
      </c>
      <c r="K162">
        <v>1</v>
      </c>
      <c r="L162">
        <v>2</v>
      </c>
      <c r="M162">
        <v>2</v>
      </c>
      <c r="N162" s="6">
        <f t="shared" ref="N162:N193" si="8">AVERAGE(F162:M162)</f>
        <v>1.5</v>
      </c>
      <c r="O162">
        <v>4</v>
      </c>
      <c r="P162">
        <v>4</v>
      </c>
      <c r="Q162">
        <v>4</v>
      </c>
      <c r="R162">
        <v>3</v>
      </c>
      <c r="S162">
        <v>3</v>
      </c>
      <c r="T162">
        <v>3</v>
      </c>
      <c r="U162">
        <v>4</v>
      </c>
      <c r="V162">
        <v>4</v>
      </c>
      <c r="W162">
        <v>4</v>
      </c>
      <c r="X162">
        <v>3</v>
      </c>
      <c r="Y162">
        <f t="shared" si="7"/>
        <v>3.6</v>
      </c>
    </row>
    <row r="163" spans="1:25" x14ac:dyDescent="0.35">
      <c r="A163" s="1">
        <v>200661.193958438</v>
      </c>
      <c r="B163">
        <v>26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 s="6">
        <f t="shared" si="8"/>
        <v>1</v>
      </c>
      <c r="O163">
        <v>3</v>
      </c>
      <c r="P163">
        <v>3</v>
      </c>
      <c r="Q163">
        <v>3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3</v>
      </c>
      <c r="X163">
        <v>3</v>
      </c>
      <c r="Y163">
        <f t="shared" si="7"/>
        <v>3</v>
      </c>
    </row>
    <row r="164" spans="1:25" x14ac:dyDescent="0.35">
      <c r="A164" s="1">
        <v>200664.909019496</v>
      </c>
      <c r="B164">
        <v>57</v>
      </c>
      <c r="C164">
        <v>1</v>
      </c>
      <c r="D164">
        <v>0</v>
      </c>
      <c r="E164">
        <v>1</v>
      </c>
      <c r="F164">
        <v>1</v>
      </c>
      <c r="G164">
        <v>2</v>
      </c>
      <c r="H164">
        <v>1</v>
      </c>
      <c r="I164">
        <v>1</v>
      </c>
      <c r="J164">
        <v>2</v>
      </c>
      <c r="K164">
        <v>1</v>
      </c>
      <c r="L164">
        <v>1</v>
      </c>
      <c r="M164">
        <v>1</v>
      </c>
      <c r="N164" s="6">
        <f t="shared" si="8"/>
        <v>1.25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3</v>
      </c>
      <c r="U164">
        <v>3</v>
      </c>
      <c r="V164">
        <v>4</v>
      </c>
      <c r="W164">
        <v>4</v>
      </c>
      <c r="X164">
        <v>4</v>
      </c>
      <c r="Y164">
        <f t="shared" si="7"/>
        <v>3.8</v>
      </c>
    </row>
    <row r="165" spans="1:25" x14ac:dyDescent="0.35">
      <c r="A165" s="1">
        <v>200668.624080554</v>
      </c>
      <c r="B165">
        <v>62</v>
      </c>
      <c r="C165">
        <v>0</v>
      </c>
      <c r="D165">
        <v>0</v>
      </c>
      <c r="E165">
        <v>0</v>
      </c>
      <c r="F165">
        <v>4</v>
      </c>
      <c r="G165">
        <v>5</v>
      </c>
      <c r="H165">
        <v>3</v>
      </c>
      <c r="I165">
        <v>4</v>
      </c>
      <c r="J165">
        <v>4</v>
      </c>
      <c r="K165">
        <v>3</v>
      </c>
      <c r="L165">
        <v>4</v>
      </c>
      <c r="M165">
        <v>3</v>
      </c>
      <c r="N165" s="6">
        <f t="shared" si="8"/>
        <v>3.75</v>
      </c>
      <c r="O165">
        <v>1</v>
      </c>
      <c r="P165">
        <v>1</v>
      </c>
      <c r="Q165">
        <v>2</v>
      </c>
      <c r="R165">
        <v>2</v>
      </c>
      <c r="S165">
        <v>2</v>
      </c>
      <c r="T165">
        <v>2</v>
      </c>
      <c r="U165">
        <v>1</v>
      </c>
      <c r="V165">
        <v>2</v>
      </c>
      <c r="W165">
        <v>1</v>
      </c>
      <c r="X165">
        <v>2</v>
      </c>
      <c r="Y165">
        <f t="shared" si="7"/>
        <v>1.6</v>
      </c>
    </row>
    <row r="166" spans="1:25" x14ac:dyDescent="0.35">
      <c r="A166" s="1">
        <v>200672.33914161299</v>
      </c>
      <c r="B166">
        <v>59</v>
      </c>
      <c r="C166">
        <v>1</v>
      </c>
      <c r="D166">
        <v>0</v>
      </c>
      <c r="E166">
        <v>1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1</v>
      </c>
      <c r="M166">
        <v>1</v>
      </c>
      <c r="N166" s="6">
        <f t="shared" si="8"/>
        <v>1.5</v>
      </c>
      <c r="O166">
        <v>4</v>
      </c>
      <c r="P166">
        <v>3</v>
      </c>
      <c r="Q166">
        <v>4</v>
      </c>
      <c r="R166">
        <v>3</v>
      </c>
      <c r="S166">
        <v>4</v>
      </c>
      <c r="T166">
        <v>4</v>
      </c>
      <c r="U166">
        <v>4</v>
      </c>
      <c r="V166">
        <v>4</v>
      </c>
      <c r="W166">
        <v>3</v>
      </c>
      <c r="X166">
        <v>3</v>
      </c>
      <c r="Y166">
        <f t="shared" si="7"/>
        <v>3.6</v>
      </c>
    </row>
    <row r="167" spans="1:25" x14ac:dyDescent="0.35">
      <c r="A167" s="1">
        <v>200676.05420267099</v>
      </c>
      <c r="B167">
        <v>49</v>
      </c>
      <c r="C167">
        <v>1</v>
      </c>
      <c r="D167">
        <v>0</v>
      </c>
      <c r="E167">
        <v>1</v>
      </c>
      <c r="F167">
        <v>3</v>
      </c>
      <c r="G167">
        <v>3</v>
      </c>
      <c r="H167">
        <v>3</v>
      </c>
      <c r="I167">
        <v>2</v>
      </c>
      <c r="J167">
        <v>2</v>
      </c>
      <c r="K167">
        <v>3</v>
      </c>
      <c r="L167">
        <v>3</v>
      </c>
      <c r="M167">
        <v>2</v>
      </c>
      <c r="N167" s="6">
        <f t="shared" si="8"/>
        <v>2.625</v>
      </c>
      <c r="O167">
        <v>3</v>
      </c>
      <c r="P167">
        <v>3</v>
      </c>
      <c r="Q167">
        <v>3</v>
      </c>
      <c r="R167">
        <v>3</v>
      </c>
      <c r="S167">
        <v>2</v>
      </c>
      <c r="T167">
        <v>2</v>
      </c>
      <c r="U167">
        <v>3</v>
      </c>
      <c r="V167">
        <v>3</v>
      </c>
      <c r="W167">
        <v>3</v>
      </c>
      <c r="X167">
        <v>2</v>
      </c>
      <c r="Y167">
        <f t="shared" si="7"/>
        <v>2.7</v>
      </c>
    </row>
    <row r="168" spans="1:25" x14ac:dyDescent="0.35">
      <c r="A168" s="1">
        <v>200679.76926372899</v>
      </c>
      <c r="B168">
        <v>36</v>
      </c>
      <c r="C168">
        <v>0</v>
      </c>
      <c r="D168">
        <v>1</v>
      </c>
      <c r="E168">
        <v>1</v>
      </c>
      <c r="F168">
        <v>2</v>
      </c>
      <c r="G168">
        <v>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 s="6">
        <f t="shared" si="8"/>
        <v>1.25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3</v>
      </c>
      <c r="W168">
        <v>3</v>
      </c>
      <c r="X168">
        <v>3</v>
      </c>
      <c r="Y168">
        <f t="shared" si="7"/>
        <v>3.7</v>
      </c>
    </row>
    <row r="169" spans="1:25" x14ac:dyDescent="0.35">
      <c r="A169" s="1">
        <v>200683.48432478801</v>
      </c>
      <c r="B169">
        <v>43</v>
      </c>
      <c r="C169">
        <v>0</v>
      </c>
      <c r="D169">
        <v>0</v>
      </c>
      <c r="E169">
        <v>1</v>
      </c>
      <c r="F169">
        <v>3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3</v>
      </c>
      <c r="N169" s="6">
        <f t="shared" si="8"/>
        <v>2.25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3</v>
      </c>
      <c r="U169">
        <v>3</v>
      </c>
      <c r="V169">
        <v>3</v>
      </c>
      <c r="W169">
        <v>3</v>
      </c>
      <c r="X169">
        <v>3</v>
      </c>
      <c r="Y169">
        <f t="shared" si="7"/>
        <v>2.9</v>
      </c>
    </row>
    <row r="170" spans="1:25" x14ac:dyDescent="0.35">
      <c r="A170" s="1">
        <v>200687.199385846</v>
      </c>
      <c r="B170">
        <v>25</v>
      </c>
      <c r="C170">
        <v>1</v>
      </c>
      <c r="D170">
        <v>0</v>
      </c>
      <c r="E170">
        <v>1</v>
      </c>
      <c r="F170">
        <v>3</v>
      </c>
      <c r="G170">
        <v>3</v>
      </c>
      <c r="H170">
        <v>3</v>
      </c>
      <c r="I170">
        <v>3</v>
      </c>
      <c r="J170">
        <v>4</v>
      </c>
      <c r="K170">
        <v>3</v>
      </c>
      <c r="L170">
        <v>4</v>
      </c>
      <c r="M170">
        <v>4</v>
      </c>
      <c r="N170" s="6">
        <f t="shared" si="8"/>
        <v>3.375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1</v>
      </c>
      <c r="U170">
        <v>2</v>
      </c>
      <c r="V170">
        <v>2</v>
      </c>
      <c r="W170">
        <v>2</v>
      </c>
      <c r="X170">
        <v>2</v>
      </c>
      <c r="Y170">
        <f t="shared" si="7"/>
        <v>1.9</v>
      </c>
    </row>
    <row r="171" spans="1:25" x14ac:dyDescent="0.35">
      <c r="A171" s="1">
        <v>200690.914446904</v>
      </c>
      <c r="B171">
        <v>33</v>
      </c>
      <c r="C171">
        <v>0</v>
      </c>
      <c r="D171">
        <v>1</v>
      </c>
      <c r="E171">
        <v>1</v>
      </c>
      <c r="F171">
        <v>1</v>
      </c>
      <c r="G171">
        <v>2</v>
      </c>
      <c r="H171">
        <v>3</v>
      </c>
      <c r="I171">
        <v>2</v>
      </c>
      <c r="J171">
        <v>1</v>
      </c>
      <c r="K171">
        <v>1</v>
      </c>
      <c r="L171">
        <v>2</v>
      </c>
      <c r="M171">
        <v>1</v>
      </c>
      <c r="N171" s="6">
        <f t="shared" si="8"/>
        <v>1.625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f t="shared" si="7"/>
        <v>2</v>
      </c>
    </row>
    <row r="172" spans="1:25" x14ac:dyDescent="0.35">
      <c r="A172" s="1">
        <v>200694.62950796299</v>
      </c>
      <c r="B172">
        <v>52</v>
      </c>
      <c r="C172">
        <v>1</v>
      </c>
      <c r="D172">
        <v>0</v>
      </c>
      <c r="E172">
        <v>0</v>
      </c>
      <c r="F172">
        <v>4</v>
      </c>
      <c r="G172">
        <v>5</v>
      </c>
      <c r="H172">
        <v>3</v>
      </c>
      <c r="I172">
        <v>4</v>
      </c>
      <c r="J172">
        <v>4</v>
      </c>
      <c r="K172">
        <v>3</v>
      </c>
      <c r="L172">
        <v>4</v>
      </c>
      <c r="M172">
        <v>3</v>
      </c>
      <c r="N172" s="6">
        <f t="shared" si="8"/>
        <v>3.75</v>
      </c>
      <c r="O172">
        <v>2</v>
      </c>
      <c r="P172">
        <v>2</v>
      </c>
      <c r="Q172">
        <v>2</v>
      </c>
      <c r="R172">
        <v>1</v>
      </c>
      <c r="S172">
        <v>2</v>
      </c>
      <c r="T172">
        <v>2</v>
      </c>
      <c r="U172">
        <v>2</v>
      </c>
      <c r="V172">
        <v>1</v>
      </c>
      <c r="W172">
        <v>1</v>
      </c>
      <c r="X172">
        <v>1</v>
      </c>
      <c r="Y172">
        <f t="shared" si="7"/>
        <v>1.6</v>
      </c>
    </row>
    <row r="173" spans="1:25" x14ac:dyDescent="0.35">
      <c r="A173" s="1">
        <v>200698.34456902099</v>
      </c>
      <c r="B173">
        <v>24</v>
      </c>
      <c r="C173">
        <v>1</v>
      </c>
      <c r="D173">
        <v>1</v>
      </c>
      <c r="E173">
        <v>0</v>
      </c>
      <c r="F173">
        <v>2</v>
      </c>
      <c r="G173">
        <v>3</v>
      </c>
      <c r="H173">
        <v>4</v>
      </c>
      <c r="I173">
        <v>4</v>
      </c>
      <c r="J173">
        <v>3</v>
      </c>
      <c r="K173">
        <v>2</v>
      </c>
      <c r="L173">
        <v>4</v>
      </c>
      <c r="M173">
        <v>2</v>
      </c>
      <c r="N173" s="6">
        <f t="shared" si="8"/>
        <v>3</v>
      </c>
      <c r="O173">
        <v>2</v>
      </c>
      <c r="P173">
        <v>2</v>
      </c>
      <c r="Q173">
        <v>2</v>
      </c>
      <c r="R173">
        <v>2</v>
      </c>
      <c r="S173">
        <v>3</v>
      </c>
      <c r="T173">
        <v>2</v>
      </c>
      <c r="U173">
        <v>3</v>
      </c>
      <c r="V173">
        <v>2</v>
      </c>
      <c r="W173">
        <v>2</v>
      </c>
      <c r="X173">
        <v>2</v>
      </c>
      <c r="Y173">
        <f t="shared" si="7"/>
        <v>2.2000000000000002</v>
      </c>
    </row>
    <row r="174" spans="1:25" x14ac:dyDescent="0.35">
      <c r="A174" s="1">
        <v>200702.05963007899</v>
      </c>
      <c r="B174">
        <v>44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2</v>
      </c>
      <c r="K174">
        <v>1</v>
      </c>
      <c r="L174">
        <v>1</v>
      </c>
      <c r="M174">
        <v>1</v>
      </c>
      <c r="N174" s="6">
        <f t="shared" si="8"/>
        <v>1.125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3</v>
      </c>
      <c r="U174">
        <v>3</v>
      </c>
      <c r="V174">
        <v>4</v>
      </c>
      <c r="W174">
        <v>4</v>
      </c>
      <c r="X174">
        <v>4</v>
      </c>
      <c r="Y174">
        <f t="shared" si="7"/>
        <v>3.8</v>
      </c>
    </row>
    <row r="175" spans="1:25" x14ac:dyDescent="0.35">
      <c r="A175" s="1">
        <v>200705.77469113801</v>
      </c>
      <c r="B175">
        <v>35</v>
      </c>
      <c r="C175">
        <v>0</v>
      </c>
      <c r="D175">
        <v>0</v>
      </c>
      <c r="E175">
        <v>0</v>
      </c>
      <c r="F175">
        <v>5</v>
      </c>
      <c r="G175">
        <v>4</v>
      </c>
      <c r="H175">
        <v>4</v>
      </c>
      <c r="I175">
        <v>4</v>
      </c>
      <c r="J175">
        <v>5</v>
      </c>
      <c r="K175">
        <v>4</v>
      </c>
      <c r="L175">
        <v>4</v>
      </c>
      <c r="M175">
        <v>4</v>
      </c>
      <c r="N175" s="6">
        <f t="shared" si="8"/>
        <v>4.25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2</v>
      </c>
      <c r="Y175">
        <f t="shared" si="7"/>
        <v>1.1000000000000001</v>
      </c>
    </row>
    <row r="176" spans="1:25" x14ac:dyDescent="0.35">
      <c r="A176" s="1">
        <v>200709.48975219601</v>
      </c>
      <c r="B176">
        <v>53</v>
      </c>
      <c r="C176">
        <v>1</v>
      </c>
      <c r="D176">
        <v>0</v>
      </c>
      <c r="E176">
        <v>0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 s="6">
        <f t="shared" si="8"/>
        <v>5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f t="shared" si="7"/>
        <v>1</v>
      </c>
    </row>
    <row r="177" spans="1:25" x14ac:dyDescent="0.35">
      <c r="A177" s="1">
        <v>200713.20481325401</v>
      </c>
      <c r="B177">
        <v>34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 s="6">
        <f t="shared" si="8"/>
        <v>1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f t="shared" si="7"/>
        <v>4</v>
      </c>
    </row>
    <row r="178" spans="1:25" x14ac:dyDescent="0.35">
      <c r="A178" s="1">
        <v>200716.919874313</v>
      </c>
      <c r="B178">
        <v>64</v>
      </c>
      <c r="C178">
        <v>1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 s="6">
        <f t="shared" si="8"/>
        <v>1</v>
      </c>
      <c r="O178">
        <v>4</v>
      </c>
      <c r="P178">
        <v>3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f t="shared" si="7"/>
        <v>3.9</v>
      </c>
    </row>
    <row r="179" spans="1:25" x14ac:dyDescent="0.35">
      <c r="A179" s="1">
        <v>200720.634935371</v>
      </c>
      <c r="B179">
        <v>18</v>
      </c>
      <c r="C179">
        <v>0</v>
      </c>
      <c r="D179">
        <v>1</v>
      </c>
      <c r="E179">
        <v>0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 s="6">
        <f t="shared" si="8"/>
        <v>5</v>
      </c>
      <c r="O179">
        <v>1</v>
      </c>
      <c r="P179">
        <v>1</v>
      </c>
      <c r="Q179">
        <v>1</v>
      </c>
      <c r="R179">
        <v>2</v>
      </c>
      <c r="S179">
        <v>1</v>
      </c>
      <c r="T179">
        <v>1</v>
      </c>
      <c r="U179">
        <v>2</v>
      </c>
      <c r="V179">
        <v>1</v>
      </c>
      <c r="W179">
        <v>1</v>
      </c>
      <c r="X179">
        <v>2</v>
      </c>
      <c r="Y179">
        <f t="shared" si="7"/>
        <v>1.3</v>
      </c>
    </row>
    <row r="180" spans="1:25" x14ac:dyDescent="0.35">
      <c r="A180" s="1">
        <v>200724.34999642899</v>
      </c>
      <c r="B180">
        <v>47</v>
      </c>
      <c r="C180">
        <v>0</v>
      </c>
      <c r="D180">
        <v>0</v>
      </c>
      <c r="E180">
        <v>0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3</v>
      </c>
      <c r="L180">
        <v>3</v>
      </c>
      <c r="M180">
        <v>3</v>
      </c>
      <c r="N180" s="6">
        <f t="shared" si="8"/>
        <v>3.125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3</v>
      </c>
      <c r="U180">
        <v>2</v>
      </c>
      <c r="V180">
        <v>2</v>
      </c>
      <c r="W180">
        <v>2</v>
      </c>
      <c r="X180">
        <v>2</v>
      </c>
      <c r="Y180">
        <f t="shared" si="7"/>
        <v>2.1</v>
      </c>
    </row>
    <row r="181" spans="1:25" x14ac:dyDescent="0.35">
      <c r="A181" s="1">
        <v>200728.06505748801</v>
      </c>
      <c r="B181">
        <v>19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2</v>
      </c>
      <c r="M181">
        <v>1</v>
      </c>
      <c r="N181" s="6">
        <f t="shared" si="8"/>
        <v>1.25</v>
      </c>
      <c r="O181">
        <v>4</v>
      </c>
      <c r="P181">
        <v>3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f t="shared" si="7"/>
        <v>3.9</v>
      </c>
    </row>
    <row r="182" spans="1:25" x14ac:dyDescent="0.35">
      <c r="A182" s="1">
        <v>200731.78011854601</v>
      </c>
      <c r="B182">
        <v>54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2</v>
      </c>
      <c r="J182">
        <v>1</v>
      </c>
      <c r="K182">
        <v>1</v>
      </c>
      <c r="L182">
        <v>2</v>
      </c>
      <c r="M182">
        <v>1</v>
      </c>
      <c r="N182" s="6">
        <f t="shared" si="8"/>
        <v>1.25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3</v>
      </c>
      <c r="U182">
        <v>3</v>
      </c>
      <c r="V182">
        <v>4</v>
      </c>
      <c r="W182">
        <v>4</v>
      </c>
      <c r="X182">
        <v>4</v>
      </c>
      <c r="Y182">
        <f t="shared" si="7"/>
        <v>3.8</v>
      </c>
    </row>
    <row r="183" spans="1:25" x14ac:dyDescent="0.35">
      <c r="A183" s="1">
        <v>200735.49517960401</v>
      </c>
      <c r="B183">
        <v>56</v>
      </c>
      <c r="C183">
        <v>0</v>
      </c>
      <c r="D183">
        <v>0</v>
      </c>
      <c r="E183">
        <v>0</v>
      </c>
      <c r="F183">
        <v>3</v>
      </c>
      <c r="G183">
        <v>4</v>
      </c>
      <c r="H183">
        <v>4</v>
      </c>
      <c r="I183">
        <v>3</v>
      </c>
      <c r="J183">
        <v>3</v>
      </c>
      <c r="K183">
        <v>4</v>
      </c>
      <c r="L183">
        <v>3</v>
      </c>
      <c r="M183">
        <v>4</v>
      </c>
      <c r="N183" s="6">
        <f t="shared" si="8"/>
        <v>3.5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1</v>
      </c>
      <c r="U183">
        <v>1</v>
      </c>
      <c r="V183">
        <v>2</v>
      </c>
      <c r="W183">
        <v>2</v>
      </c>
      <c r="X183">
        <v>2</v>
      </c>
      <c r="Y183">
        <f t="shared" si="7"/>
        <v>1.8</v>
      </c>
    </row>
    <row r="184" spans="1:25" x14ac:dyDescent="0.35">
      <c r="A184" s="1">
        <v>200739.210240663</v>
      </c>
      <c r="B184">
        <v>37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2</v>
      </c>
      <c r="J184">
        <v>1</v>
      </c>
      <c r="K184">
        <v>2</v>
      </c>
      <c r="L184">
        <v>3</v>
      </c>
      <c r="M184">
        <v>1</v>
      </c>
      <c r="N184" s="6">
        <f t="shared" si="8"/>
        <v>1.5</v>
      </c>
      <c r="O184">
        <v>2</v>
      </c>
      <c r="P184">
        <v>2</v>
      </c>
      <c r="Q184">
        <v>2</v>
      </c>
      <c r="R184">
        <v>1</v>
      </c>
      <c r="S184">
        <v>2</v>
      </c>
      <c r="T184">
        <v>3</v>
      </c>
      <c r="U184">
        <v>2</v>
      </c>
      <c r="V184">
        <v>3</v>
      </c>
      <c r="W184">
        <v>2</v>
      </c>
      <c r="X184">
        <v>1</v>
      </c>
      <c r="Y184">
        <f t="shared" si="7"/>
        <v>2</v>
      </c>
    </row>
    <row r="185" spans="1:25" x14ac:dyDescent="0.35">
      <c r="A185" s="1">
        <v>200742.925301721</v>
      </c>
      <c r="B185">
        <v>28</v>
      </c>
      <c r="C185">
        <v>1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 s="6">
        <f t="shared" si="8"/>
        <v>1</v>
      </c>
      <c r="O185">
        <v>4</v>
      </c>
      <c r="P185">
        <v>4</v>
      </c>
      <c r="Q185">
        <v>4</v>
      </c>
      <c r="R185">
        <v>4</v>
      </c>
      <c r="S185">
        <v>3</v>
      </c>
      <c r="T185">
        <v>3</v>
      </c>
      <c r="U185">
        <v>3</v>
      </c>
      <c r="V185">
        <v>3</v>
      </c>
      <c r="W185">
        <v>4</v>
      </c>
      <c r="X185">
        <v>4</v>
      </c>
      <c r="Y185">
        <f t="shared" si="7"/>
        <v>3.6</v>
      </c>
    </row>
    <row r="186" spans="1:25" x14ac:dyDescent="0.35">
      <c r="A186" s="1">
        <v>200746.640362779</v>
      </c>
      <c r="B186">
        <v>64</v>
      </c>
      <c r="C186">
        <v>1</v>
      </c>
      <c r="D186">
        <v>1</v>
      </c>
      <c r="E186">
        <v>1</v>
      </c>
      <c r="F186">
        <v>2</v>
      </c>
      <c r="G186">
        <v>3</v>
      </c>
      <c r="H186">
        <v>1</v>
      </c>
      <c r="I186">
        <v>1</v>
      </c>
      <c r="J186">
        <v>1</v>
      </c>
      <c r="K186">
        <v>1</v>
      </c>
      <c r="L186">
        <v>2</v>
      </c>
      <c r="M186">
        <v>2</v>
      </c>
      <c r="N186" s="6">
        <f t="shared" si="8"/>
        <v>1.625</v>
      </c>
      <c r="O186">
        <v>3</v>
      </c>
      <c r="P186">
        <v>3</v>
      </c>
      <c r="Q186">
        <v>3</v>
      </c>
      <c r="R186">
        <v>3</v>
      </c>
      <c r="S186">
        <v>4</v>
      </c>
      <c r="T186">
        <v>4</v>
      </c>
      <c r="U186">
        <v>4</v>
      </c>
      <c r="V186">
        <v>4</v>
      </c>
      <c r="W186">
        <v>3</v>
      </c>
      <c r="X186">
        <v>4</v>
      </c>
      <c r="Y186">
        <f t="shared" si="7"/>
        <v>3.5</v>
      </c>
    </row>
    <row r="187" spans="1:25" x14ac:dyDescent="0.35">
      <c r="A187" s="1">
        <v>200750.35542383799</v>
      </c>
      <c r="B187">
        <v>33</v>
      </c>
      <c r="C187">
        <v>0</v>
      </c>
      <c r="D187">
        <v>0</v>
      </c>
      <c r="E187">
        <v>1</v>
      </c>
      <c r="F187">
        <v>1</v>
      </c>
      <c r="G187">
        <v>2</v>
      </c>
      <c r="H187">
        <v>2</v>
      </c>
      <c r="I187">
        <v>2</v>
      </c>
      <c r="J187">
        <v>3</v>
      </c>
      <c r="K187">
        <v>1</v>
      </c>
      <c r="L187">
        <v>1</v>
      </c>
      <c r="M187">
        <v>2</v>
      </c>
      <c r="N187" s="6">
        <f t="shared" si="8"/>
        <v>1.75</v>
      </c>
      <c r="O187">
        <v>3</v>
      </c>
      <c r="P187">
        <v>4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4</v>
      </c>
      <c r="W187">
        <v>4</v>
      </c>
      <c r="X187">
        <v>4</v>
      </c>
      <c r="Y187">
        <f t="shared" si="7"/>
        <v>3.4</v>
      </c>
    </row>
    <row r="188" spans="1:25" x14ac:dyDescent="0.35">
      <c r="A188" s="1">
        <v>200754.07048489599</v>
      </c>
      <c r="B188">
        <v>37</v>
      </c>
      <c r="C188">
        <v>1</v>
      </c>
      <c r="D188">
        <v>0</v>
      </c>
      <c r="E188">
        <v>0</v>
      </c>
      <c r="F188">
        <v>3</v>
      </c>
      <c r="G188">
        <v>3</v>
      </c>
      <c r="H188">
        <v>3</v>
      </c>
      <c r="I188">
        <v>4</v>
      </c>
      <c r="J188">
        <v>3</v>
      </c>
      <c r="K188">
        <v>3</v>
      </c>
      <c r="L188">
        <v>3</v>
      </c>
      <c r="M188">
        <v>3</v>
      </c>
      <c r="N188" s="6">
        <f t="shared" si="8"/>
        <v>3.125</v>
      </c>
      <c r="O188">
        <v>2</v>
      </c>
      <c r="P188">
        <v>2</v>
      </c>
      <c r="Q188">
        <v>2</v>
      </c>
      <c r="R188">
        <v>2</v>
      </c>
      <c r="S188">
        <v>4</v>
      </c>
      <c r="T188">
        <v>3</v>
      </c>
      <c r="U188">
        <v>2</v>
      </c>
      <c r="V188">
        <v>2</v>
      </c>
      <c r="W188">
        <v>2</v>
      </c>
      <c r="X188">
        <v>1</v>
      </c>
      <c r="Y188">
        <f t="shared" si="7"/>
        <v>2.2000000000000002</v>
      </c>
    </row>
    <row r="189" spans="1:25" x14ac:dyDescent="0.35">
      <c r="A189" s="1">
        <v>200757.78554595399</v>
      </c>
      <c r="B189">
        <v>26</v>
      </c>
      <c r="C189">
        <v>1</v>
      </c>
      <c r="D189">
        <v>0</v>
      </c>
      <c r="E189">
        <v>0</v>
      </c>
      <c r="F189">
        <v>3</v>
      </c>
      <c r="G189">
        <v>3</v>
      </c>
      <c r="H189">
        <v>3</v>
      </c>
      <c r="I189">
        <v>4</v>
      </c>
      <c r="J189">
        <v>3</v>
      </c>
      <c r="K189">
        <v>3</v>
      </c>
      <c r="L189">
        <v>3</v>
      </c>
      <c r="M189">
        <v>3</v>
      </c>
      <c r="N189" s="6">
        <f t="shared" si="8"/>
        <v>3.125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3</v>
      </c>
      <c r="U189">
        <v>3</v>
      </c>
      <c r="V189">
        <v>2</v>
      </c>
      <c r="W189">
        <v>2</v>
      </c>
      <c r="X189">
        <v>2</v>
      </c>
      <c r="Y189">
        <f t="shared" si="7"/>
        <v>2.2000000000000002</v>
      </c>
    </row>
    <row r="190" spans="1:25" x14ac:dyDescent="0.35">
      <c r="A190" s="1">
        <v>200761.500607013</v>
      </c>
      <c r="B190">
        <v>52</v>
      </c>
      <c r="C190">
        <v>0</v>
      </c>
      <c r="D190">
        <v>0</v>
      </c>
      <c r="E190">
        <v>0</v>
      </c>
      <c r="F190">
        <v>3</v>
      </c>
      <c r="G190">
        <v>3</v>
      </c>
      <c r="H190">
        <v>4</v>
      </c>
      <c r="I190">
        <v>3</v>
      </c>
      <c r="J190">
        <v>2</v>
      </c>
      <c r="K190">
        <v>3</v>
      </c>
      <c r="L190">
        <v>3</v>
      </c>
      <c r="M190">
        <v>3</v>
      </c>
      <c r="N190" s="6">
        <f t="shared" si="8"/>
        <v>3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2</v>
      </c>
      <c r="U190">
        <v>2</v>
      </c>
      <c r="V190">
        <v>2</v>
      </c>
      <c r="W190">
        <v>2</v>
      </c>
      <c r="X190">
        <v>2</v>
      </c>
      <c r="Y190">
        <f t="shared" si="7"/>
        <v>2.1</v>
      </c>
    </row>
    <row r="191" spans="1:25" x14ac:dyDescent="0.35">
      <c r="A191" s="1">
        <v>200765.215668071</v>
      </c>
      <c r="B191">
        <v>55</v>
      </c>
      <c r="C191">
        <v>1</v>
      </c>
      <c r="D191">
        <v>0</v>
      </c>
      <c r="E191">
        <v>0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 s="6">
        <f t="shared" si="8"/>
        <v>5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f t="shared" si="7"/>
        <v>2</v>
      </c>
    </row>
    <row r="192" spans="1:25" x14ac:dyDescent="0.35">
      <c r="A192" s="1">
        <v>200768.930729129</v>
      </c>
      <c r="B192">
        <v>63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1</v>
      </c>
      <c r="I192">
        <v>2</v>
      </c>
      <c r="J192">
        <v>2</v>
      </c>
      <c r="K192">
        <v>2</v>
      </c>
      <c r="L192">
        <v>2</v>
      </c>
      <c r="M192">
        <v>1</v>
      </c>
      <c r="N192" s="6">
        <f t="shared" si="8"/>
        <v>1.625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4</v>
      </c>
      <c r="U192">
        <v>4</v>
      </c>
      <c r="V192">
        <v>4</v>
      </c>
      <c r="W192">
        <v>3</v>
      </c>
      <c r="X192">
        <v>4</v>
      </c>
      <c r="Y192">
        <f t="shared" si="7"/>
        <v>3.4</v>
      </c>
    </row>
    <row r="193" spans="1:25" x14ac:dyDescent="0.35">
      <c r="A193" s="1">
        <v>200772.64579018799</v>
      </c>
      <c r="B193">
        <v>20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 s="6">
        <f t="shared" si="8"/>
        <v>1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3</v>
      </c>
      <c r="U193">
        <v>4</v>
      </c>
      <c r="V193">
        <v>4</v>
      </c>
      <c r="W193">
        <v>4</v>
      </c>
      <c r="X193">
        <v>4</v>
      </c>
      <c r="Y193">
        <f t="shared" si="7"/>
        <v>3.9</v>
      </c>
    </row>
    <row r="194" spans="1:25" x14ac:dyDescent="0.35">
      <c r="A194" s="1">
        <v>200776.36085124599</v>
      </c>
      <c r="B194">
        <v>32</v>
      </c>
      <c r="C194">
        <v>1</v>
      </c>
      <c r="D194">
        <v>0</v>
      </c>
      <c r="E194">
        <v>0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4</v>
      </c>
      <c r="N194" s="6">
        <f t="shared" ref="N194:N225" si="9">AVERAGE(F194:M194)</f>
        <v>4.875</v>
      </c>
      <c r="O194">
        <v>1</v>
      </c>
      <c r="P194">
        <v>1</v>
      </c>
      <c r="Q194">
        <v>2</v>
      </c>
      <c r="R194">
        <v>1</v>
      </c>
      <c r="S194">
        <v>2</v>
      </c>
      <c r="T194">
        <v>1</v>
      </c>
      <c r="U194">
        <v>2</v>
      </c>
      <c r="V194">
        <v>1</v>
      </c>
      <c r="W194">
        <v>2</v>
      </c>
      <c r="X194">
        <v>2</v>
      </c>
      <c r="Y194">
        <f t="shared" si="7"/>
        <v>1.5</v>
      </c>
    </row>
    <row r="195" spans="1:25" x14ac:dyDescent="0.35">
      <c r="A195" s="1">
        <v>200780.07591230501</v>
      </c>
      <c r="B195">
        <v>45</v>
      </c>
      <c r="C195">
        <v>0</v>
      </c>
      <c r="D195">
        <v>0</v>
      </c>
      <c r="E195">
        <v>0</v>
      </c>
      <c r="F195">
        <v>3</v>
      </c>
      <c r="G195">
        <v>2</v>
      </c>
      <c r="H195">
        <v>3</v>
      </c>
      <c r="I195">
        <v>3</v>
      </c>
      <c r="J195">
        <v>3</v>
      </c>
      <c r="K195">
        <v>4</v>
      </c>
      <c r="L195">
        <v>4</v>
      </c>
      <c r="M195">
        <v>4</v>
      </c>
      <c r="N195" s="6">
        <f t="shared" si="9"/>
        <v>3.25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f t="shared" ref="Y195:Y200" si="10">AVERAGE(O195:X195)</f>
        <v>2</v>
      </c>
    </row>
    <row r="196" spans="1:25" x14ac:dyDescent="0.35">
      <c r="A196" s="1">
        <v>200783.79097336301</v>
      </c>
      <c r="B196">
        <v>19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3</v>
      </c>
      <c r="I196">
        <v>2</v>
      </c>
      <c r="J196">
        <v>1</v>
      </c>
      <c r="K196">
        <v>2</v>
      </c>
      <c r="L196">
        <v>2</v>
      </c>
      <c r="M196">
        <v>2</v>
      </c>
      <c r="N196" s="6">
        <f t="shared" si="9"/>
        <v>1.75</v>
      </c>
      <c r="O196">
        <v>3</v>
      </c>
      <c r="P196">
        <v>3</v>
      </c>
      <c r="Q196">
        <v>3</v>
      </c>
      <c r="R196">
        <v>3</v>
      </c>
      <c r="S196">
        <v>4</v>
      </c>
      <c r="T196">
        <v>4</v>
      </c>
      <c r="U196">
        <v>4</v>
      </c>
      <c r="V196">
        <v>3</v>
      </c>
      <c r="W196">
        <v>3</v>
      </c>
      <c r="X196">
        <v>4</v>
      </c>
      <c r="Y196">
        <f t="shared" si="10"/>
        <v>3.4</v>
      </c>
    </row>
    <row r="197" spans="1:25" x14ac:dyDescent="0.35">
      <c r="A197" s="1">
        <v>200787.50603442101</v>
      </c>
      <c r="B197">
        <v>56</v>
      </c>
      <c r="C197">
        <v>0</v>
      </c>
      <c r="D197">
        <v>0</v>
      </c>
      <c r="E197">
        <v>1</v>
      </c>
      <c r="F197">
        <v>2</v>
      </c>
      <c r="G197">
        <v>2</v>
      </c>
      <c r="H197">
        <v>2</v>
      </c>
      <c r="I197">
        <v>1</v>
      </c>
      <c r="J197">
        <v>2</v>
      </c>
      <c r="K197">
        <v>2</v>
      </c>
      <c r="L197">
        <v>1</v>
      </c>
      <c r="M197">
        <v>2</v>
      </c>
      <c r="N197" s="6">
        <f t="shared" si="9"/>
        <v>1.75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4</v>
      </c>
      <c r="V197">
        <v>4</v>
      </c>
      <c r="W197">
        <v>4</v>
      </c>
      <c r="X197">
        <v>4</v>
      </c>
      <c r="Y197">
        <f t="shared" si="10"/>
        <v>3.4</v>
      </c>
    </row>
    <row r="198" spans="1:25" x14ac:dyDescent="0.35">
      <c r="A198" s="1">
        <v>200791.22109548</v>
      </c>
      <c r="B198">
        <v>57</v>
      </c>
      <c r="C198">
        <v>1</v>
      </c>
      <c r="D198">
        <v>0</v>
      </c>
      <c r="E198">
        <v>0</v>
      </c>
      <c r="F198">
        <v>2</v>
      </c>
      <c r="G198">
        <v>3</v>
      </c>
      <c r="H198">
        <v>3</v>
      </c>
      <c r="I198">
        <v>2</v>
      </c>
      <c r="J198">
        <v>3</v>
      </c>
      <c r="K198">
        <v>3</v>
      </c>
      <c r="L198">
        <v>2</v>
      </c>
      <c r="M198">
        <v>3</v>
      </c>
      <c r="N198" s="6">
        <f t="shared" si="9"/>
        <v>2.625</v>
      </c>
      <c r="O198">
        <v>3</v>
      </c>
      <c r="P198">
        <v>3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4</v>
      </c>
      <c r="W198">
        <v>4</v>
      </c>
      <c r="X198">
        <v>3</v>
      </c>
      <c r="Y198">
        <f t="shared" si="10"/>
        <v>2.7</v>
      </c>
    </row>
    <row r="199" spans="1:25" x14ac:dyDescent="0.35">
      <c r="A199" s="1">
        <v>200794.93615653799</v>
      </c>
      <c r="B199">
        <v>49</v>
      </c>
      <c r="C199">
        <v>0</v>
      </c>
      <c r="D199">
        <v>0</v>
      </c>
      <c r="E199">
        <v>1</v>
      </c>
      <c r="F199">
        <v>1</v>
      </c>
      <c r="G199">
        <v>2</v>
      </c>
      <c r="H199">
        <v>1</v>
      </c>
      <c r="I199">
        <v>2</v>
      </c>
      <c r="J199">
        <v>1</v>
      </c>
      <c r="K199">
        <v>1</v>
      </c>
      <c r="L199">
        <v>1</v>
      </c>
      <c r="M199">
        <v>1</v>
      </c>
      <c r="N199" s="6">
        <f t="shared" si="9"/>
        <v>1.25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f t="shared" si="10"/>
        <v>4</v>
      </c>
    </row>
    <row r="200" spans="1:25" x14ac:dyDescent="0.35">
      <c r="A200" s="1">
        <v>200798.65121759599</v>
      </c>
      <c r="B200">
        <v>42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 s="6">
        <f t="shared" si="9"/>
        <v>1.125</v>
      </c>
      <c r="O200">
        <v>2</v>
      </c>
      <c r="P200">
        <v>3</v>
      </c>
      <c r="Q200">
        <v>2</v>
      </c>
      <c r="R200">
        <v>3</v>
      </c>
      <c r="S200">
        <v>2</v>
      </c>
      <c r="T200">
        <v>3</v>
      </c>
      <c r="U200">
        <v>2</v>
      </c>
      <c r="V200">
        <v>3</v>
      </c>
      <c r="W200">
        <v>2</v>
      </c>
      <c r="X200">
        <v>3</v>
      </c>
      <c r="Y200">
        <f t="shared" si="10"/>
        <v>2.5</v>
      </c>
    </row>
    <row r="201" spans="1:25" x14ac:dyDescent="0.35">
      <c r="M201" s="5"/>
      <c r="N201" s="5"/>
      <c r="X201" s="5"/>
    </row>
    <row r="202" spans="1:25" x14ac:dyDescent="0.35">
      <c r="A202" t="s">
        <v>99</v>
      </c>
      <c r="B202" s="6">
        <f>AVERAGE(B2:B200)</f>
        <v>40.964824120603012</v>
      </c>
      <c r="M202" s="5"/>
      <c r="N202" s="5" t="s">
        <v>99</v>
      </c>
      <c r="O202" s="6">
        <f>AVERAGE(N2:N200)</f>
        <v>3.1168341708542715</v>
      </c>
      <c r="X202" s="5"/>
    </row>
    <row r="203" spans="1:25" x14ac:dyDescent="0.35">
      <c r="A203" t="s">
        <v>120</v>
      </c>
      <c r="B203" s="6">
        <f>STDEVA(B2:B200)</f>
        <v>12.068983907931951</v>
      </c>
      <c r="M203" s="5"/>
      <c r="N203" s="5" t="s">
        <v>119</v>
      </c>
      <c r="O203" s="6">
        <f>MODE(N2:N200)</f>
        <v>5</v>
      </c>
    </row>
    <row r="204" spans="1:25" x14ac:dyDescent="0.35">
      <c r="M204" s="5"/>
      <c r="N204" s="5" t="s">
        <v>120</v>
      </c>
      <c r="O204" s="6">
        <f>STDEVA(N2:N200)</f>
        <v>1.1831276080830309</v>
      </c>
    </row>
    <row r="205" spans="1:25" x14ac:dyDescent="0.35">
      <c r="M205" s="5"/>
      <c r="N205" s="5"/>
    </row>
    <row r="206" spans="1:25" x14ac:dyDescent="0.35">
      <c r="M206" s="5"/>
      <c r="N206" s="5"/>
    </row>
    <row r="207" spans="1:25" x14ac:dyDescent="0.35">
      <c r="M207" s="5"/>
      <c r="N207" s="5"/>
    </row>
  </sheetData>
  <autoFilter ref="A1:Y200" xr:uid="{F2A13B37-7A7F-425E-8823-A3AFDFB60DA8}"/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5E4B-2177-4DB0-993F-962EA71A7633}">
  <dimension ref="A1:H151"/>
  <sheetViews>
    <sheetView workbookViewId="0">
      <selection activeCell="F5" sqref="F5:H18"/>
    </sheetView>
  </sheetViews>
  <sheetFormatPr defaultRowHeight="14.5" x14ac:dyDescent="0.35"/>
  <cols>
    <col min="6" max="6" width="39.453125" bestFit="1" customWidth="1"/>
    <col min="7" max="7" width="13.81640625" bestFit="1" customWidth="1"/>
    <col min="8" max="8" width="11.81640625" bestFit="1" customWidth="1"/>
  </cols>
  <sheetData>
    <row r="1" spans="1:8" x14ac:dyDescent="0.35">
      <c r="A1" t="s">
        <v>95</v>
      </c>
    </row>
    <row r="2" spans="1:8" x14ac:dyDescent="0.35">
      <c r="A2" t="s">
        <v>96</v>
      </c>
      <c r="B2" t="s">
        <v>97</v>
      </c>
    </row>
    <row r="3" spans="1:8" x14ac:dyDescent="0.35">
      <c r="A3" s="6">
        <v>5</v>
      </c>
      <c r="B3" s="6">
        <v>1</v>
      </c>
    </row>
    <row r="4" spans="1:8" x14ac:dyDescent="0.35">
      <c r="A4" s="6">
        <v>3.125</v>
      </c>
      <c r="B4" s="6">
        <v>1.875</v>
      </c>
    </row>
    <row r="5" spans="1:8" x14ac:dyDescent="0.35">
      <c r="A5" s="6">
        <v>2.5</v>
      </c>
      <c r="B5" s="6">
        <v>2.625</v>
      </c>
      <c r="F5" t="s">
        <v>98</v>
      </c>
    </row>
    <row r="6" spans="1:8" ht="15" thickBot="1" x14ac:dyDescent="0.4">
      <c r="A6" s="6">
        <v>2.5</v>
      </c>
      <c r="B6" s="6">
        <v>3.125</v>
      </c>
    </row>
    <row r="7" spans="1:8" x14ac:dyDescent="0.35">
      <c r="A7" s="6">
        <v>4.25</v>
      </c>
      <c r="B7" s="6">
        <v>1</v>
      </c>
      <c r="F7" s="8"/>
      <c r="G7" s="8" t="s">
        <v>96</v>
      </c>
      <c r="H7" s="8" t="s">
        <v>97</v>
      </c>
    </row>
    <row r="8" spans="1:8" x14ac:dyDescent="0.35">
      <c r="A8" s="6">
        <v>4.375</v>
      </c>
      <c r="B8" s="6">
        <v>3.125</v>
      </c>
      <c r="F8" s="9" t="s">
        <v>99</v>
      </c>
      <c r="G8" s="11">
        <v>3.1191275167785233</v>
      </c>
      <c r="H8" s="11">
        <v>3.11</v>
      </c>
    </row>
    <row r="9" spans="1:8" x14ac:dyDescent="0.35">
      <c r="A9" s="6">
        <v>5</v>
      </c>
      <c r="B9" s="6">
        <v>3.625</v>
      </c>
      <c r="F9" s="9" t="s">
        <v>109</v>
      </c>
      <c r="G9" s="11">
        <v>1.4836012606566293</v>
      </c>
      <c r="H9" s="11">
        <v>1.1751530612244894</v>
      </c>
    </row>
    <row r="10" spans="1:8" x14ac:dyDescent="0.35">
      <c r="A10" s="6">
        <v>3.125</v>
      </c>
      <c r="B10" s="6">
        <v>4</v>
      </c>
      <c r="F10" s="9" t="s">
        <v>100</v>
      </c>
      <c r="G10" s="11">
        <v>149</v>
      </c>
      <c r="H10" s="11">
        <v>50</v>
      </c>
    </row>
    <row r="11" spans="1:8" x14ac:dyDescent="0.35">
      <c r="A11" s="6">
        <v>3.875</v>
      </c>
      <c r="B11" s="6">
        <v>3.125</v>
      </c>
      <c r="F11" t="s">
        <v>101</v>
      </c>
      <c r="G11">
        <v>1.4068806425237621</v>
      </c>
    </row>
    <row r="12" spans="1:8" x14ac:dyDescent="0.35">
      <c r="A12" s="6">
        <v>4.125</v>
      </c>
      <c r="B12" s="6">
        <v>1.5</v>
      </c>
      <c r="F12" t="s">
        <v>102</v>
      </c>
      <c r="G12">
        <v>0</v>
      </c>
    </row>
    <row r="13" spans="1:8" x14ac:dyDescent="0.35">
      <c r="A13" s="6">
        <v>2.875</v>
      </c>
      <c r="B13" s="6">
        <v>4.125</v>
      </c>
      <c r="F13" t="s">
        <v>103</v>
      </c>
      <c r="G13">
        <v>197</v>
      </c>
    </row>
    <row r="14" spans="1:8" x14ac:dyDescent="0.35">
      <c r="A14" s="6">
        <v>3.125</v>
      </c>
      <c r="B14" s="6">
        <v>3</v>
      </c>
      <c r="F14" s="9" t="s">
        <v>104</v>
      </c>
      <c r="G14" s="10">
        <v>4.708424502031814E-2</v>
      </c>
    </row>
    <row r="15" spans="1:8" x14ac:dyDescent="0.35">
      <c r="A15" s="6">
        <v>3.25</v>
      </c>
      <c r="B15" s="6">
        <v>3.875</v>
      </c>
      <c r="F15" s="9" t="s">
        <v>105</v>
      </c>
      <c r="G15" s="10">
        <v>0.48124689058188891</v>
      </c>
    </row>
    <row r="16" spans="1:8" x14ac:dyDescent="0.35">
      <c r="A16" s="6">
        <v>4</v>
      </c>
      <c r="B16" s="6">
        <v>2.75</v>
      </c>
      <c r="F16" t="s">
        <v>106</v>
      </c>
      <c r="G16">
        <v>1.6526252192655086</v>
      </c>
    </row>
    <row r="17" spans="1:8" x14ac:dyDescent="0.35">
      <c r="A17" s="6">
        <v>4.375</v>
      </c>
      <c r="B17" s="6">
        <v>2.75</v>
      </c>
      <c r="F17" t="s">
        <v>107</v>
      </c>
      <c r="G17">
        <v>0.96249378116377782</v>
      </c>
    </row>
    <row r="18" spans="1:8" ht="15" thickBot="1" x14ac:dyDescent="0.4">
      <c r="A18" s="6">
        <v>5</v>
      </c>
      <c r="B18" s="6">
        <v>4</v>
      </c>
      <c r="F18" s="7" t="s">
        <v>108</v>
      </c>
      <c r="G18" s="7">
        <v>1.9720790337785019</v>
      </c>
      <c r="H18" s="7"/>
    </row>
    <row r="19" spans="1:8" x14ac:dyDescent="0.35">
      <c r="A19" s="6">
        <v>3</v>
      </c>
      <c r="B19" s="6">
        <v>2.875</v>
      </c>
    </row>
    <row r="20" spans="1:8" x14ac:dyDescent="0.35">
      <c r="A20" s="6">
        <v>1.5</v>
      </c>
      <c r="B20" s="6">
        <v>3.875</v>
      </c>
    </row>
    <row r="21" spans="1:8" x14ac:dyDescent="0.35">
      <c r="A21" s="6">
        <v>2.25</v>
      </c>
      <c r="B21" s="6">
        <v>4.125</v>
      </c>
    </row>
    <row r="22" spans="1:8" x14ac:dyDescent="0.35">
      <c r="A22" s="6">
        <v>2.125</v>
      </c>
      <c r="B22" s="6">
        <v>4.375</v>
      </c>
    </row>
    <row r="23" spans="1:8" x14ac:dyDescent="0.35">
      <c r="A23" s="6">
        <v>4</v>
      </c>
      <c r="B23" s="6">
        <v>3.75</v>
      </c>
    </row>
    <row r="24" spans="1:8" x14ac:dyDescent="0.35">
      <c r="A24" s="6">
        <v>3.625</v>
      </c>
      <c r="B24" s="6">
        <v>4.375</v>
      </c>
    </row>
    <row r="25" spans="1:8" x14ac:dyDescent="0.35">
      <c r="A25" s="6">
        <v>3.75</v>
      </c>
      <c r="B25" s="6">
        <v>5</v>
      </c>
    </row>
    <row r="26" spans="1:8" x14ac:dyDescent="0.35">
      <c r="A26" s="6">
        <v>4.875</v>
      </c>
      <c r="B26" s="6">
        <v>2.375</v>
      </c>
    </row>
    <row r="27" spans="1:8" x14ac:dyDescent="0.35">
      <c r="A27" s="6">
        <v>1.875</v>
      </c>
      <c r="B27" s="6">
        <v>3.375</v>
      </c>
    </row>
    <row r="28" spans="1:8" x14ac:dyDescent="0.35">
      <c r="A28" s="6">
        <v>3.375</v>
      </c>
      <c r="B28" s="6">
        <v>1.875</v>
      </c>
    </row>
    <row r="29" spans="1:8" x14ac:dyDescent="0.35">
      <c r="A29" s="6">
        <v>3.25</v>
      </c>
      <c r="B29" s="6">
        <v>2.25</v>
      </c>
    </row>
    <row r="30" spans="1:8" x14ac:dyDescent="0.35">
      <c r="A30" s="6">
        <v>2.625</v>
      </c>
      <c r="B30" s="6">
        <v>3.125</v>
      </c>
    </row>
    <row r="31" spans="1:8" x14ac:dyDescent="0.35">
      <c r="A31" s="6">
        <v>3.5</v>
      </c>
      <c r="B31" s="6">
        <v>3.5</v>
      </c>
    </row>
    <row r="32" spans="1:8" x14ac:dyDescent="0.35">
      <c r="A32" s="6">
        <v>3.5</v>
      </c>
      <c r="B32" s="6">
        <v>3.75</v>
      </c>
    </row>
    <row r="33" spans="1:2" x14ac:dyDescent="0.35">
      <c r="A33" s="6">
        <v>4</v>
      </c>
      <c r="B33" s="6">
        <v>4.25</v>
      </c>
    </row>
    <row r="34" spans="1:2" x14ac:dyDescent="0.35">
      <c r="A34" s="6">
        <v>4.625</v>
      </c>
      <c r="B34" s="6">
        <v>5</v>
      </c>
    </row>
    <row r="35" spans="1:2" x14ac:dyDescent="0.35">
      <c r="A35" s="6">
        <v>2.625</v>
      </c>
      <c r="B35" s="6">
        <v>2.875</v>
      </c>
    </row>
    <row r="36" spans="1:2" x14ac:dyDescent="0.35">
      <c r="A36" s="6">
        <v>3</v>
      </c>
      <c r="B36" s="6">
        <v>4</v>
      </c>
    </row>
    <row r="37" spans="1:2" x14ac:dyDescent="0.35">
      <c r="A37" s="6">
        <v>3.875</v>
      </c>
      <c r="B37" s="6">
        <v>3.125</v>
      </c>
    </row>
    <row r="38" spans="1:2" x14ac:dyDescent="0.35">
      <c r="A38" s="6">
        <v>4</v>
      </c>
      <c r="B38" s="6">
        <v>3.875</v>
      </c>
    </row>
    <row r="39" spans="1:2" x14ac:dyDescent="0.35">
      <c r="A39" s="6">
        <v>3.25</v>
      </c>
      <c r="B39" s="6">
        <v>2.875</v>
      </c>
    </row>
    <row r="40" spans="1:2" x14ac:dyDescent="0.35">
      <c r="A40" s="6">
        <v>4.125</v>
      </c>
      <c r="B40" s="6">
        <v>5</v>
      </c>
    </row>
    <row r="41" spans="1:2" x14ac:dyDescent="0.35">
      <c r="A41" s="6">
        <v>4.5</v>
      </c>
      <c r="B41" s="6">
        <v>1.875</v>
      </c>
    </row>
    <row r="42" spans="1:2" x14ac:dyDescent="0.35">
      <c r="A42" s="6">
        <v>4.375</v>
      </c>
      <c r="B42" s="6">
        <v>2.875</v>
      </c>
    </row>
    <row r="43" spans="1:2" x14ac:dyDescent="0.35">
      <c r="A43" s="6">
        <v>5</v>
      </c>
      <c r="B43" s="6">
        <v>3.625</v>
      </c>
    </row>
    <row r="44" spans="1:2" x14ac:dyDescent="0.35">
      <c r="A44" s="6">
        <v>5</v>
      </c>
      <c r="B44" s="6">
        <v>1.875</v>
      </c>
    </row>
    <row r="45" spans="1:2" x14ac:dyDescent="0.35">
      <c r="A45" s="6">
        <v>2.625</v>
      </c>
      <c r="B45" s="6">
        <v>2.375</v>
      </c>
    </row>
    <row r="46" spans="1:2" x14ac:dyDescent="0.35">
      <c r="A46" s="6">
        <v>2.125</v>
      </c>
      <c r="B46" s="6">
        <v>3.75</v>
      </c>
    </row>
    <row r="47" spans="1:2" x14ac:dyDescent="0.35">
      <c r="A47" s="6">
        <v>4.625</v>
      </c>
      <c r="B47" s="6">
        <v>1.5</v>
      </c>
    </row>
    <row r="48" spans="1:2" x14ac:dyDescent="0.35">
      <c r="A48" s="6">
        <v>4.625</v>
      </c>
      <c r="B48" s="6">
        <v>1.25</v>
      </c>
    </row>
    <row r="49" spans="1:2" x14ac:dyDescent="0.35">
      <c r="A49" s="6">
        <v>3.75</v>
      </c>
      <c r="B49" s="6">
        <v>1.625</v>
      </c>
    </row>
    <row r="50" spans="1:2" x14ac:dyDescent="0.35">
      <c r="A50" s="6">
        <v>4.25</v>
      </c>
      <c r="B50" s="6">
        <v>3</v>
      </c>
    </row>
    <row r="51" spans="1:2" x14ac:dyDescent="0.35">
      <c r="A51" s="6">
        <v>2.875</v>
      </c>
      <c r="B51" s="6">
        <v>5</v>
      </c>
    </row>
    <row r="52" spans="1:2" x14ac:dyDescent="0.35">
      <c r="A52" s="6">
        <v>3.625</v>
      </c>
      <c r="B52" s="6">
        <v>1.625</v>
      </c>
    </row>
    <row r="53" spans="1:2" x14ac:dyDescent="0.35">
      <c r="A53" s="6">
        <v>2.5</v>
      </c>
    </row>
    <row r="54" spans="1:2" x14ac:dyDescent="0.35">
      <c r="A54" s="6">
        <v>2.625</v>
      </c>
    </row>
    <row r="55" spans="1:2" x14ac:dyDescent="0.35">
      <c r="A55" s="6">
        <v>3.25</v>
      </c>
    </row>
    <row r="56" spans="1:2" x14ac:dyDescent="0.35">
      <c r="A56" s="6">
        <v>3.75</v>
      </c>
    </row>
    <row r="57" spans="1:2" x14ac:dyDescent="0.35">
      <c r="A57" s="6">
        <v>3.25</v>
      </c>
    </row>
    <row r="58" spans="1:2" x14ac:dyDescent="0.35">
      <c r="A58" s="6">
        <v>4.5</v>
      </c>
    </row>
    <row r="59" spans="1:2" x14ac:dyDescent="0.35">
      <c r="A59" s="6">
        <v>4.25</v>
      </c>
    </row>
    <row r="60" spans="1:2" x14ac:dyDescent="0.35">
      <c r="A60" s="6">
        <v>1.625</v>
      </c>
    </row>
    <row r="61" spans="1:2" x14ac:dyDescent="0.35">
      <c r="A61" s="6">
        <v>2.375</v>
      </c>
    </row>
    <row r="62" spans="1:2" x14ac:dyDescent="0.35">
      <c r="A62" s="6">
        <v>2.375</v>
      </c>
    </row>
    <row r="63" spans="1:2" x14ac:dyDescent="0.35">
      <c r="A63" s="6">
        <v>2.125</v>
      </c>
    </row>
    <row r="64" spans="1:2" x14ac:dyDescent="0.35">
      <c r="A64" s="6">
        <v>1.125</v>
      </c>
    </row>
    <row r="65" spans="1:1" x14ac:dyDescent="0.35">
      <c r="A65" s="6">
        <v>1</v>
      </c>
    </row>
    <row r="66" spans="1:1" x14ac:dyDescent="0.35">
      <c r="A66" s="6">
        <v>3.75</v>
      </c>
    </row>
    <row r="67" spans="1:1" x14ac:dyDescent="0.35">
      <c r="A67" s="6">
        <v>1.625</v>
      </c>
    </row>
    <row r="68" spans="1:1" x14ac:dyDescent="0.35">
      <c r="A68" s="6">
        <v>5</v>
      </c>
    </row>
    <row r="69" spans="1:1" x14ac:dyDescent="0.35">
      <c r="A69" s="6">
        <v>3.125</v>
      </c>
    </row>
    <row r="70" spans="1:1" x14ac:dyDescent="0.35">
      <c r="A70" s="6">
        <v>1.5</v>
      </c>
    </row>
    <row r="71" spans="1:1" x14ac:dyDescent="0.35">
      <c r="A71" s="6">
        <v>1</v>
      </c>
    </row>
    <row r="72" spans="1:1" x14ac:dyDescent="0.35">
      <c r="A72" s="6">
        <v>1</v>
      </c>
    </row>
    <row r="73" spans="1:1" x14ac:dyDescent="0.35">
      <c r="A73" s="6">
        <v>4.25</v>
      </c>
    </row>
    <row r="74" spans="1:1" x14ac:dyDescent="0.35">
      <c r="A74" s="6">
        <v>2.5</v>
      </c>
    </row>
    <row r="75" spans="1:1" x14ac:dyDescent="0.35">
      <c r="A75" s="6">
        <v>5</v>
      </c>
    </row>
    <row r="76" spans="1:1" x14ac:dyDescent="0.35">
      <c r="A76" s="6">
        <v>4.25</v>
      </c>
    </row>
    <row r="77" spans="1:1" x14ac:dyDescent="0.35">
      <c r="A77" s="6">
        <v>3.125</v>
      </c>
    </row>
    <row r="78" spans="1:1" x14ac:dyDescent="0.35">
      <c r="A78" s="6">
        <v>3.875</v>
      </c>
    </row>
    <row r="79" spans="1:1" x14ac:dyDescent="0.35">
      <c r="A79" s="6">
        <v>3.625</v>
      </c>
    </row>
    <row r="80" spans="1:1" x14ac:dyDescent="0.35">
      <c r="A80" s="6">
        <v>3.25</v>
      </c>
    </row>
    <row r="81" spans="1:1" x14ac:dyDescent="0.35">
      <c r="A81" s="6">
        <v>4.625</v>
      </c>
    </row>
    <row r="82" spans="1:1" x14ac:dyDescent="0.35">
      <c r="A82" s="6">
        <v>5</v>
      </c>
    </row>
    <row r="83" spans="1:1" x14ac:dyDescent="0.35">
      <c r="A83" s="6">
        <v>2.75</v>
      </c>
    </row>
    <row r="84" spans="1:1" x14ac:dyDescent="0.35">
      <c r="A84" s="6">
        <v>4.125</v>
      </c>
    </row>
    <row r="85" spans="1:1" x14ac:dyDescent="0.35">
      <c r="A85" s="6">
        <v>3</v>
      </c>
    </row>
    <row r="86" spans="1:1" x14ac:dyDescent="0.35">
      <c r="A86" s="6">
        <v>1.5</v>
      </c>
    </row>
    <row r="87" spans="1:1" x14ac:dyDescent="0.35">
      <c r="A87" s="6">
        <v>2.125</v>
      </c>
    </row>
    <row r="88" spans="1:1" x14ac:dyDescent="0.35">
      <c r="A88" s="6">
        <v>5</v>
      </c>
    </row>
    <row r="89" spans="1:1" x14ac:dyDescent="0.35">
      <c r="A89" s="6">
        <v>5</v>
      </c>
    </row>
    <row r="90" spans="1:1" x14ac:dyDescent="0.35">
      <c r="A90" s="6">
        <v>3.75</v>
      </c>
    </row>
    <row r="91" spans="1:1" x14ac:dyDescent="0.35">
      <c r="A91" s="6">
        <v>1.875</v>
      </c>
    </row>
    <row r="92" spans="1:1" x14ac:dyDescent="0.35">
      <c r="A92" s="6">
        <v>3.375</v>
      </c>
    </row>
    <row r="93" spans="1:1" x14ac:dyDescent="0.35">
      <c r="A93" s="6">
        <v>2.625</v>
      </c>
    </row>
    <row r="94" spans="1:1" x14ac:dyDescent="0.35">
      <c r="A94" s="6">
        <v>3.5</v>
      </c>
    </row>
    <row r="95" spans="1:1" x14ac:dyDescent="0.35">
      <c r="A95" s="6">
        <v>2.875</v>
      </c>
    </row>
    <row r="96" spans="1:1" x14ac:dyDescent="0.35">
      <c r="A96" s="6">
        <v>3.875</v>
      </c>
    </row>
    <row r="97" spans="1:1" x14ac:dyDescent="0.35">
      <c r="A97" s="6">
        <v>3.875</v>
      </c>
    </row>
    <row r="98" spans="1:1" x14ac:dyDescent="0.35">
      <c r="A98" s="6">
        <v>3.25</v>
      </c>
    </row>
    <row r="99" spans="1:1" x14ac:dyDescent="0.35">
      <c r="A99" s="6">
        <v>4.125</v>
      </c>
    </row>
    <row r="100" spans="1:1" x14ac:dyDescent="0.35">
      <c r="A100" s="6">
        <v>4.375</v>
      </c>
    </row>
    <row r="101" spans="1:1" x14ac:dyDescent="0.35">
      <c r="A101" s="6">
        <v>5</v>
      </c>
    </row>
    <row r="102" spans="1:1" x14ac:dyDescent="0.35">
      <c r="A102" s="6">
        <v>3.875</v>
      </c>
    </row>
    <row r="103" spans="1:1" x14ac:dyDescent="0.35">
      <c r="A103" s="6">
        <v>4.625</v>
      </c>
    </row>
    <row r="104" spans="1:1" x14ac:dyDescent="0.35">
      <c r="A104" s="6">
        <v>4.625</v>
      </c>
    </row>
    <row r="105" spans="1:1" x14ac:dyDescent="0.35">
      <c r="A105" s="6">
        <v>1.375</v>
      </c>
    </row>
    <row r="106" spans="1:1" x14ac:dyDescent="0.35">
      <c r="A106" s="6">
        <v>2.375</v>
      </c>
    </row>
    <row r="107" spans="1:1" x14ac:dyDescent="0.35">
      <c r="A107" s="6">
        <v>3.375</v>
      </c>
    </row>
    <row r="108" spans="1:1" x14ac:dyDescent="0.35">
      <c r="A108" s="6">
        <v>2.25</v>
      </c>
    </row>
    <row r="109" spans="1:1" x14ac:dyDescent="0.35">
      <c r="A109" s="6">
        <v>2.25</v>
      </c>
    </row>
    <row r="110" spans="1:1" x14ac:dyDescent="0.35">
      <c r="A110" s="6">
        <v>3.75</v>
      </c>
    </row>
    <row r="111" spans="1:1" x14ac:dyDescent="0.35">
      <c r="A111" s="6">
        <v>4.25</v>
      </c>
    </row>
    <row r="112" spans="1:1" x14ac:dyDescent="0.35">
      <c r="A112" s="6">
        <v>4.25</v>
      </c>
    </row>
    <row r="113" spans="1:1" x14ac:dyDescent="0.35">
      <c r="A113" s="6">
        <v>2.875</v>
      </c>
    </row>
    <row r="114" spans="1:1" x14ac:dyDescent="0.35">
      <c r="A114" s="6">
        <v>1.625</v>
      </c>
    </row>
    <row r="115" spans="1:1" x14ac:dyDescent="0.35">
      <c r="A115" s="6">
        <v>2.375</v>
      </c>
    </row>
    <row r="116" spans="1:1" x14ac:dyDescent="0.35">
      <c r="A116" s="6">
        <v>2.125</v>
      </c>
    </row>
    <row r="117" spans="1:1" x14ac:dyDescent="0.35">
      <c r="A117" s="6">
        <v>1.125</v>
      </c>
    </row>
    <row r="118" spans="1:1" x14ac:dyDescent="0.35">
      <c r="A118" s="6">
        <v>1</v>
      </c>
    </row>
    <row r="119" spans="1:1" x14ac:dyDescent="0.35">
      <c r="A119" s="6">
        <v>1</v>
      </c>
    </row>
    <row r="120" spans="1:1" x14ac:dyDescent="0.35">
      <c r="A120" s="6">
        <v>1.25</v>
      </c>
    </row>
    <row r="121" spans="1:1" x14ac:dyDescent="0.35">
      <c r="A121" s="6">
        <v>3.75</v>
      </c>
    </row>
    <row r="122" spans="1:1" x14ac:dyDescent="0.35">
      <c r="A122" s="6">
        <v>1.5</v>
      </c>
    </row>
    <row r="123" spans="1:1" x14ac:dyDescent="0.35">
      <c r="A123" s="6">
        <v>2.625</v>
      </c>
    </row>
    <row r="124" spans="1:1" x14ac:dyDescent="0.35">
      <c r="A124" s="6">
        <v>2.25</v>
      </c>
    </row>
    <row r="125" spans="1:1" x14ac:dyDescent="0.35">
      <c r="A125" s="6">
        <v>3.375</v>
      </c>
    </row>
    <row r="126" spans="1:1" x14ac:dyDescent="0.35">
      <c r="A126" s="6">
        <v>3.75</v>
      </c>
    </row>
    <row r="127" spans="1:1" x14ac:dyDescent="0.35">
      <c r="A127" s="6">
        <v>1.125</v>
      </c>
    </row>
    <row r="128" spans="1:1" x14ac:dyDescent="0.35">
      <c r="A128" s="6">
        <v>4.25</v>
      </c>
    </row>
    <row r="129" spans="1:1" x14ac:dyDescent="0.35">
      <c r="A129" s="6">
        <v>5</v>
      </c>
    </row>
    <row r="130" spans="1:1" x14ac:dyDescent="0.35">
      <c r="A130" s="6">
        <v>1</v>
      </c>
    </row>
    <row r="131" spans="1:1" x14ac:dyDescent="0.35">
      <c r="A131" s="6">
        <v>1</v>
      </c>
    </row>
    <row r="132" spans="1:1" x14ac:dyDescent="0.35">
      <c r="A132" s="6">
        <v>3.125</v>
      </c>
    </row>
    <row r="133" spans="1:1" x14ac:dyDescent="0.35">
      <c r="A133" s="6">
        <v>1.25</v>
      </c>
    </row>
    <row r="134" spans="1:1" x14ac:dyDescent="0.35">
      <c r="A134" s="6">
        <v>1.25</v>
      </c>
    </row>
    <row r="135" spans="1:1" x14ac:dyDescent="0.35">
      <c r="A135" s="6">
        <v>3.5</v>
      </c>
    </row>
    <row r="136" spans="1:1" x14ac:dyDescent="0.35">
      <c r="A136" s="6">
        <v>1.5</v>
      </c>
    </row>
    <row r="137" spans="1:1" x14ac:dyDescent="0.35">
      <c r="A137" s="6">
        <v>1</v>
      </c>
    </row>
    <row r="138" spans="1:1" x14ac:dyDescent="0.35">
      <c r="A138" s="6">
        <v>1.75</v>
      </c>
    </row>
    <row r="139" spans="1:1" x14ac:dyDescent="0.35">
      <c r="A139" s="6">
        <v>3.125</v>
      </c>
    </row>
    <row r="140" spans="1:1" x14ac:dyDescent="0.35">
      <c r="A140" s="6">
        <v>3.125</v>
      </c>
    </row>
    <row r="141" spans="1:1" x14ac:dyDescent="0.35">
      <c r="A141" s="6">
        <v>3</v>
      </c>
    </row>
    <row r="142" spans="1:1" x14ac:dyDescent="0.35">
      <c r="A142" s="6">
        <v>5</v>
      </c>
    </row>
    <row r="143" spans="1:1" x14ac:dyDescent="0.35">
      <c r="A143" s="6">
        <v>1.625</v>
      </c>
    </row>
    <row r="144" spans="1:1" x14ac:dyDescent="0.35">
      <c r="A144" s="6">
        <v>1</v>
      </c>
    </row>
    <row r="145" spans="1:1" x14ac:dyDescent="0.35">
      <c r="A145" s="6">
        <v>4.875</v>
      </c>
    </row>
    <row r="146" spans="1:1" x14ac:dyDescent="0.35">
      <c r="A146" s="6">
        <v>3.25</v>
      </c>
    </row>
    <row r="147" spans="1:1" x14ac:dyDescent="0.35">
      <c r="A147" s="6">
        <v>1.75</v>
      </c>
    </row>
    <row r="148" spans="1:1" x14ac:dyDescent="0.35">
      <c r="A148" s="6">
        <v>1.75</v>
      </c>
    </row>
    <row r="149" spans="1:1" x14ac:dyDescent="0.35">
      <c r="A149" s="6">
        <v>2.625</v>
      </c>
    </row>
    <row r="150" spans="1:1" x14ac:dyDescent="0.35">
      <c r="A150" s="6">
        <v>1.25</v>
      </c>
    </row>
    <row r="151" spans="1:1" x14ac:dyDescent="0.35">
      <c r="A151" s="6">
        <v>1.125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D397-22A7-446E-B7BF-C0BE43911463}">
  <dimension ref="A1:H115"/>
  <sheetViews>
    <sheetView workbookViewId="0">
      <selection activeCell="F5" sqref="F5:H18"/>
    </sheetView>
  </sheetViews>
  <sheetFormatPr defaultRowHeight="14.5" x14ac:dyDescent="0.35"/>
  <cols>
    <col min="1" max="1" width="22.453125" bestFit="1" customWidth="1"/>
    <col min="2" max="2" width="19.54296875" bestFit="1" customWidth="1"/>
    <col min="6" max="6" width="39.453125" bestFit="1" customWidth="1"/>
    <col min="7" max="7" width="11.81640625" bestFit="1" customWidth="1"/>
    <col min="8" max="8" width="6.36328125" bestFit="1" customWidth="1"/>
  </cols>
  <sheetData>
    <row r="1" spans="1:8" x14ac:dyDescent="0.35">
      <c r="A1" s="12" t="s">
        <v>110</v>
      </c>
      <c r="B1" s="12"/>
    </row>
    <row r="2" spans="1:8" x14ac:dyDescent="0.35">
      <c r="A2" t="s">
        <v>112</v>
      </c>
      <c r="B2" t="s">
        <v>111</v>
      </c>
    </row>
    <row r="3" spans="1:8" x14ac:dyDescent="0.35">
      <c r="A3" s="6">
        <v>1.875</v>
      </c>
      <c r="B3" s="6">
        <v>1</v>
      </c>
    </row>
    <row r="4" spans="1:8" x14ac:dyDescent="0.35">
      <c r="A4" s="6">
        <v>5</v>
      </c>
      <c r="B4" s="6">
        <v>2.625</v>
      </c>
    </row>
    <row r="5" spans="1:8" x14ac:dyDescent="0.35">
      <c r="A5" s="6">
        <v>3.125</v>
      </c>
      <c r="B5" s="6">
        <v>2.5</v>
      </c>
      <c r="F5" t="s">
        <v>98</v>
      </c>
    </row>
    <row r="6" spans="1:8" ht="15" thickBot="1" x14ac:dyDescent="0.4">
      <c r="A6" s="6">
        <v>4.375</v>
      </c>
      <c r="B6" s="6">
        <v>2.5</v>
      </c>
    </row>
    <row r="7" spans="1:8" x14ac:dyDescent="0.35">
      <c r="A7" s="6">
        <v>5</v>
      </c>
      <c r="B7" s="6">
        <v>4.25</v>
      </c>
      <c r="F7" s="8"/>
      <c r="G7" s="8" t="s">
        <v>117</v>
      </c>
      <c r="H7" s="8" t="s">
        <v>24</v>
      </c>
    </row>
    <row r="8" spans="1:8" x14ac:dyDescent="0.35">
      <c r="A8" s="6">
        <v>3.125</v>
      </c>
      <c r="B8" s="6">
        <v>3.125</v>
      </c>
      <c r="F8" s="9" t="s">
        <v>99</v>
      </c>
      <c r="G8" s="11">
        <v>3.5988372093023258</v>
      </c>
      <c r="H8" s="11">
        <v>2.75</v>
      </c>
    </row>
    <row r="9" spans="1:8" x14ac:dyDescent="0.35">
      <c r="A9" s="6">
        <v>3.125</v>
      </c>
      <c r="B9" s="6">
        <v>1</v>
      </c>
      <c r="F9" s="9" t="s">
        <v>116</v>
      </c>
      <c r="G9" s="11">
        <v>1.2592339261285923</v>
      </c>
      <c r="H9" s="11">
        <v>1.2047991071428572</v>
      </c>
    </row>
    <row r="10" spans="1:8" x14ac:dyDescent="0.35">
      <c r="A10" s="6">
        <v>1.5</v>
      </c>
      <c r="B10" s="6">
        <v>3.625</v>
      </c>
      <c r="F10" t="s">
        <v>100</v>
      </c>
      <c r="G10" s="6">
        <v>86</v>
      </c>
      <c r="H10" s="6">
        <v>113</v>
      </c>
    </row>
    <row r="11" spans="1:8" x14ac:dyDescent="0.35">
      <c r="A11" s="6">
        <v>4.125</v>
      </c>
      <c r="B11" s="6">
        <v>4</v>
      </c>
      <c r="F11" t="s">
        <v>101</v>
      </c>
      <c r="G11">
        <v>1.2282862117813722</v>
      </c>
    </row>
    <row r="12" spans="1:8" x14ac:dyDescent="0.35">
      <c r="A12" s="6">
        <v>4.125</v>
      </c>
      <c r="B12" s="6">
        <v>3.125</v>
      </c>
      <c r="F12" t="s">
        <v>102</v>
      </c>
      <c r="G12">
        <v>0</v>
      </c>
    </row>
    <row r="13" spans="1:8" x14ac:dyDescent="0.35">
      <c r="A13" s="6">
        <v>3.125</v>
      </c>
      <c r="B13" s="6">
        <v>3.875</v>
      </c>
      <c r="F13" t="s">
        <v>103</v>
      </c>
      <c r="G13">
        <v>197</v>
      </c>
    </row>
    <row r="14" spans="1:8" x14ac:dyDescent="0.35">
      <c r="A14" s="6">
        <v>3</v>
      </c>
      <c r="B14" s="6">
        <v>2.875</v>
      </c>
      <c r="F14" s="9" t="s">
        <v>104</v>
      </c>
      <c r="G14" s="11">
        <v>5.3522517113568391</v>
      </c>
    </row>
    <row r="15" spans="1:8" x14ac:dyDescent="0.35">
      <c r="A15" s="6">
        <v>2.75</v>
      </c>
      <c r="B15" s="6">
        <v>3.25</v>
      </c>
      <c r="F15" s="9" t="s">
        <v>105</v>
      </c>
      <c r="G15" s="11">
        <v>1.2011301247154113E-7</v>
      </c>
    </row>
    <row r="16" spans="1:8" x14ac:dyDescent="0.35">
      <c r="A16" s="6">
        <v>5</v>
      </c>
      <c r="B16" s="6">
        <v>4</v>
      </c>
      <c r="F16" t="s">
        <v>106</v>
      </c>
      <c r="G16">
        <v>1.6526252192655086</v>
      </c>
    </row>
    <row r="17" spans="1:8" x14ac:dyDescent="0.35">
      <c r="A17" s="6">
        <v>2.25</v>
      </c>
      <c r="B17" s="6">
        <v>3.875</v>
      </c>
      <c r="F17" t="s">
        <v>107</v>
      </c>
      <c r="G17">
        <v>2.4022602494308225E-7</v>
      </c>
    </row>
    <row r="18" spans="1:8" ht="15" thickBot="1" x14ac:dyDescent="0.4">
      <c r="A18" s="6">
        <v>4</v>
      </c>
      <c r="B18" s="6">
        <v>2.75</v>
      </c>
      <c r="F18" s="7" t="s">
        <v>108</v>
      </c>
      <c r="G18" s="7">
        <v>1.9720790337785019</v>
      </c>
      <c r="H18" s="7"/>
    </row>
    <row r="19" spans="1:8" x14ac:dyDescent="0.35">
      <c r="A19" s="6">
        <v>4.875</v>
      </c>
      <c r="B19" s="6">
        <v>4.375</v>
      </c>
    </row>
    <row r="20" spans="1:8" x14ac:dyDescent="0.35">
      <c r="A20" s="6">
        <v>3.25</v>
      </c>
      <c r="B20" s="6">
        <v>3</v>
      </c>
    </row>
    <row r="21" spans="1:8" x14ac:dyDescent="0.35">
      <c r="A21" s="6">
        <v>3.5</v>
      </c>
      <c r="B21" s="6">
        <v>1.5</v>
      </c>
    </row>
    <row r="22" spans="1:8" x14ac:dyDescent="0.35">
      <c r="A22" s="6">
        <v>4.625</v>
      </c>
      <c r="B22" s="6">
        <v>2.125</v>
      </c>
    </row>
    <row r="23" spans="1:8" x14ac:dyDescent="0.35">
      <c r="A23" s="6">
        <v>2.625</v>
      </c>
      <c r="B23" s="6">
        <v>4</v>
      </c>
    </row>
    <row r="24" spans="1:8" x14ac:dyDescent="0.35">
      <c r="A24" s="6">
        <v>3</v>
      </c>
      <c r="B24" s="6">
        <v>3.625</v>
      </c>
    </row>
    <row r="25" spans="1:8" x14ac:dyDescent="0.35">
      <c r="A25" s="6">
        <v>4</v>
      </c>
      <c r="B25" s="6">
        <v>3.75</v>
      </c>
    </row>
    <row r="26" spans="1:8" x14ac:dyDescent="0.35">
      <c r="A26" s="6">
        <v>4.125</v>
      </c>
      <c r="B26" s="6">
        <v>1.875</v>
      </c>
    </row>
    <row r="27" spans="1:8" x14ac:dyDescent="0.35">
      <c r="A27" s="6">
        <v>4.5</v>
      </c>
      <c r="B27" s="6">
        <v>3.375</v>
      </c>
    </row>
    <row r="28" spans="1:8" x14ac:dyDescent="0.35">
      <c r="A28" s="6">
        <v>4.375</v>
      </c>
      <c r="B28" s="6">
        <v>2.625</v>
      </c>
    </row>
    <row r="29" spans="1:8" x14ac:dyDescent="0.35">
      <c r="A29" s="6">
        <v>5</v>
      </c>
      <c r="B29" s="6">
        <v>3.5</v>
      </c>
    </row>
    <row r="30" spans="1:8" x14ac:dyDescent="0.35">
      <c r="A30" s="6">
        <v>5</v>
      </c>
      <c r="B30" s="6">
        <v>4</v>
      </c>
    </row>
    <row r="31" spans="1:8" x14ac:dyDescent="0.35">
      <c r="A31" s="6">
        <v>4.375</v>
      </c>
      <c r="B31" s="6">
        <v>2.875</v>
      </c>
    </row>
    <row r="32" spans="1:8" x14ac:dyDescent="0.35">
      <c r="A32" s="6">
        <v>5</v>
      </c>
      <c r="B32" s="6">
        <v>3.875</v>
      </c>
    </row>
    <row r="33" spans="1:2" x14ac:dyDescent="0.35">
      <c r="A33" s="6">
        <v>4.25</v>
      </c>
      <c r="B33" s="6">
        <v>3.875</v>
      </c>
    </row>
    <row r="34" spans="1:2" x14ac:dyDescent="0.35">
      <c r="A34" s="6">
        <v>2.5</v>
      </c>
      <c r="B34" s="6">
        <v>3.25</v>
      </c>
    </row>
    <row r="35" spans="1:2" x14ac:dyDescent="0.35">
      <c r="A35" s="6">
        <v>2.625</v>
      </c>
      <c r="B35" s="6">
        <v>4.125</v>
      </c>
    </row>
    <row r="36" spans="1:2" x14ac:dyDescent="0.35">
      <c r="A36" s="6">
        <v>3.125</v>
      </c>
      <c r="B36" s="6">
        <v>4.375</v>
      </c>
    </row>
    <row r="37" spans="1:2" x14ac:dyDescent="0.35">
      <c r="A37" s="6">
        <v>3.75</v>
      </c>
      <c r="B37" s="6">
        <v>2.625</v>
      </c>
    </row>
    <row r="38" spans="1:2" x14ac:dyDescent="0.35">
      <c r="A38" s="6">
        <v>3.25</v>
      </c>
      <c r="B38" s="6">
        <v>2.125</v>
      </c>
    </row>
    <row r="39" spans="1:2" x14ac:dyDescent="0.35">
      <c r="A39" s="6">
        <v>4.5</v>
      </c>
      <c r="B39" s="6">
        <v>4.625</v>
      </c>
    </row>
    <row r="40" spans="1:2" x14ac:dyDescent="0.35">
      <c r="A40" s="6">
        <v>4.25</v>
      </c>
      <c r="B40" s="6">
        <v>4.625</v>
      </c>
    </row>
    <row r="41" spans="1:2" x14ac:dyDescent="0.35">
      <c r="A41" s="6">
        <v>5</v>
      </c>
      <c r="B41" s="6">
        <v>3.75</v>
      </c>
    </row>
    <row r="42" spans="1:2" x14ac:dyDescent="0.35">
      <c r="A42" s="6">
        <v>1.625</v>
      </c>
      <c r="B42" s="6">
        <v>3.75</v>
      </c>
    </row>
    <row r="43" spans="1:2" x14ac:dyDescent="0.35">
      <c r="A43" s="6">
        <v>5</v>
      </c>
      <c r="B43" s="6">
        <v>2.875</v>
      </c>
    </row>
    <row r="44" spans="1:2" x14ac:dyDescent="0.35">
      <c r="A44" s="6">
        <v>3.125</v>
      </c>
      <c r="B44" s="6">
        <v>3.625</v>
      </c>
    </row>
    <row r="45" spans="1:2" x14ac:dyDescent="0.35">
      <c r="A45" s="6">
        <v>4.25</v>
      </c>
      <c r="B45" s="6">
        <v>2.375</v>
      </c>
    </row>
    <row r="46" spans="1:2" x14ac:dyDescent="0.35">
      <c r="A46" s="6">
        <v>2.5</v>
      </c>
      <c r="B46" s="6">
        <v>3.375</v>
      </c>
    </row>
    <row r="47" spans="1:2" x14ac:dyDescent="0.35">
      <c r="A47" s="6">
        <v>5</v>
      </c>
      <c r="B47" s="6">
        <v>1.875</v>
      </c>
    </row>
    <row r="48" spans="1:2" x14ac:dyDescent="0.35">
      <c r="A48" s="6">
        <v>3.125</v>
      </c>
      <c r="B48" s="6">
        <v>2.25</v>
      </c>
    </row>
    <row r="49" spans="1:2" x14ac:dyDescent="0.35">
      <c r="A49" s="6">
        <v>4</v>
      </c>
      <c r="B49" s="6">
        <v>3.5</v>
      </c>
    </row>
    <row r="50" spans="1:2" x14ac:dyDescent="0.35">
      <c r="A50" s="6">
        <v>3.125</v>
      </c>
      <c r="B50" s="6">
        <v>3.75</v>
      </c>
    </row>
    <row r="51" spans="1:2" x14ac:dyDescent="0.35">
      <c r="A51" s="6">
        <v>3.875</v>
      </c>
      <c r="B51" s="6">
        <v>3.25</v>
      </c>
    </row>
    <row r="52" spans="1:2" x14ac:dyDescent="0.35">
      <c r="A52" s="6">
        <v>2.875</v>
      </c>
      <c r="B52" s="6">
        <v>4.25</v>
      </c>
    </row>
    <row r="53" spans="1:2" x14ac:dyDescent="0.35">
      <c r="A53" s="6">
        <v>4.625</v>
      </c>
      <c r="B53" s="6">
        <v>2.875</v>
      </c>
    </row>
    <row r="54" spans="1:2" x14ac:dyDescent="0.35">
      <c r="A54" s="6">
        <v>5</v>
      </c>
      <c r="B54" s="6">
        <v>1.625</v>
      </c>
    </row>
    <row r="55" spans="1:2" x14ac:dyDescent="0.35">
      <c r="A55" s="6">
        <v>2.125</v>
      </c>
      <c r="B55" s="6">
        <v>2.375</v>
      </c>
    </row>
    <row r="56" spans="1:2" x14ac:dyDescent="0.35">
      <c r="A56" s="6">
        <v>5</v>
      </c>
      <c r="B56" s="6">
        <v>2.375</v>
      </c>
    </row>
    <row r="57" spans="1:2" x14ac:dyDescent="0.35">
      <c r="A57" s="6">
        <v>5</v>
      </c>
      <c r="B57" s="6">
        <v>2.125</v>
      </c>
    </row>
    <row r="58" spans="1:2" x14ac:dyDescent="0.35">
      <c r="A58" s="6">
        <v>3.75</v>
      </c>
      <c r="B58" s="6">
        <v>1.125</v>
      </c>
    </row>
    <row r="59" spans="1:2" x14ac:dyDescent="0.35">
      <c r="A59" s="6">
        <v>3.375</v>
      </c>
      <c r="B59" s="6">
        <v>1</v>
      </c>
    </row>
    <row r="60" spans="1:2" x14ac:dyDescent="0.35">
      <c r="A60" s="6">
        <v>2.625</v>
      </c>
      <c r="B60" s="6">
        <v>3.75</v>
      </c>
    </row>
    <row r="61" spans="1:2" x14ac:dyDescent="0.35">
      <c r="A61" s="6">
        <v>5</v>
      </c>
      <c r="B61" s="6">
        <v>1.5</v>
      </c>
    </row>
    <row r="62" spans="1:2" x14ac:dyDescent="0.35">
      <c r="A62" s="6">
        <v>3.25</v>
      </c>
      <c r="B62" s="6">
        <v>1</v>
      </c>
    </row>
    <row r="63" spans="1:2" x14ac:dyDescent="0.35">
      <c r="A63" s="6">
        <v>5</v>
      </c>
      <c r="B63" s="6">
        <v>1</v>
      </c>
    </row>
    <row r="64" spans="1:2" x14ac:dyDescent="0.35">
      <c r="A64" s="6">
        <v>4.625</v>
      </c>
      <c r="B64" s="6">
        <v>4.25</v>
      </c>
    </row>
    <row r="65" spans="1:2" x14ac:dyDescent="0.35">
      <c r="A65" s="6">
        <v>3.375</v>
      </c>
      <c r="B65" s="6">
        <v>3.875</v>
      </c>
    </row>
    <row r="66" spans="1:2" x14ac:dyDescent="0.35">
      <c r="A66" s="6">
        <v>4.25</v>
      </c>
      <c r="B66" s="6">
        <v>3.625</v>
      </c>
    </row>
    <row r="67" spans="1:2" x14ac:dyDescent="0.35">
      <c r="A67" s="6">
        <v>2.875</v>
      </c>
      <c r="B67" s="6">
        <v>3.25</v>
      </c>
    </row>
    <row r="68" spans="1:2" x14ac:dyDescent="0.35">
      <c r="A68" s="6">
        <v>1.625</v>
      </c>
      <c r="B68" s="6">
        <v>2.75</v>
      </c>
    </row>
    <row r="69" spans="1:2" x14ac:dyDescent="0.35">
      <c r="A69" s="6">
        <v>1.5</v>
      </c>
      <c r="B69" s="6">
        <v>4.125</v>
      </c>
    </row>
    <row r="70" spans="1:2" x14ac:dyDescent="0.35">
      <c r="A70" s="6">
        <v>1</v>
      </c>
      <c r="B70" s="6">
        <v>3</v>
      </c>
    </row>
    <row r="71" spans="1:2" x14ac:dyDescent="0.35">
      <c r="A71" s="6">
        <v>3.75</v>
      </c>
      <c r="B71" s="6">
        <v>1.5</v>
      </c>
    </row>
    <row r="72" spans="1:2" x14ac:dyDescent="0.35">
      <c r="A72" s="6">
        <v>3.75</v>
      </c>
      <c r="B72" s="6">
        <v>1.875</v>
      </c>
    </row>
    <row r="73" spans="1:2" x14ac:dyDescent="0.35">
      <c r="A73" s="6">
        <v>3</v>
      </c>
      <c r="B73" s="6">
        <v>3.5</v>
      </c>
    </row>
    <row r="74" spans="1:2" x14ac:dyDescent="0.35">
      <c r="A74" s="6">
        <v>4.25</v>
      </c>
      <c r="B74" s="6">
        <v>2.875</v>
      </c>
    </row>
    <row r="75" spans="1:2" x14ac:dyDescent="0.35">
      <c r="A75" s="6">
        <v>5</v>
      </c>
      <c r="B75" s="6">
        <v>3.875</v>
      </c>
    </row>
    <row r="76" spans="1:2" x14ac:dyDescent="0.35">
      <c r="A76" s="6">
        <v>1</v>
      </c>
      <c r="B76" s="6">
        <v>3.875</v>
      </c>
    </row>
    <row r="77" spans="1:2" x14ac:dyDescent="0.35">
      <c r="A77" s="6">
        <v>5</v>
      </c>
      <c r="B77" s="6">
        <v>4.125</v>
      </c>
    </row>
    <row r="78" spans="1:2" x14ac:dyDescent="0.35">
      <c r="A78" s="6">
        <v>3.125</v>
      </c>
      <c r="B78" s="6">
        <v>4.375</v>
      </c>
    </row>
    <row r="79" spans="1:2" x14ac:dyDescent="0.35">
      <c r="A79" s="6">
        <v>3.5</v>
      </c>
      <c r="B79" s="6">
        <v>3.875</v>
      </c>
    </row>
    <row r="80" spans="1:2" x14ac:dyDescent="0.35">
      <c r="A80" s="6">
        <v>1</v>
      </c>
      <c r="B80" s="6">
        <v>4.625</v>
      </c>
    </row>
    <row r="81" spans="1:2" x14ac:dyDescent="0.35">
      <c r="A81" s="6">
        <v>3.125</v>
      </c>
      <c r="B81" s="6">
        <v>1.375</v>
      </c>
    </row>
    <row r="82" spans="1:2" x14ac:dyDescent="0.35">
      <c r="A82" s="6">
        <v>3.125</v>
      </c>
      <c r="B82" s="6">
        <v>1.875</v>
      </c>
    </row>
    <row r="83" spans="1:2" x14ac:dyDescent="0.35">
      <c r="A83" s="6">
        <v>3</v>
      </c>
      <c r="B83" s="6">
        <v>2.875</v>
      </c>
    </row>
    <row r="84" spans="1:2" x14ac:dyDescent="0.35">
      <c r="A84" s="6">
        <v>5</v>
      </c>
      <c r="B84" s="6">
        <v>3.625</v>
      </c>
    </row>
    <row r="85" spans="1:2" x14ac:dyDescent="0.35">
      <c r="A85" s="6">
        <v>1.625</v>
      </c>
      <c r="B85" s="6">
        <v>2.375</v>
      </c>
    </row>
    <row r="86" spans="1:2" x14ac:dyDescent="0.35">
      <c r="A86" s="6">
        <v>4.875</v>
      </c>
      <c r="B86" s="6">
        <v>1.875</v>
      </c>
    </row>
    <row r="87" spans="1:2" x14ac:dyDescent="0.35">
      <c r="A87" s="6">
        <v>3.25</v>
      </c>
      <c r="B87" s="6">
        <v>2.25</v>
      </c>
    </row>
    <row r="88" spans="1:2" x14ac:dyDescent="0.35">
      <c r="A88" s="6">
        <v>2.625</v>
      </c>
      <c r="B88" s="6">
        <v>2.25</v>
      </c>
    </row>
    <row r="89" spans="1:2" x14ac:dyDescent="0.35">
      <c r="B89" s="6">
        <v>3.75</v>
      </c>
    </row>
    <row r="90" spans="1:2" x14ac:dyDescent="0.35">
      <c r="B90" s="6">
        <v>4.25</v>
      </c>
    </row>
    <row r="91" spans="1:2" x14ac:dyDescent="0.35">
      <c r="B91" s="6">
        <v>2.375</v>
      </c>
    </row>
    <row r="92" spans="1:2" x14ac:dyDescent="0.35">
      <c r="B92" s="6">
        <v>2.375</v>
      </c>
    </row>
    <row r="93" spans="1:2" x14ac:dyDescent="0.35">
      <c r="B93" s="6">
        <v>2.125</v>
      </c>
    </row>
    <row r="94" spans="1:2" x14ac:dyDescent="0.35">
      <c r="B94" s="6">
        <v>1.125</v>
      </c>
    </row>
    <row r="95" spans="1:2" x14ac:dyDescent="0.35">
      <c r="B95" s="6">
        <v>1</v>
      </c>
    </row>
    <row r="96" spans="1:2" x14ac:dyDescent="0.35">
      <c r="B96" s="6">
        <v>3.75</v>
      </c>
    </row>
    <row r="97" spans="2:2" x14ac:dyDescent="0.35">
      <c r="B97" s="6">
        <v>1.25</v>
      </c>
    </row>
    <row r="98" spans="2:2" x14ac:dyDescent="0.35">
      <c r="B98" s="6">
        <v>1.5</v>
      </c>
    </row>
    <row r="99" spans="2:2" x14ac:dyDescent="0.35">
      <c r="B99" s="6">
        <v>2.625</v>
      </c>
    </row>
    <row r="100" spans="2:2" x14ac:dyDescent="0.35">
      <c r="B100" s="6">
        <v>1.25</v>
      </c>
    </row>
    <row r="101" spans="2:2" x14ac:dyDescent="0.35">
      <c r="B101" s="6">
        <v>2.25</v>
      </c>
    </row>
    <row r="102" spans="2:2" x14ac:dyDescent="0.35">
      <c r="B102" s="6">
        <v>3.375</v>
      </c>
    </row>
    <row r="103" spans="2:2" x14ac:dyDescent="0.35">
      <c r="B103" s="6">
        <v>1.625</v>
      </c>
    </row>
    <row r="104" spans="2:2" x14ac:dyDescent="0.35">
      <c r="B104" s="6">
        <v>1.125</v>
      </c>
    </row>
    <row r="105" spans="2:2" x14ac:dyDescent="0.35">
      <c r="B105" s="6">
        <v>1</v>
      </c>
    </row>
    <row r="106" spans="2:2" x14ac:dyDescent="0.35">
      <c r="B106" s="6">
        <v>1.25</v>
      </c>
    </row>
    <row r="107" spans="2:2" x14ac:dyDescent="0.35">
      <c r="B107" s="6">
        <v>1.25</v>
      </c>
    </row>
    <row r="108" spans="2:2" x14ac:dyDescent="0.35">
      <c r="B108" s="6">
        <v>1.5</v>
      </c>
    </row>
    <row r="109" spans="2:2" x14ac:dyDescent="0.35">
      <c r="B109" s="6">
        <v>1.625</v>
      </c>
    </row>
    <row r="110" spans="2:2" x14ac:dyDescent="0.35">
      <c r="B110" s="6">
        <v>1.75</v>
      </c>
    </row>
    <row r="111" spans="2:2" x14ac:dyDescent="0.35">
      <c r="B111" s="6">
        <v>1</v>
      </c>
    </row>
    <row r="112" spans="2:2" x14ac:dyDescent="0.35">
      <c r="B112" s="6">
        <v>1.75</v>
      </c>
    </row>
    <row r="113" spans="2:2" x14ac:dyDescent="0.35">
      <c r="B113" s="6">
        <v>1.75</v>
      </c>
    </row>
    <row r="114" spans="2:2" x14ac:dyDescent="0.35">
      <c r="B114" s="6">
        <v>1.25</v>
      </c>
    </row>
    <row r="115" spans="2:2" x14ac:dyDescent="0.35">
      <c r="B115" s="6">
        <v>1.125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559A-CED6-4DF7-BA17-910E75E78199}">
  <dimension ref="A1:F105"/>
  <sheetViews>
    <sheetView workbookViewId="0">
      <selection activeCell="D4" sqref="D4:F17"/>
    </sheetView>
  </sheetViews>
  <sheetFormatPr defaultRowHeight="14.5" x14ac:dyDescent="0.35"/>
  <cols>
    <col min="1" max="1" width="9.08984375" customWidth="1"/>
    <col min="2" max="2" width="14.453125" customWidth="1"/>
    <col min="3" max="3" width="21.7265625" bestFit="1" customWidth="1"/>
    <col min="4" max="4" width="39.453125" bestFit="1" customWidth="1"/>
    <col min="5" max="5" width="11.90625" bestFit="1" customWidth="1"/>
    <col min="6" max="6" width="12.36328125" bestFit="1" customWidth="1"/>
  </cols>
  <sheetData>
    <row r="1" spans="1:6" x14ac:dyDescent="0.35">
      <c r="A1" s="12" t="s">
        <v>113</v>
      </c>
      <c r="B1" s="12"/>
    </row>
    <row r="2" spans="1:6" x14ac:dyDescent="0.35">
      <c r="A2" t="s">
        <v>114</v>
      </c>
      <c r="B2" t="s">
        <v>115</v>
      </c>
    </row>
    <row r="3" spans="1:6" x14ac:dyDescent="0.35">
      <c r="A3" s="6">
        <v>1</v>
      </c>
      <c r="B3" s="6">
        <v>2.625</v>
      </c>
    </row>
    <row r="4" spans="1:6" x14ac:dyDescent="0.35">
      <c r="A4" s="6">
        <v>1.875</v>
      </c>
      <c r="B4" s="6">
        <v>2.5</v>
      </c>
      <c r="D4" t="s">
        <v>98</v>
      </c>
    </row>
    <row r="5" spans="1:6" ht="15" thickBot="1" x14ac:dyDescent="0.4">
      <c r="A5" s="6">
        <v>5</v>
      </c>
      <c r="B5" s="6">
        <v>2.5</v>
      </c>
    </row>
    <row r="6" spans="1:6" x14ac:dyDescent="0.35">
      <c r="A6" s="6">
        <v>3.125</v>
      </c>
      <c r="B6" s="6">
        <v>4.375</v>
      </c>
      <c r="D6" s="8"/>
      <c r="E6" s="8" t="s">
        <v>114</v>
      </c>
      <c r="F6" s="8" t="s">
        <v>115</v>
      </c>
    </row>
    <row r="7" spans="1:6" x14ac:dyDescent="0.35">
      <c r="A7" s="6">
        <v>4.25</v>
      </c>
      <c r="B7" s="6">
        <v>5</v>
      </c>
      <c r="D7" s="9" t="s">
        <v>99</v>
      </c>
      <c r="E7" s="11">
        <v>3.2096354166666665</v>
      </c>
      <c r="F7" s="11">
        <v>3.0303398058252426</v>
      </c>
    </row>
    <row r="8" spans="1:6" x14ac:dyDescent="0.35">
      <c r="A8" s="6">
        <v>3.125</v>
      </c>
      <c r="B8" s="6">
        <v>3.125</v>
      </c>
      <c r="D8" s="9" t="s">
        <v>109</v>
      </c>
      <c r="E8" s="11">
        <v>1.3613469709429828</v>
      </c>
      <c r="F8" s="11">
        <v>1.4336599324195698</v>
      </c>
    </row>
    <row r="9" spans="1:6" x14ac:dyDescent="0.35">
      <c r="A9" s="6">
        <v>1</v>
      </c>
      <c r="B9" s="6">
        <v>3.625</v>
      </c>
      <c r="D9" s="9" t="s">
        <v>100</v>
      </c>
      <c r="E9" s="11">
        <v>96</v>
      </c>
      <c r="F9" s="11">
        <v>103</v>
      </c>
    </row>
    <row r="10" spans="1:6" x14ac:dyDescent="0.35">
      <c r="A10" s="6">
        <v>3.125</v>
      </c>
      <c r="B10" s="6">
        <v>4</v>
      </c>
      <c r="D10" t="s">
        <v>101</v>
      </c>
      <c r="E10">
        <v>1.3987881997278147</v>
      </c>
    </row>
    <row r="11" spans="1:6" x14ac:dyDescent="0.35">
      <c r="A11" s="6">
        <v>1.5</v>
      </c>
      <c r="B11" s="6">
        <v>3.125</v>
      </c>
      <c r="D11" t="s">
        <v>102</v>
      </c>
      <c r="E11">
        <v>0</v>
      </c>
    </row>
    <row r="12" spans="1:6" x14ac:dyDescent="0.35">
      <c r="A12" s="6">
        <v>3.875</v>
      </c>
      <c r="B12" s="6">
        <v>4.125</v>
      </c>
      <c r="D12" t="s">
        <v>103</v>
      </c>
      <c r="E12">
        <v>197</v>
      </c>
    </row>
    <row r="13" spans="1:6" x14ac:dyDescent="0.35">
      <c r="A13" s="6">
        <v>4.125</v>
      </c>
      <c r="B13" s="6">
        <v>2.875</v>
      </c>
      <c r="D13" s="9" t="s">
        <v>104</v>
      </c>
      <c r="E13" s="11">
        <v>1.0686152530646695</v>
      </c>
    </row>
    <row r="14" spans="1:6" x14ac:dyDescent="0.35">
      <c r="A14" s="6">
        <v>3</v>
      </c>
      <c r="B14" s="6">
        <v>3.125</v>
      </c>
      <c r="D14" s="9" t="s">
        <v>105</v>
      </c>
      <c r="E14" s="11">
        <v>0.14327537301540727</v>
      </c>
    </row>
    <row r="15" spans="1:6" x14ac:dyDescent="0.35">
      <c r="A15" s="6">
        <v>3.875</v>
      </c>
      <c r="B15" s="6">
        <v>3.25</v>
      </c>
      <c r="D15" t="s">
        <v>106</v>
      </c>
      <c r="E15">
        <v>1.6526252192655086</v>
      </c>
    </row>
    <row r="16" spans="1:6" x14ac:dyDescent="0.35">
      <c r="A16" s="6">
        <v>4.375</v>
      </c>
      <c r="B16" s="6">
        <v>4</v>
      </c>
      <c r="D16" t="s">
        <v>107</v>
      </c>
      <c r="E16">
        <v>0.28655074603081454</v>
      </c>
    </row>
    <row r="17" spans="1:6" ht="15" thickBot="1" x14ac:dyDescent="0.4">
      <c r="A17" s="6">
        <v>3</v>
      </c>
      <c r="B17" s="6">
        <v>2.75</v>
      </c>
      <c r="D17" s="7" t="s">
        <v>108</v>
      </c>
      <c r="E17" s="7">
        <v>1.9720790337785019</v>
      </c>
      <c r="F17" s="7"/>
    </row>
    <row r="18" spans="1:6" x14ac:dyDescent="0.35">
      <c r="A18" s="6">
        <v>1.5</v>
      </c>
      <c r="B18" s="6">
        <v>2.75</v>
      </c>
    </row>
    <row r="19" spans="1:6" x14ac:dyDescent="0.35">
      <c r="A19" s="6">
        <v>4</v>
      </c>
      <c r="B19" s="6">
        <v>5</v>
      </c>
    </row>
    <row r="20" spans="1:6" x14ac:dyDescent="0.35">
      <c r="A20" s="6">
        <v>3.75</v>
      </c>
      <c r="B20" s="6">
        <v>2.25</v>
      </c>
    </row>
    <row r="21" spans="1:6" x14ac:dyDescent="0.35">
      <c r="A21" s="6">
        <v>4</v>
      </c>
      <c r="B21" s="6">
        <v>2.125</v>
      </c>
    </row>
    <row r="22" spans="1:6" x14ac:dyDescent="0.35">
      <c r="A22" s="6">
        <v>3.375</v>
      </c>
      <c r="B22" s="6">
        <v>3.625</v>
      </c>
    </row>
    <row r="23" spans="1:6" x14ac:dyDescent="0.35">
      <c r="A23" s="6">
        <v>2.625</v>
      </c>
      <c r="B23" s="6">
        <v>4.875</v>
      </c>
    </row>
    <row r="24" spans="1:6" x14ac:dyDescent="0.35">
      <c r="A24" s="6">
        <v>4.625</v>
      </c>
      <c r="B24" s="6">
        <v>1.875</v>
      </c>
    </row>
    <row r="25" spans="1:6" x14ac:dyDescent="0.35">
      <c r="A25" s="6">
        <v>2.625</v>
      </c>
      <c r="B25" s="6">
        <v>3.25</v>
      </c>
    </row>
    <row r="26" spans="1:6" x14ac:dyDescent="0.35">
      <c r="A26" s="6">
        <v>3</v>
      </c>
      <c r="B26" s="6">
        <v>3.5</v>
      </c>
    </row>
    <row r="27" spans="1:6" x14ac:dyDescent="0.35">
      <c r="A27" s="6">
        <v>4</v>
      </c>
      <c r="B27" s="6">
        <v>3.5</v>
      </c>
    </row>
    <row r="28" spans="1:6" x14ac:dyDescent="0.35">
      <c r="A28" s="6">
        <v>3.25</v>
      </c>
      <c r="B28" s="6">
        <v>4</v>
      </c>
    </row>
    <row r="29" spans="1:6" x14ac:dyDescent="0.35">
      <c r="A29" s="6">
        <v>4.125</v>
      </c>
      <c r="B29" s="6">
        <v>2.875</v>
      </c>
    </row>
    <row r="30" spans="1:6" x14ac:dyDescent="0.35">
      <c r="A30" s="6">
        <v>4.375</v>
      </c>
      <c r="B30" s="6">
        <v>3.875</v>
      </c>
    </row>
    <row r="31" spans="1:6" x14ac:dyDescent="0.35">
      <c r="A31" s="6">
        <v>5</v>
      </c>
      <c r="B31" s="6">
        <v>3.875</v>
      </c>
    </row>
    <row r="32" spans="1:6" x14ac:dyDescent="0.35">
      <c r="A32" s="6">
        <v>2.125</v>
      </c>
      <c r="B32" s="6">
        <v>4.125</v>
      </c>
    </row>
    <row r="33" spans="1:2" x14ac:dyDescent="0.35">
      <c r="A33" s="6">
        <v>3.75</v>
      </c>
      <c r="B33" s="6">
        <v>4.375</v>
      </c>
    </row>
    <row r="34" spans="1:2" x14ac:dyDescent="0.35">
      <c r="A34" s="6">
        <v>4.375</v>
      </c>
      <c r="B34" s="6">
        <v>4.5</v>
      </c>
    </row>
    <row r="35" spans="1:2" x14ac:dyDescent="0.35">
      <c r="A35" s="6">
        <v>3.75</v>
      </c>
      <c r="B35" s="6">
        <v>5</v>
      </c>
    </row>
    <row r="36" spans="1:2" x14ac:dyDescent="0.35">
      <c r="A36" s="6">
        <v>5</v>
      </c>
      <c r="B36" s="6">
        <v>2.625</v>
      </c>
    </row>
    <row r="37" spans="1:2" x14ac:dyDescent="0.35">
      <c r="A37" s="6">
        <v>2.875</v>
      </c>
      <c r="B37" s="6">
        <v>4.625</v>
      </c>
    </row>
    <row r="38" spans="1:2" x14ac:dyDescent="0.35">
      <c r="A38" s="6">
        <v>2.375</v>
      </c>
      <c r="B38" s="6">
        <v>4.625</v>
      </c>
    </row>
    <row r="39" spans="1:2" x14ac:dyDescent="0.35">
      <c r="A39" s="6">
        <v>2.5</v>
      </c>
      <c r="B39" s="6">
        <v>4.25</v>
      </c>
    </row>
    <row r="40" spans="1:2" x14ac:dyDescent="0.35">
      <c r="A40" s="6">
        <v>1.875</v>
      </c>
      <c r="B40" s="6">
        <v>3.625</v>
      </c>
    </row>
    <row r="41" spans="1:2" x14ac:dyDescent="0.35">
      <c r="A41" s="6">
        <v>2.625</v>
      </c>
      <c r="B41" s="6">
        <v>3.375</v>
      </c>
    </row>
    <row r="42" spans="1:2" x14ac:dyDescent="0.35">
      <c r="A42" s="6">
        <v>3.75</v>
      </c>
      <c r="B42" s="6">
        <v>2.25</v>
      </c>
    </row>
    <row r="43" spans="1:2" x14ac:dyDescent="0.35">
      <c r="A43" s="6">
        <v>3.25</v>
      </c>
      <c r="B43" s="6">
        <v>3.125</v>
      </c>
    </row>
    <row r="44" spans="1:2" x14ac:dyDescent="0.35">
      <c r="A44" s="6">
        <v>4.5</v>
      </c>
      <c r="B44" s="6">
        <v>3.5</v>
      </c>
    </row>
    <row r="45" spans="1:2" x14ac:dyDescent="0.35">
      <c r="A45" s="6">
        <v>4.25</v>
      </c>
      <c r="B45" s="6">
        <v>3.75</v>
      </c>
    </row>
    <row r="46" spans="1:2" x14ac:dyDescent="0.35">
      <c r="A46" s="6">
        <v>5</v>
      </c>
      <c r="B46" s="6">
        <v>3.25</v>
      </c>
    </row>
    <row r="47" spans="1:2" x14ac:dyDescent="0.35">
      <c r="A47" s="6">
        <v>2.875</v>
      </c>
      <c r="B47" s="6">
        <v>4.25</v>
      </c>
    </row>
    <row r="48" spans="1:2" x14ac:dyDescent="0.35">
      <c r="A48" s="6">
        <v>2.375</v>
      </c>
      <c r="B48" s="6">
        <v>1.625</v>
      </c>
    </row>
    <row r="49" spans="1:2" x14ac:dyDescent="0.35">
      <c r="A49" s="6">
        <v>2.125</v>
      </c>
      <c r="B49" s="6">
        <v>2.375</v>
      </c>
    </row>
    <row r="50" spans="1:2" x14ac:dyDescent="0.35">
      <c r="A50" s="6">
        <v>3.75</v>
      </c>
      <c r="B50" s="6">
        <v>1.125</v>
      </c>
    </row>
    <row r="51" spans="1:2" x14ac:dyDescent="0.35">
      <c r="A51" s="6">
        <v>3.125</v>
      </c>
      <c r="B51" s="6">
        <v>1</v>
      </c>
    </row>
    <row r="52" spans="1:2" x14ac:dyDescent="0.35">
      <c r="A52" s="6">
        <v>1.5</v>
      </c>
      <c r="B52" s="6">
        <v>1.625</v>
      </c>
    </row>
    <row r="53" spans="1:2" x14ac:dyDescent="0.35">
      <c r="A53" s="6">
        <v>1</v>
      </c>
      <c r="B53" s="6">
        <v>5</v>
      </c>
    </row>
    <row r="54" spans="1:2" x14ac:dyDescent="0.35">
      <c r="A54" s="6">
        <v>4.25</v>
      </c>
      <c r="B54" s="6">
        <v>1</v>
      </c>
    </row>
    <row r="55" spans="1:2" x14ac:dyDescent="0.35">
      <c r="A55" s="6">
        <v>3.875</v>
      </c>
      <c r="B55" s="6">
        <v>4.25</v>
      </c>
    </row>
    <row r="56" spans="1:2" x14ac:dyDescent="0.35">
      <c r="A56" s="6">
        <v>3.125</v>
      </c>
      <c r="B56" s="6">
        <v>2.5</v>
      </c>
    </row>
    <row r="57" spans="1:2" x14ac:dyDescent="0.35">
      <c r="A57" s="6">
        <v>3.875</v>
      </c>
      <c r="B57" s="6">
        <v>5</v>
      </c>
    </row>
    <row r="58" spans="1:2" x14ac:dyDescent="0.35">
      <c r="A58" s="6">
        <v>3.25</v>
      </c>
      <c r="B58" s="6">
        <v>3.125</v>
      </c>
    </row>
    <row r="59" spans="1:2" x14ac:dyDescent="0.35">
      <c r="A59" s="6">
        <v>5</v>
      </c>
      <c r="B59" s="6">
        <v>3.625</v>
      </c>
    </row>
    <row r="60" spans="1:2" x14ac:dyDescent="0.35">
      <c r="A60" s="6">
        <v>4.125</v>
      </c>
      <c r="B60" s="6">
        <v>4</v>
      </c>
    </row>
    <row r="61" spans="1:2" x14ac:dyDescent="0.35">
      <c r="A61" s="6">
        <v>1.5</v>
      </c>
      <c r="B61" s="6">
        <v>2.875</v>
      </c>
    </row>
    <row r="62" spans="1:2" x14ac:dyDescent="0.35">
      <c r="A62" s="6">
        <v>2.125</v>
      </c>
      <c r="B62" s="6">
        <v>4.625</v>
      </c>
    </row>
    <row r="63" spans="1:2" x14ac:dyDescent="0.35">
      <c r="A63" s="6">
        <v>5</v>
      </c>
      <c r="B63" s="6">
        <v>2.75</v>
      </c>
    </row>
    <row r="64" spans="1:2" x14ac:dyDescent="0.35">
      <c r="A64" s="6">
        <v>1.875</v>
      </c>
      <c r="B64" s="6">
        <v>3</v>
      </c>
    </row>
    <row r="65" spans="1:2" x14ac:dyDescent="0.35">
      <c r="A65" s="6">
        <v>3.375</v>
      </c>
      <c r="B65" s="6">
        <v>5</v>
      </c>
    </row>
    <row r="66" spans="1:2" x14ac:dyDescent="0.35">
      <c r="A66" s="6">
        <v>2.625</v>
      </c>
      <c r="B66" s="6">
        <v>3.75</v>
      </c>
    </row>
    <row r="67" spans="1:2" x14ac:dyDescent="0.35">
      <c r="A67" s="6">
        <v>5</v>
      </c>
      <c r="B67" s="6">
        <v>3.5</v>
      </c>
    </row>
    <row r="68" spans="1:2" x14ac:dyDescent="0.35">
      <c r="A68" s="6">
        <v>3.875</v>
      </c>
      <c r="B68" s="6">
        <v>2.875</v>
      </c>
    </row>
    <row r="69" spans="1:2" x14ac:dyDescent="0.35">
      <c r="A69" s="6">
        <v>3.25</v>
      </c>
      <c r="B69" s="6">
        <v>3.875</v>
      </c>
    </row>
    <row r="70" spans="1:2" x14ac:dyDescent="0.35">
      <c r="A70" s="6">
        <v>4.125</v>
      </c>
      <c r="B70" s="6">
        <v>4.375</v>
      </c>
    </row>
    <row r="71" spans="1:2" x14ac:dyDescent="0.35">
      <c r="A71" s="6">
        <v>5</v>
      </c>
      <c r="B71" s="6">
        <v>4.625</v>
      </c>
    </row>
    <row r="72" spans="1:2" x14ac:dyDescent="0.35">
      <c r="A72" s="6">
        <v>3.875</v>
      </c>
      <c r="B72" s="6">
        <v>4.625</v>
      </c>
    </row>
    <row r="73" spans="1:2" x14ac:dyDescent="0.35">
      <c r="A73" s="6">
        <v>1.375</v>
      </c>
      <c r="B73" s="6">
        <v>1.875</v>
      </c>
    </row>
    <row r="74" spans="1:2" x14ac:dyDescent="0.35">
      <c r="A74" s="6">
        <v>2.875</v>
      </c>
      <c r="B74" s="6">
        <v>2.375</v>
      </c>
    </row>
    <row r="75" spans="1:2" x14ac:dyDescent="0.35">
      <c r="A75" s="6">
        <v>3.625</v>
      </c>
      <c r="B75" s="6">
        <v>3.375</v>
      </c>
    </row>
    <row r="76" spans="1:2" x14ac:dyDescent="0.35">
      <c r="A76" s="6">
        <v>3.75</v>
      </c>
      <c r="B76" s="6">
        <v>1.875</v>
      </c>
    </row>
    <row r="77" spans="1:2" x14ac:dyDescent="0.35">
      <c r="A77" s="6">
        <v>4.25</v>
      </c>
      <c r="B77" s="6">
        <v>2.25</v>
      </c>
    </row>
    <row r="78" spans="1:2" x14ac:dyDescent="0.35">
      <c r="A78" s="6">
        <v>4.25</v>
      </c>
      <c r="B78" s="6">
        <v>2.25</v>
      </c>
    </row>
    <row r="79" spans="1:2" x14ac:dyDescent="0.35">
      <c r="A79" s="6">
        <v>1.625</v>
      </c>
      <c r="B79" s="6">
        <v>2.875</v>
      </c>
    </row>
    <row r="80" spans="1:2" x14ac:dyDescent="0.35">
      <c r="A80" s="6">
        <v>2.125</v>
      </c>
      <c r="B80" s="6">
        <v>2.375</v>
      </c>
    </row>
    <row r="81" spans="1:2" x14ac:dyDescent="0.35">
      <c r="A81" s="6">
        <v>3.75</v>
      </c>
      <c r="B81" s="6">
        <v>2.375</v>
      </c>
    </row>
    <row r="82" spans="1:2" x14ac:dyDescent="0.35">
      <c r="A82" s="6">
        <v>1.25</v>
      </c>
      <c r="B82" s="6">
        <v>1.125</v>
      </c>
    </row>
    <row r="83" spans="1:2" x14ac:dyDescent="0.35">
      <c r="A83" s="6">
        <v>1.5</v>
      </c>
      <c r="B83" s="6">
        <v>1</v>
      </c>
    </row>
    <row r="84" spans="1:2" x14ac:dyDescent="0.35">
      <c r="A84" s="6">
        <v>2.625</v>
      </c>
      <c r="B84" s="6">
        <v>1.5</v>
      </c>
    </row>
    <row r="85" spans="1:2" x14ac:dyDescent="0.35">
      <c r="A85" s="6">
        <v>3.375</v>
      </c>
      <c r="B85" s="6">
        <v>1</v>
      </c>
    </row>
    <row r="86" spans="1:2" x14ac:dyDescent="0.35">
      <c r="A86" s="6">
        <v>3.75</v>
      </c>
      <c r="B86" s="6">
        <v>3.75</v>
      </c>
    </row>
    <row r="87" spans="1:2" x14ac:dyDescent="0.35">
      <c r="A87" s="6">
        <v>3</v>
      </c>
      <c r="B87" s="6">
        <v>1.25</v>
      </c>
    </row>
    <row r="88" spans="1:2" x14ac:dyDescent="0.35">
      <c r="A88" s="6">
        <v>5</v>
      </c>
      <c r="B88" s="6">
        <v>2.25</v>
      </c>
    </row>
    <row r="89" spans="1:2" x14ac:dyDescent="0.35">
      <c r="A89" s="6">
        <v>1</v>
      </c>
      <c r="B89" s="6">
        <v>1.625</v>
      </c>
    </row>
    <row r="90" spans="1:2" x14ac:dyDescent="0.35">
      <c r="A90" s="6">
        <v>1.5</v>
      </c>
      <c r="B90" s="6">
        <v>1.125</v>
      </c>
    </row>
    <row r="91" spans="1:2" x14ac:dyDescent="0.35">
      <c r="A91" s="6">
        <v>1</v>
      </c>
      <c r="B91" s="6">
        <v>4.25</v>
      </c>
    </row>
    <row r="92" spans="1:2" x14ac:dyDescent="0.35">
      <c r="A92" s="6">
        <v>1.625</v>
      </c>
      <c r="B92" s="6">
        <v>1</v>
      </c>
    </row>
    <row r="93" spans="1:2" x14ac:dyDescent="0.35">
      <c r="A93" s="6">
        <v>3.125</v>
      </c>
      <c r="B93" s="6">
        <v>5</v>
      </c>
    </row>
    <row r="94" spans="1:2" x14ac:dyDescent="0.35">
      <c r="A94" s="6">
        <v>3.125</v>
      </c>
      <c r="B94" s="6">
        <v>3.125</v>
      </c>
    </row>
    <row r="95" spans="1:2" x14ac:dyDescent="0.35">
      <c r="A95" s="6">
        <v>5</v>
      </c>
      <c r="B95" s="6">
        <v>1.25</v>
      </c>
    </row>
    <row r="96" spans="1:2" x14ac:dyDescent="0.35">
      <c r="A96" s="6">
        <v>4.875</v>
      </c>
      <c r="B96" s="6">
        <v>1.25</v>
      </c>
    </row>
    <row r="97" spans="1:2" x14ac:dyDescent="0.35">
      <c r="A97" s="6">
        <v>1.75</v>
      </c>
      <c r="B97" s="6">
        <v>3.5</v>
      </c>
    </row>
    <row r="98" spans="1:2" x14ac:dyDescent="0.35">
      <c r="A98" s="6">
        <v>2.625</v>
      </c>
      <c r="B98" s="6">
        <v>1.75</v>
      </c>
    </row>
    <row r="99" spans="1:2" x14ac:dyDescent="0.35">
      <c r="B99" s="6">
        <v>3</v>
      </c>
    </row>
    <row r="100" spans="1:2" x14ac:dyDescent="0.35">
      <c r="B100" s="6">
        <v>1.625</v>
      </c>
    </row>
    <row r="101" spans="1:2" x14ac:dyDescent="0.35">
      <c r="B101" s="6">
        <v>1</v>
      </c>
    </row>
    <row r="102" spans="1:2" x14ac:dyDescent="0.35">
      <c r="B102" s="6">
        <v>3.25</v>
      </c>
    </row>
    <row r="103" spans="1:2" x14ac:dyDescent="0.35">
      <c r="B103" s="6">
        <v>1.75</v>
      </c>
    </row>
    <row r="104" spans="1:2" x14ac:dyDescent="0.35">
      <c r="B104" s="6">
        <v>1.25</v>
      </c>
    </row>
    <row r="105" spans="1:2" x14ac:dyDescent="0.35">
      <c r="B105" s="6">
        <v>1.125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53B1-E8AB-49D7-85FA-2D2105BAD16D}">
  <dimension ref="A1:E29"/>
  <sheetViews>
    <sheetView tabSelected="1" topLeftCell="D2" workbookViewId="0">
      <selection activeCell="K15" sqref="K15"/>
    </sheetView>
  </sheetViews>
  <sheetFormatPr defaultRowHeight="14.5" x14ac:dyDescent="0.35"/>
  <cols>
    <col min="1" max="1" width="13.90625" customWidth="1"/>
    <col min="2" max="2" width="17.90625" customWidth="1"/>
    <col min="3" max="3" width="113.26953125" customWidth="1"/>
    <col min="4" max="4" width="16.453125" customWidth="1"/>
    <col min="5" max="5" width="42.81640625" customWidth="1"/>
  </cols>
  <sheetData>
    <row r="1" spans="1:5" s="4" customFormat="1" x14ac:dyDescent="0.35">
      <c r="A1" s="3" t="s">
        <v>14</v>
      </c>
      <c r="B1" s="3" t="s">
        <v>9</v>
      </c>
      <c r="C1" s="3" t="s">
        <v>10</v>
      </c>
      <c r="D1" s="3" t="s">
        <v>15</v>
      </c>
      <c r="E1" s="3" t="s">
        <v>11</v>
      </c>
    </row>
    <row r="2" spans="1:5" s="4" customFormat="1" x14ac:dyDescent="0.35">
      <c r="A2" s="3" t="s">
        <v>61</v>
      </c>
      <c r="B2" s="3"/>
      <c r="C2" s="3"/>
      <c r="D2" s="3"/>
      <c r="E2" s="3"/>
    </row>
    <row r="3" spans="1:5" x14ac:dyDescent="0.35">
      <c r="A3">
        <v>1</v>
      </c>
      <c r="B3" t="s">
        <v>8</v>
      </c>
      <c r="C3" t="s">
        <v>12</v>
      </c>
      <c r="D3" t="s">
        <v>16</v>
      </c>
      <c r="E3" t="s">
        <v>13</v>
      </c>
    </row>
    <row r="4" spans="1:5" x14ac:dyDescent="0.35">
      <c r="A4">
        <v>2</v>
      </c>
      <c r="B4" t="s">
        <v>0</v>
      </c>
      <c r="C4" t="s">
        <v>19</v>
      </c>
      <c r="D4" t="s">
        <v>17</v>
      </c>
      <c r="E4" t="s">
        <v>18</v>
      </c>
    </row>
    <row r="5" spans="1:5" x14ac:dyDescent="0.35">
      <c r="A5">
        <v>3</v>
      </c>
      <c r="B5" t="s">
        <v>1</v>
      </c>
      <c r="C5" t="s">
        <v>28</v>
      </c>
      <c r="D5" t="s">
        <v>20</v>
      </c>
      <c r="E5" t="s">
        <v>29</v>
      </c>
    </row>
    <row r="6" spans="1:5" x14ac:dyDescent="0.35">
      <c r="A6">
        <v>4</v>
      </c>
      <c r="B6" t="s">
        <v>21</v>
      </c>
      <c r="C6" t="s">
        <v>22</v>
      </c>
      <c r="D6" t="s">
        <v>20</v>
      </c>
      <c r="E6" t="s">
        <v>23</v>
      </c>
    </row>
    <row r="7" spans="1:5" x14ac:dyDescent="0.35">
      <c r="A7">
        <v>5</v>
      </c>
      <c r="B7" t="s">
        <v>24</v>
      </c>
      <c r="C7" t="s">
        <v>25</v>
      </c>
      <c r="D7" t="s">
        <v>20</v>
      </c>
      <c r="E7" t="s">
        <v>26</v>
      </c>
    </row>
    <row r="9" spans="1:5" s="4" customFormat="1" ht="18.5" customHeight="1" x14ac:dyDescent="0.35">
      <c r="A9" s="3" t="s">
        <v>62</v>
      </c>
    </row>
    <row r="10" spans="1:5" x14ac:dyDescent="0.35">
      <c r="A10">
        <v>6</v>
      </c>
      <c r="B10" t="s">
        <v>44</v>
      </c>
      <c r="C10" t="s">
        <v>54</v>
      </c>
      <c r="D10" t="s">
        <v>60</v>
      </c>
      <c r="E10" t="s">
        <v>89</v>
      </c>
    </row>
    <row r="11" spans="1:5" x14ac:dyDescent="0.35">
      <c r="A11">
        <v>7</v>
      </c>
      <c r="B11" t="s">
        <v>45</v>
      </c>
      <c r="C11" t="s">
        <v>52</v>
      </c>
      <c r="D11" t="s">
        <v>60</v>
      </c>
      <c r="E11" t="s">
        <v>90</v>
      </c>
    </row>
    <row r="12" spans="1:5" x14ac:dyDescent="0.35">
      <c r="A12">
        <v>8</v>
      </c>
      <c r="B12" t="s">
        <v>46</v>
      </c>
      <c r="C12" t="s">
        <v>55</v>
      </c>
      <c r="D12" t="s">
        <v>60</v>
      </c>
      <c r="E12" t="s">
        <v>88</v>
      </c>
    </row>
    <row r="13" spans="1:5" x14ac:dyDescent="0.35">
      <c r="A13">
        <v>9</v>
      </c>
      <c r="B13" t="s">
        <v>47</v>
      </c>
      <c r="C13" t="s">
        <v>53</v>
      </c>
      <c r="D13" t="s">
        <v>60</v>
      </c>
      <c r="E13" t="s">
        <v>91</v>
      </c>
    </row>
    <row r="14" spans="1:5" x14ac:dyDescent="0.35">
      <c r="A14">
        <v>10</v>
      </c>
      <c r="B14" t="s">
        <v>48</v>
      </c>
      <c r="C14" t="s">
        <v>56</v>
      </c>
      <c r="D14" t="s">
        <v>60</v>
      </c>
      <c r="E14" t="s">
        <v>92</v>
      </c>
    </row>
    <row r="15" spans="1:5" x14ac:dyDescent="0.35">
      <c r="A15">
        <v>11</v>
      </c>
      <c r="B15" t="s">
        <v>49</v>
      </c>
      <c r="C15" t="s">
        <v>57</v>
      </c>
      <c r="D15" t="s">
        <v>60</v>
      </c>
    </row>
    <row r="16" spans="1:5" x14ac:dyDescent="0.35">
      <c r="A16">
        <v>12</v>
      </c>
      <c r="B16" t="s">
        <v>50</v>
      </c>
      <c r="C16" t="s">
        <v>58</v>
      </c>
      <c r="D16" t="s">
        <v>60</v>
      </c>
    </row>
    <row r="17" spans="1:5" x14ac:dyDescent="0.35">
      <c r="A17">
        <v>13</v>
      </c>
      <c r="B17" t="s">
        <v>51</v>
      </c>
      <c r="C17" t="s">
        <v>59</v>
      </c>
      <c r="D17" t="s">
        <v>60</v>
      </c>
    </row>
    <row r="19" spans="1:5" s="3" customFormat="1" x14ac:dyDescent="0.35">
      <c r="A19" s="3" t="s">
        <v>43</v>
      </c>
    </row>
    <row r="20" spans="1:5" x14ac:dyDescent="0.35">
      <c r="A20">
        <v>14</v>
      </c>
      <c r="B20" t="s">
        <v>73</v>
      </c>
      <c r="C20" t="s">
        <v>63</v>
      </c>
      <c r="D20" t="s">
        <v>83</v>
      </c>
      <c r="E20" t="s">
        <v>87</v>
      </c>
    </row>
    <row r="21" spans="1:5" x14ac:dyDescent="0.35">
      <c r="A21">
        <v>15</v>
      </c>
      <c r="B21" t="s">
        <v>74</v>
      </c>
      <c r="C21" t="s">
        <v>64</v>
      </c>
      <c r="D21" t="s">
        <v>83</v>
      </c>
      <c r="E21" t="s">
        <v>86</v>
      </c>
    </row>
    <row r="22" spans="1:5" x14ac:dyDescent="0.35">
      <c r="A22">
        <v>16</v>
      </c>
      <c r="B22" t="s">
        <v>75</v>
      </c>
      <c r="C22" t="s">
        <v>65</v>
      </c>
      <c r="D22" t="s">
        <v>83</v>
      </c>
      <c r="E22" t="s">
        <v>85</v>
      </c>
    </row>
    <row r="23" spans="1:5" x14ac:dyDescent="0.35">
      <c r="A23">
        <v>17</v>
      </c>
      <c r="B23" t="s">
        <v>76</v>
      </c>
      <c r="C23" t="s">
        <v>66</v>
      </c>
      <c r="D23" t="s">
        <v>83</v>
      </c>
      <c r="E23" t="s">
        <v>84</v>
      </c>
    </row>
    <row r="24" spans="1:5" x14ac:dyDescent="0.35">
      <c r="A24">
        <v>18</v>
      </c>
      <c r="B24" t="s">
        <v>77</v>
      </c>
      <c r="C24" t="s">
        <v>67</v>
      </c>
      <c r="D24" t="s">
        <v>83</v>
      </c>
    </row>
    <row r="25" spans="1:5" x14ac:dyDescent="0.35">
      <c r="A25">
        <v>19</v>
      </c>
      <c r="B25" t="s">
        <v>78</v>
      </c>
      <c r="C25" t="s">
        <v>68</v>
      </c>
      <c r="D25" t="s">
        <v>83</v>
      </c>
    </row>
    <row r="26" spans="1:5" x14ac:dyDescent="0.35">
      <c r="A26">
        <v>20</v>
      </c>
      <c r="B26" t="s">
        <v>79</v>
      </c>
      <c r="C26" t="s">
        <v>69</v>
      </c>
      <c r="D26" t="s">
        <v>83</v>
      </c>
    </row>
    <row r="27" spans="1:5" x14ac:dyDescent="0.35">
      <c r="A27">
        <v>21</v>
      </c>
      <c r="B27" t="s">
        <v>80</v>
      </c>
      <c r="C27" t="s">
        <v>70</v>
      </c>
      <c r="D27" t="s">
        <v>83</v>
      </c>
    </row>
    <row r="28" spans="1:5" x14ac:dyDescent="0.35">
      <c r="A28">
        <v>22</v>
      </c>
      <c r="B28" t="s">
        <v>81</v>
      </c>
      <c r="C28" t="s">
        <v>71</v>
      </c>
      <c r="D28" t="s">
        <v>83</v>
      </c>
    </row>
    <row r="29" spans="1:5" x14ac:dyDescent="0.35">
      <c r="A29">
        <v>23</v>
      </c>
      <c r="B29" t="s">
        <v>82</v>
      </c>
      <c r="C29" t="s">
        <v>72</v>
      </c>
      <c r="D29" t="s">
        <v>83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T-Test_Role</vt:lpstr>
      <vt:lpstr>T-Test_Care Responsibilities</vt:lpstr>
      <vt:lpstr>T-Test_Gender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2026-03-28T17:12:58Z</dcterms:created>
  <dcterms:modified xsi:type="dcterms:W3CDTF">2026-10-23T17:21:57Z</dcterms:modified>
</cp:coreProperties>
</file>