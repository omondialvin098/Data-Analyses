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6130AC1-7F7F-4707-B5D9-6BB498BFE0D3}" xr6:coauthVersionLast="47" xr6:coauthVersionMax="47" xr10:uidLastSave="{00000000-0000-0000-0000-000000000000}"/>
  <bookViews>
    <workbookView xWindow="-110" yWindow="-110" windowWidth="19420" windowHeight="11020" firstSheet="1" activeTab="3" xr2:uid="{40853305-42ED-4E4B-A183-943B773B6881}"/>
  </bookViews>
  <sheets>
    <sheet name="Sheet1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7" sheetId="7" r:id="rId7"/>
  </sheets>
  <definedNames>
    <definedName name="solver_adj" localSheetId="3" hidden="1">'Q3'!$B$64:$F$64</definedName>
    <definedName name="solver_adj" localSheetId="6" hidden="1">'Q7'!$B$2:$E$2</definedName>
    <definedName name="solver_cvg" localSheetId="3" hidden="1">0.0001</definedName>
    <definedName name="solver_cvg" localSheetId="6" hidden="1">0.0001</definedName>
    <definedName name="solver_drv" localSheetId="3" hidden="1">1</definedName>
    <definedName name="solver_drv" localSheetId="6" hidden="1">1</definedName>
    <definedName name="solver_eng" localSheetId="3" hidden="1">1</definedName>
    <definedName name="solver_eng" localSheetId="6" hidden="1">1</definedName>
    <definedName name="solver_est" localSheetId="3" hidden="1">1</definedName>
    <definedName name="solver_est" localSheetId="6" hidden="1">1</definedName>
    <definedName name="solver_itr" localSheetId="3" hidden="1">2147483647</definedName>
    <definedName name="solver_itr" localSheetId="6" hidden="1">2147483647</definedName>
    <definedName name="solver_lhs1" localSheetId="3" hidden="1">'Q3'!$B$64:$F$64</definedName>
    <definedName name="solver_lhs1" localSheetId="6" hidden="1">'Q7'!$B$2:$E$2</definedName>
    <definedName name="solver_lhs2" localSheetId="3" hidden="1">'Q3'!$B$66</definedName>
    <definedName name="solver_lhs2" localSheetId="6" hidden="1">'Q7'!$B$4</definedName>
    <definedName name="solver_mip" localSheetId="3" hidden="1">2147483647</definedName>
    <definedName name="solver_mip" localSheetId="6" hidden="1">2147483647</definedName>
    <definedName name="solver_mni" localSheetId="3" hidden="1">30</definedName>
    <definedName name="solver_mni" localSheetId="6" hidden="1">30</definedName>
    <definedName name="solver_mrt" localSheetId="3" hidden="1">0.075</definedName>
    <definedName name="solver_mrt" localSheetId="6" hidden="1">0.075</definedName>
    <definedName name="solver_msl" localSheetId="3" hidden="1">2</definedName>
    <definedName name="solver_msl" localSheetId="6" hidden="1">2</definedName>
    <definedName name="solver_neg" localSheetId="3" hidden="1">1</definedName>
    <definedName name="solver_neg" localSheetId="6" hidden="1">1</definedName>
    <definedName name="solver_nod" localSheetId="3" hidden="1">2147483647</definedName>
    <definedName name="solver_nod" localSheetId="6" hidden="1">2147483647</definedName>
    <definedName name="solver_num" localSheetId="3" hidden="1">2</definedName>
    <definedName name="solver_num" localSheetId="6" hidden="1">2</definedName>
    <definedName name="solver_nwt" localSheetId="3" hidden="1">1</definedName>
    <definedName name="solver_nwt" localSheetId="6" hidden="1">1</definedName>
    <definedName name="solver_opt" localSheetId="3" hidden="1">'Q3'!$B$119</definedName>
    <definedName name="solver_opt" localSheetId="6" hidden="1">'Q7'!$B$61</definedName>
    <definedName name="solver_pre" localSheetId="3" hidden="1">0.000001</definedName>
    <definedName name="solver_pre" localSheetId="6" hidden="1">0.000001</definedName>
    <definedName name="solver_rbv" localSheetId="3" hidden="1">1</definedName>
    <definedName name="solver_rbv" localSheetId="6" hidden="1">1</definedName>
    <definedName name="solver_rel1" localSheetId="3" hidden="1">3</definedName>
    <definedName name="solver_rel1" localSheetId="6" hidden="1">3</definedName>
    <definedName name="solver_rel2" localSheetId="3" hidden="1">2</definedName>
    <definedName name="solver_rel2" localSheetId="6" hidden="1">2</definedName>
    <definedName name="solver_rhs1" localSheetId="3" hidden="1">0</definedName>
    <definedName name="solver_rhs1" localSheetId="6" hidden="1">0</definedName>
    <definedName name="solver_rhs2" localSheetId="3" hidden="1">1</definedName>
    <definedName name="solver_rhs2" localSheetId="6" hidden="1">1</definedName>
    <definedName name="solver_rlx" localSheetId="3" hidden="1">2</definedName>
    <definedName name="solver_rlx" localSheetId="6" hidden="1">2</definedName>
    <definedName name="solver_rsd" localSheetId="3" hidden="1">0</definedName>
    <definedName name="solver_rsd" localSheetId="6" hidden="1">0</definedName>
    <definedName name="solver_scl" localSheetId="3" hidden="1">1</definedName>
    <definedName name="solver_scl" localSheetId="6" hidden="1">1</definedName>
    <definedName name="solver_sho" localSheetId="3" hidden="1">2</definedName>
    <definedName name="solver_sho" localSheetId="6" hidden="1">2</definedName>
    <definedName name="solver_ssz" localSheetId="3" hidden="1">100</definedName>
    <definedName name="solver_ssz" localSheetId="6" hidden="1">100</definedName>
    <definedName name="solver_tim" localSheetId="3" hidden="1">2147483647</definedName>
    <definedName name="solver_tim" localSheetId="6" hidden="1">2147483647</definedName>
    <definedName name="solver_tol" localSheetId="3" hidden="1">0.01</definedName>
    <definedName name="solver_tol" localSheetId="6" hidden="1">0.01</definedName>
    <definedName name="solver_typ" localSheetId="3" hidden="1">2</definedName>
    <definedName name="solver_typ" localSheetId="6" hidden="1">2</definedName>
    <definedName name="solver_val" localSheetId="3" hidden="1">0</definedName>
    <definedName name="solver_val" localSheetId="6" hidden="1">0</definedName>
    <definedName name="solver_ver" localSheetId="3" hidden="1">3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7" l="1"/>
  <c r="D48" i="7" s="1"/>
  <c r="C49" i="7"/>
  <c r="D49" i="7" s="1"/>
  <c r="C50" i="7"/>
  <c r="D50" i="7" s="1"/>
  <c r="C51" i="7"/>
  <c r="D51" i="7" s="1"/>
  <c r="C52" i="7"/>
  <c r="D52" i="7" s="1"/>
  <c r="C53" i="7"/>
  <c r="C54" i="7"/>
  <c r="C55" i="7"/>
  <c r="C56" i="7"/>
  <c r="C57" i="7"/>
  <c r="E17" i="7"/>
  <c r="E16" i="7"/>
  <c r="E15" i="7"/>
  <c r="E14" i="7"/>
  <c r="D17" i="7"/>
  <c r="D16" i="7"/>
  <c r="D15" i="7"/>
  <c r="D14" i="7"/>
  <c r="C17" i="7"/>
  <c r="C16" i="7"/>
  <c r="C15" i="7"/>
  <c r="C14" i="7"/>
  <c r="B17" i="7"/>
  <c r="B23" i="7" s="1"/>
  <c r="B16" i="7"/>
  <c r="B22" i="7" s="1"/>
  <c r="B15" i="7"/>
  <c r="B21" i="7" s="1"/>
  <c r="B14" i="7"/>
  <c r="B20" i="7" s="1"/>
  <c r="B10" i="7"/>
  <c r="B30" i="7" s="1"/>
  <c r="B9" i="7"/>
  <c r="B8" i="7"/>
  <c r="B7" i="7"/>
  <c r="B4" i="7"/>
  <c r="C2" i="6"/>
  <c r="C3" i="6"/>
  <c r="C4" i="6"/>
  <c r="C5" i="6"/>
  <c r="C6" i="6"/>
  <c r="B2" i="6"/>
  <c r="D2" i="6" s="1"/>
  <c r="B3" i="6"/>
  <c r="D3" i="6" s="1"/>
  <c r="B4" i="6"/>
  <c r="D4" i="6" s="1"/>
  <c r="B5" i="6"/>
  <c r="D5" i="6" s="1"/>
  <c r="B6" i="6"/>
  <c r="D6" i="6" s="1"/>
  <c r="B2" i="5"/>
  <c r="C2" i="5"/>
  <c r="D2" i="5"/>
  <c r="B3" i="5"/>
  <c r="C3" i="5"/>
  <c r="D3" i="5"/>
  <c r="B4" i="5"/>
  <c r="C4" i="5"/>
  <c r="D4" i="5"/>
  <c r="B5" i="5"/>
  <c r="C5" i="5"/>
  <c r="D5" i="5"/>
  <c r="B6" i="5"/>
  <c r="C6" i="5"/>
  <c r="D6" i="5"/>
  <c r="B143" i="4"/>
  <c r="B130" i="4"/>
  <c r="B131" i="4"/>
  <c r="B132" i="4"/>
  <c r="B133" i="4"/>
  <c r="B122" i="4"/>
  <c r="B123" i="4"/>
  <c r="B124" i="4"/>
  <c r="B125" i="4"/>
  <c r="B126" i="4"/>
  <c r="C108" i="4"/>
  <c r="D108" i="4" s="1"/>
  <c r="C109" i="4"/>
  <c r="D109" i="4" s="1"/>
  <c r="C110" i="4"/>
  <c r="D110" i="4" s="1"/>
  <c r="C111" i="4"/>
  <c r="D111" i="4" s="1"/>
  <c r="C112" i="4"/>
  <c r="C113" i="4"/>
  <c r="C114" i="4"/>
  <c r="C115" i="4"/>
  <c r="C116" i="4"/>
  <c r="C107" i="4"/>
  <c r="D107" i="4" s="1"/>
  <c r="B94" i="4"/>
  <c r="C94" i="4"/>
  <c r="D94" i="4"/>
  <c r="E94" i="4"/>
  <c r="F94" i="4"/>
  <c r="B95" i="4"/>
  <c r="C95" i="4"/>
  <c r="D95" i="4"/>
  <c r="E95" i="4"/>
  <c r="F95" i="4"/>
  <c r="B96" i="4"/>
  <c r="C96" i="4"/>
  <c r="D96" i="4"/>
  <c r="E96" i="4"/>
  <c r="F96" i="4"/>
  <c r="B97" i="4"/>
  <c r="C97" i="4"/>
  <c r="D97" i="4"/>
  <c r="E97" i="4"/>
  <c r="F97" i="4"/>
  <c r="B98" i="4"/>
  <c r="C98" i="4"/>
  <c r="D98" i="4"/>
  <c r="E98" i="4"/>
  <c r="F98" i="4"/>
  <c r="B99" i="4"/>
  <c r="C99" i="4"/>
  <c r="D99" i="4"/>
  <c r="E99" i="4"/>
  <c r="F99" i="4"/>
  <c r="B100" i="4"/>
  <c r="C100" i="4"/>
  <c r="D100" i="4"/>
  <c r="E100" i="4"/>
  <c r="F100" i="4"/>
  <c r="B101" i="4"/>
  <c r="C101" i="4"/>
  <c r="D101" i="4"/>
  <c r="E101" i="4"/>
  <c r="F101" i="4"/>
  <c r="B102" i="4"/>
  <c r="C102" i="4"/>
  <c r="D102" i="4"/>
  <c r="E102" i="4"/>
  <c r="F102" i="4"/>
  <c r="B103" i="4"/>
  <c r="C103" i="4"/>
  <c r="D103" i="4"/>
  <c r="E103" i="4"/>
  <c r="F103" i="4"/>
  <c r="B107" i="4"/>
  <c r="B108" i="4"/>
  <c r="B109" i="4"/>
  <c r="B110" i="4"/>
  <c r="B111" i="4"/>
  <c r="B112" i="4"/>
  <c r="B113" i="4"/>
  <c r="B114" i="4"/>
  <c r="B115" i="4"/>
  <c r="B116" i="4"/>
  <c r="B91" i="4"/>
  <c r="B75" i="4"/>
  <c r="B81" i="4" s="1"/>
  <c r="C130" i="4" s="1"/>
  <c r="D130" i="4" s="1"/>
  <c r="C75" i="4"/>
  <c r="D75" i="4"/>
  <c r="E75" i="4"/>
  <c r="F75" i="4"/>
  <c r="B76" i="4"/>
  <c r="C76" i="4"/>
  <c r="D76" i="4"/>
  <c r="E76" i="4"/>
  <c r="F76" i="4"/>
  <c r="B77" i="4"/>
  <c r="C77" i="4"/>
  <c r="D77" i="4"/>
  <c r="E77" i="4"/>
  <c r="F77" i="4"/>
  <c r="B78" i="4"/>
  <c r="C78" i="4"/>
  <c r="D78" i="4"/>
  <c r="E78" i="4"/>
  <c r="F78" i="4"/>
  <c r="B69" i="4"/>
  <c r="B70" i="4"/>
  <c r="B71" i="4"/>
  <c r="B72" i="4"/>
  <c r="B66" i="4"/>
  <c r="C73" i="3"/>
  <c r="D73" i="3"/>
  <c r="E73" i="3"/>
  <c r="F73" i="3"/>
  <c r="G73" i="3"/>
  <c r="C72" i="3"/>
  <c r="D72" i="3"/>
  <c r="E72" i="3"/>
  <c r="F72" i="3"/>
  <c r="G72" i="3"/>
  <c r="C71" i="3"/>
  <c r="D71" i="3"/>
  <c r="E71" i="3"/>
  <c r="F71" i="3"/>
  <c r="G71" i="3"/>
  <c r="C70" i="3"/>
  <c r="D70" i="3"/>
  <c r="E70" i="3"/>
  <c r="F70" i="3"/>
  <c r="G70" i="3"/>
  <c r="C69" i="3"/>
  <c r="D69" i="3"/>
  <c r="E69" i="3"/>
  <c r="F69" i="3"/>
  <c r="G69" i="3"/>
  <c r="C68" i="3"/>
  <c r="D68" i="3"/>
  <c r="E68" i="3"/>
  <c r="F68" i="3"/>
  <c r="G68" i="3"/>
  <c r="C67" i="3"/>
  <c r="D67" i="3"/>
  <c r="E67" i="3"/>
  <c r="F67" i="3"/>
  <c r="G67" i="3"/>
  <c r="C66" i="3"/>
  <c r="D66" i="3"/>
  <c r="E66" i="3"/>
  <c r="F66" i="3"/>
  <c r="G66" i="3"/>
  <c r="C65" i="3"/>
  <c r="D65" i="3"/>
  <c r="E65" i="3"/>
  <c r="F65" i="3"/>
  <c r="G65" i="3"/>
  <c r="B73" i="3"/>
  <c r="B72" i="3"/>
  <c r="B71" i="3"/>
  <c r="B70" i="3"/>
  <c r="B69" i="3"/>
  <c r="B68" i="3"/>
  <c r="B67" i="3"/>
  <c r="B66" i="3"/>
  <c r="B65" i="3"/>
  <c r="C64" i="3"/>
  <c r="D64" i="3"/>
  <c r="E64" i="3"/>
  <c r="F64" i="3"/>
  <c r="G64" i="3"/>
  <c r="B64" i="3"/>
  <c r="D7" i="2"/>
  <c r="E7" i="2"/>
  <c r="F7" i="2"/>
  <c r="D6" i="2"/>
  <c r="E6" i="2"/>
  <c r="F6" i="2"/>
  <c r="D5" i="2"/>
  <c r="E5" i="2"/>
  <c r="F5" i="2"/>
  <c r="D4" i="2"/>
  <c r="E4" i="2"/>
  <c r="F4" i="2"/>
  <c r="C7" i="2"/>
  <c r="C6" i="2"/>
  <c r="C5" i="2"/>
  <c r="C4" i="2"/>
  <c r="D3" i="2"/>
  <c r="E3" i="2"/>
  <c r="F3" i="2"/>
  <c r="C3" i="2"/>
  <c r="D2" i="2"/>
  <c r="E2" i="2"/>
  <c r="F2" i="2"/>
  <c r="C2" i="2"/>
  <c r="B7" i="2"/>
  <c r="B6" i="2"/>
  <c r="B5" i="2"/>
  <c r="B4" i="2"/>
  <c r="B3" i="2"/>
  <c r="B2" i="2"/>
  <c r="B28" i="7" l="1"/>
  <c r="B27" i="7"/>
  <c r="B29" i="7"/>
  <c r="D53" i="7"/>
  <c r="B65" i="7"/>
  <c r="D54" i="7"/>
  <c r="B66" i="7"/>
  <c r="D55" i="7"/>
  <c r="B67" i="7"/>
  <c r="D56" i="7"/>
  <c r="B68" i="7"/>
  <c r="B69" i="7"/>
  <c r="D57" i="7"/>
  <c r="B31" i="7"/>
  <c r="D58" i="7"/>
  <c r="D117" i="4"/>
  <c r="B127" i="4"/>
  <c r="B87" i="4"/>
  <c r="B138" i="4"/>
  <c r="D112" i="4"/>
  <c r="D113" i="4"/>
  <c r="B139" i="4"/>
  <c r="D114" i="4"/>
  <c r="B140" i="4"/>
  <c r="D115" i="4"/>
  <c r="B141" i="4"/>
  <c r="B142" i="4"/>
  <c r="D116" i="4"/>
  <c r="B135" i="4"/>
  <c r="B119" i="4"/>
  <c r="B82" i="4"/>
  <c r="B83" i="4"/>
  <c r="B84" i="4"/>
  <c r="B70" i="7" l="1"/>
  <c r="B61" i="7"/>
  <c r="B88" i="4"/>
  <c r="C131" i="4"/>
  <c r="D131" i="4" s="1"/>
  <c r="B89" i="4"/>
  <c r="C132" i="4"/>
  <c r="D132" i="4" s="1"/>
  <c r="B90" i="4"/>
  <c r="C133" i="4"/>
  <c r="D133" i="4" s="1"/>
</calcChain>
</file>

<file path=xl/sharedStrings.xml><?xml version="1.0" encoding="utf-8"?>
<sst xmlns="http://schemas.openxmlformats.org/spreadsheetml/2006/main" count="355" uniqueCount="71">
  <si>
    <t>city</t>
  </si>
  <si>
    <t>year</t>
  </si>
  <si>
    <t>wage</t>
  </si>
  <si>
    <t>unemployment</t>
  </si>
  <si>
    <t>population</t>
  </si>
  <si>
    <t>low_skill_share</t>
  </si>
  <si>
    <t>manuf_share</t>
  </si>
  <si>
    <t>Miami</t>
  </si>
  <si>
    <t>Atlanta</t>
  </si>
  <si>
    <t>Houston</t>
  </si>
  <si>
    <t>Tampa</t>
  </si>
  <si>
    <t>Dallas</t>
  </si>
  <si>
    <t>LosAngeles</t>
  </si>
  <si>
    <t>City</t>
  </si>
  <si>
    <t>Avg Wage Trend (Slope)</t>
  </si>
  <si>
    <t>Avg Unemployment</t>
  </si>
  <si>
    <t>Avg Population</t>
  </si>
  <si>
    <t>Avg Low Skill Share</t>
  </si>
  <si>
    <t>Avg Manuf Share</t>
  </si>
  <si>
    <t>Year</t>
  </si>
  <si>
    <t>Donor</t>
  </si>
  <si>
    <t>Weight</t>
  </si>
  <si>
    <t>Sum of Weights</t>
  </si>
  <si>
    <t>Miami Predictors (1975-79)</t>
  </si>
  <si>
    <t>Unemployment</t>
  </si>
  <si>
    <t>Population</t>
  </si>
  <si>
    <t>Low Skill Share</t>
  </si>
  <si>
    <t>Manuf Share</t>
  </si>
  <si>
    <t>Donor Predictors</t>
  </si>
  <si>
    <t>Miami Predictor Averages (Pre-Treatment: 1975–1979)</t>
  </si>
  <si>
    <t>Donor Predictor Averages (Pre-Treatment: 1975–1979)</t>
  </si>
  <si>
    <t>Synthetic Miami Predictors (Weighted Averages)</t>
  </si>
  <si>
    <t>Synthetic Miami Predictors</t>
  </si>
  <si>
    <t>Predictor Fit</t>
  </si>
  <si>
    <t>Unemployment Diff²</t>
  </si>
  <si>
    <t>Population Diff²</t>
  </si>
  <si>
    <t>Low Skill Share Diff²</t>
  </si>
  <si>
    <t>Manuf Share Diff²</t>
  </si>
  <si>
    <t>Sum of Squared Diffs</t>
  </si>
  <si>
    <t>Predictor Fit (Squared Differences)</t>
  </si>
  <si>
    <t>(Objective Function)</t>
  </si>
  <si>
    <t>Miami Wage</t>
  </si>
  <si>
    <t>Synthetic Wage</t>
  </si>
  <si>
    <t>Squared Diff</t>
  </si>
  <si>
    <t>Wage Paths and Pre-Treatment Fit</t>
  </si>
  <si>
    <t>Donor Wages Table</t>
  </si>
  <si>
    <t>Pre-Treatment Fit Total</t>
  </si>
  <si>
    <t>Objective (Minimise)</t>
  </si>
  <si>
    <t>Final Donor Weights</t>
  </si>
  <si>
    <t>Sum</t>
  </si>
  <si>
    <t>Summary of Results Table</t>
  </si>
  <si>
    <t>Predictor</t>
  </si>
  <si>
    <t>Synthetic Miami</t>
  </si>
  <si>
    <t>Difference</t>
  </si>
  <si>
    <t>Predictor Balance Check</t>
  </si>
  <si>
    <t>Pre-Treatment Wage Fit Summary</t>
  </si>
  <si>
    <t>Pre-Treatment Wage RMSE</t>
  </si>
  <si>
    <t>Post-Treatment Gap Summary</t>
  </si>
  <si>
    <t>Gap (Miami - Synthetic)</t>
  </si>
  <si>
    <t>Average Post-Treatment Gap</t>
  </si>
  <si>
    <t>Houston Wage</t>
  </si>
  <si>
    <t>Sum of weights</t>
  </si>
  <si>
    <t>Donor Predictor Averages</t>
  </si>
  <si>
    <t>Donor Wages Helper Table</t>
  </si>
  <si>
    <t>Wage Paths and Fit</t>
  </si>
  <si>
    <t>Pre-treatment wage fit</t>
  </si>
  <si>
    <t>Combined Objective Function</t>
  </si>
  <si>
    <t>Objective</t>
  </si>
  <si>
    <t>Post-Treatment Gaps</t>
  </si>
  <si>
    <t>Gap (Miami − Synthetic)</t>
  </si>
  <si>
    <t>Avg Post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</si>
</sst>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Weekly Wages by City (1975–1984)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'Q2'!$B$63</c:f>
              <c:strCache>
                <c:ptCount val="1"/>
                <c:pt idx="0">
                  <c:v>Miami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'Q2'!$A$64:$A$73</c:f>
              <c:numCache>
                <c:formatCode>General</c:formatCode>
                <c:ptCount val="10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</c:numCache>
            </c:numRef>
          </c:cat>
          <c:val>
            <c:numRef>
              <c:f>'Q2'!$B$64:$B$73</c:f>
              <c:numCache>
                <c:formatCode>General</c:formatCode>
                <c:ptCount val="10"/>
                <c:pt idx="0">
                  <c:v>390</c:v>
                </c:pt>
                <c:pt idx="1">
                  <c:v>395</c:v>
                </c:pt>
                <c:pt idx="2">
                  <c:v>398</c:v>
                </c:pt>
                <c:pt idx="3">
                  <c:v>402</c:v>
                </c:pt>
                <c:pt idx="4">
                  <c:v>405</c:v>
                </c:pt>
                <c:pt idx="5">
                  <c:v>400</c:v>
                </c:pt>
                <c:pt idx="6">
                  <c:v>392</c:v>
                </c:pt>
                <c:pt idx="7">
                  <c:v>385</c:v>
                </c:pt>
                <c:pt idx="8">
                  <c:v>388</c:v>
                </c:pt>
                <c:pt idx="9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DD-4390-8D78-6C6BD583D970}"/>
            </c:ext>
          </c:extLst>
        </c:ser>
        <c:ser>
          <c:idx val="1"/>
          <c:order val="1"/>
          <c:tx>
            <c:strRef>
              <c:f>'Q2'!$C$63</c:f>
              <c:strCache>
                <c:ptCount val="1"/>
                <c:pt idx="0">
                  <c:v>Atlanta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'Q2'!$A$64:$A$73</c:f>
              <c:numCache>
                <c:formatCode>General</c:formatCode>
                <c:ptCount val="10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</c:numCache>
            </c:numRef>
          </c:cat>
          <c:val>
            <c:numRef>
              <c:f>'Q2'!$C$64:$C$73</c:f>
              <c:numCache>
                <c:formatCode>General</c:formatCode>
                <c:ptCount val="10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398</c:v>
                </c:pt>
                <c:pt idx="5">
                  <c:v>402</c:v>
                </c:pt>
                <c:pt idx="6">
                  <c:v>405</c:v>
                </c:pt>
                <c:pt idx="7">
                  <c:v>408</c:v>
                </c:pt>
                <c:pt idx="8">
                  <c:v>410</c:v>
                </c:pt>
                <c:pt idx="9">
                  <c:v>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DD-4390-8D78-6C6BD583D970}"/>
            </c:ext>
          </c:extLst>
        </c:ser>
        <c:ser>
          <c:idx val="2"/>
          <c:order val="2"/>
          <c:tx>
            <c:strRef>
              <c:f>'Q2'!$D$63</c:f>
              <c:strCache>
                <c:ptCount val="1"/>
                <c:pt idx="0">
                  <c:v>Houston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'Q2'!$A$64:$A$73</c:f>
              <c:numCache>
                <c:formatCode>General</c:formatCode>
                <c:ptCount val="10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</c:numCache>
            </c:numRef>
          </c:cat>
          <c:val>
            <c:numRef>
              <c:f>'Q2'!$D$64:$D$73</c:f>
              <c:numCache>
                <c:formatCode>General</c:formatCode>
                <c:ptCount val="10"/>
                <c:pt idx="0">
                  <c:v>395</c:v>
                </c:pt>
                <c:pt idx="1">
                  <c:v>400</c:v>
                </c:pt>
                <c:pt idx="2">
                  <c:v>405</c:v>
                </c:pt>
                <c:pt idx="3">
                  <c:v>410</c:v>
                </c:pt>
                <c:pt idx="4">
                  <c:v>415</c:v>
                </c:pt>
                <c:pt idx="5">
                  <c:v>420</c:v>
                </c:pt>
                <c:pt idx="6">
                  <c:v>425</c:v>
                </c:pt>
                <c:pt idx="7">
                  <c:v>428</c:v>
                </c:pt>
                <c:pt idx="8">
                  <c:v>430</c:v>
                </c:pt>
                <c:pt idx="9">
                  <c:v>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DD-4390-8D78-6C6BD583D970}"/>
            </c:ext>
          </c:extLst>
        </c:ser>
        <c:ser>
          <c:idx val="3"/>
          <c:order val="3"/>
          <c:tx>
            <c:strRef>
              <c:f>'Q2'!$E$63</c:f>
              <c:strCache>
                <c:ptCount val="1"/>
                <c:pt idx="0">
                  <c:v>Tampa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'Q2'!$A$64:$A$73</c:f>
              <c:numCache>
                <c:formatCode>General</c:formatCode>
                <c:ptCount val="10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</c:numCache>
            </c:numRef>
          </c:cat>
          <c:val>
            <c:numRef>
              <c:f>'Q2'!$E$64:$E$73</c:f>
              <c:numCache>
                <c:formatCode>General</c:formatCode>
                <c:ptCount val="10"/>
                <c:pt idx="0">
                  <c:v>385</c:v>
                </c:pt>
                <c:pt idx="1">
                  <c:v>390</c:v>
                </c:pt>
                <c:pt idx="2">
                  <c:v>395</c:v>
                </c:pt>
                <c:pt idx="3">
                  <c:v>398</c:v>
                </c:pt>
                <c:pt idx="4">
                  <c:v>400</c:v>
                </c:pt>
                <c:pt idx="5">
                  <c:v>402</c:v>
                </c:pt>
                <c:pt idx="6">
                  <c:v>405</c:v>
                </c:pt>
                <c:pt idx="7">
                  <c:v>407</c:v>
                </c:pt>
                <c:pt idx="8">
                  <c:v>408</c:v>
                </c:pt>
                <c:pt idx="9">
                  <c:v>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DD-4390-8D78-6C6BD583D970}"/>
            </c:ext>
          </c:extLst>
        </c:ser>
        <c:ser>
          <c:idx val="4"/>
          <c:order val="4"/>
          <c:tx>
            <c:strRef>
              <c:f>'Q2'!$F$63</c:f>
              <c:strCache>
                <c:ptCount val="1"/>
                <c:pt idx="0">
                  <c:v>Dallas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'Q2'!$A$64:$A$73</c:f>
              <c:numCache>
                <c:formatCode>General</c:formatCode>
                <c:ptCount val="10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</c:numCache>
            </c:numRef>
          </c:cat>
          <c:val>
            <c:numRef>
              <c:f>'Q2'!$F$64:$F$73</c:f>
              <c:numCache>
                <c:formatCode>General</c:formatCode>
                <c:ptCount val="10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418</c:v>
                </c:pt>
                <c:pt idx="5">
                  <c:v>420</c:v>
                </c:pt>
                <c:pt idx="6">
                  <c:v>423</c:v>
                </c:pt>
                <c:pt idx="7">
                  <c:v>425</c:v>
                </c:pt>
                <c:pt idx="8">
                  <c:v>428</c:v>
                </c:pt>
                <c:pt idx="9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DD-4390-8D78-6C6BD583D970}"/>
            </c:ext>
          </c:extLst>
        </c:ser>
        <c:ser>
          <c:idx val="5"/>
          <c:order val="5"/>
          <c:tx>
            <c:strRef>
              <c:f>'Q2'!$G$63</c:f>
              <c:strCache>
                <c:ptCount val="1"/>
                <c:pt idx="0">
                  <c:v>LosAngeles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'Q2'!$A$64:$A$73</c:f>
              <c:numCache>
                <c:formatCode>General</c:formatCode>
                <c:ptCount val="10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</c:numCache>
            </c:numRef>
          </c:cat>
          <c:val>
            <c:numRef>
              <c:f>'Q2'!$G$64:$G$73</c:f>
              <c:numCache>
                <c:formatCode>General</c:formatCode>
                <c:ptCount val="10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448</c:v>
                </c:pt>
                <c:pt idx="7">
                  <c:v>450</c:v>
                </c:pt>
                <c:pt idx="8">
                  <c:v>452</c:v>
                </c:pt>
                <c:pt idx="9">
                  <c:v>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DD-4390-8D78-6C6BD583D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972704"/>
        <c:axId val="762974144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'Q2'!$A$63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'Q2'!$A$64:$A$73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1975</c:v>
                      </c:pt>
                      <c:pt idx="1">
                        <c:v>1976</c:v>
                      </c:pt>
                      <c:pt idx="2">
                        <c:v>1977</c:v>
                      </c:pt>
                      <c:pt idx="3">
                        <c:v>1978</c:v>
                      </c:pt>
                      <c:pt idx="4">
                        <c:v>1979</c:v>
                      </c:pt>
                      <c:pt idx="5">
                        <c:v>1980</c:v>
                      </c:pt>
                      <c:pt idx="6">
                        <c:v>1981</c:v>
                      </c:pt>
                      <c:pt idx="7">
                        <c:v>1982</c:v>
                      </c:pt>
                      <c:pt idx="8">
                        <c:v>1983</c:v>
                      </c:pt>
                      <c:pt idx="9">
                        <c:v>1984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'Q2'!$A$64:$A$73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1975</c:v>
                      </c:pt>
                      <c:pt idx="1">
                        <c:v>1976</c:v>
                      </c:pt>
                      <c:pt idx="2">
                        <c:v>1977</c:v>
                      </c:pt>
                      <c:pt idx="3">
                        <c:v>1978</c:v>
                      </c:pt>
                      <c:pt idx="4">
                        <c:v>1979</c:v>
                      </c:pt>
                      <c:pt idx="5">
                        <c:v>1980</c:v>
                      </c:pt>
                      <c:pt idx="6">
                        <c:v>1981</c:v>
                      </c:pt>
                      <c:pt idx="7">
                        <c:v>1982</c:v>
                      </c:pt>
                      <c:pt idx="8">
                        <c:v>1983</c:v>
                      </c:pt>
                      <c:pt idx="9">
                        <c:v>1984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9DD-4390-8D78-6C6BD583D970}"/>
                  </c:ext>
                </c:extLst>
              </c15:ser>
            </c15:filteredLineSeries>
          </c:ext>
        </c:extLst>
      </c:lineChart>
      <c:catAx>
        <c:axId val="76297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74144"/>
        <c:crosses val="autoZero"/>
        <c:auto val="1"/>
        <c:lblAlgn val="ctr"/>
        <c:lblOffset val="100"/>
        <c:noMultiLvlLbl val="0"/>
      </c:catAx>
      <c:valAx>
        <c:axId val="76297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7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603250</xdr:colOff>
      <xdr:row>58</xdr:row>
      <xdr:rowOff>168275</xdr:rowOff>
    </xdr:from>
    <xdr:to>
      <xdr:col>14</xdr:col>
      <xdr:colOff>552450</xdr:colOff>
      <xdr:row>72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040220-F7DB-2E49-71E8-4BF30F5D6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533400</xdr:colOff>
      <xdr:row>66</xdr:row>
      <xdr:rowOff>133350</xdr:rowOff>
    </xdr:from>
    <xdr:to>
      <xdr:col>13</xdr:col>
      <xdr:colOff>304800</xdr:colOff>
      <xdr:row>67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3AE69F-B61D-C9B8-FDE7-7A15F63C5FD9}"/>
            </a:ext>
          </a:extLst>
        </xdr:cNvPr>
        <xdr:cNvSpPr txBox="1"/>
      </xdr:nvSpPr>
      <xdr:spPr>
        <a:xfrm>
          <a:off x="8566150" y="13544550"/>
          <a:ext cx="1092200" cy="222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Mariel Boatlift (1980)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0.55278</cdr:x>
      <cdr:y>0.17708</cdr:y>
    </cdr:from>
    <cdr:to>
      <cdr:x>0.55417</cdr:x>
      <cdr:y>0.68866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F1579780-39F6-EB3F-5511-4FD0FCA7D9D8}"/>
            </a:ext>
          </a:extLst>
        </cdr:cNvPr>
        <cdr:cNvCxnSpPr/>
      </cdr:nvCxnSpPr>
      <cdr:spPr>
        <a:xfrm xmlns:a="http://schemas.openxmlformats.org/drawingml/2006/main" flipH="1" flipV="1">
          <a:off x="2527300" y="485775"/>
          <a:ext cx="6350" cy="140335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9810-E270-FA4B-804C-A4771B15BB5D}">
  <dimension ref="A1:G66"/>
  <sheetViews>
    <sheetView topLeftCell="A50" workbookViewId="0">
      <selection sqref="A1:G66"/>
    </sheetView>
  </sheetViews>
  <sheetFormatPr defaultColWidth="10.6640625" defaultRowHeight="16" x14ac:dyDescent="0.4"/>
  <cols>
    <col min="1" max="1" width="29.6640625" customWidth="1"/>
    <col min="4" max="4" width="19.33203125" customWidth="1"/>
    <col min="5" max="5" width="20.6640625" customWidth="1"/>
    <col min="6" max="6" width="22.6640625" customWidth="1"/>
    <col min="7" max="7" width="17.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>
        <v>1975</v>
      </c>
      <c r="C2">
        <v>390</v>
      </c>
      <c r="D2">
        <v>6.5</v>
      </c>
      <c r="E2">
        <v>1.8</v>
      </c>
      <c r="F2">
        <v>0.42</v>
      </c>
      <c r="G2">
        <v>0.18</v>
      </c>
    </row>
    <row r="3" spans="1:7" x14ac:dyDescent="0.4">
      <c r="A3" t="s">
        <v>7</v>
      </c>
      <c r="B3">
        <v>1976</v>
      </c>
      <c r="C3">
        <v>395</v>
      </c>
      <c r="D3">
        <v>6.2</v>
      </c>
      <c r="E3">
        <v>1.85</v>
      </c>
      <c r="F3">
        <v>0.41</v>
      </c>
      <c r="G3">
        <v>0.17</v>
      </c>
    </row>
    <row r="4" spans="1:7" x14ac:dyDescent="0.4">
      <c r="A4" t="s">
        <v>7</v>
      </c>
      <c r="B4">
        <v>1977</v>
      </c>
      <c r="C4">
        <v>398</v>
      </c>
      <c r="D4">
        <v>6</v>
      </c>
      <c r="E4">
        <v>1.9</v>
      </c>
      <c r="F4">
        <v>0.41</v>
      </c>
      <c r="G4">
        <v>0.17</v>
      </c>
    </row>
    <row r="5" spans="1:7" x14ac:dyDescent="0.4">
      <c r="A5" t="s">
        <v>7</v>
      </c>
      <c r="B5">
        <v>1978</v>
      </c>
      <c r="C5">
        <v>402</v>
      </c>
      <c r="D5">
        <v>5.8</v>
      </c>
      <c r="E5">
        <v>1.95</v>
      </c>
      <c r="F5">
        <v>0.4</v>
      </c>
      <c r="G5">
        <v>0.16</v>
      </c>
    </row>
    <row r="6" spans="1:7" x14ac:dyDescent="0.4">
      <c r="A6" t="s">
        <v>7</v>
      </c>
      <c r="B6">
        <v>1979</v>
      </c>
      <c r="C6">
        <v>405</v>
      </c>
      <c r="D6">
        <v>5.6</v>
      </c>
      <c r="E6">
        <v>2</v>
      </c>
      <c r="F6">
        <v>0.4</v>
      </c>
      <c r="G6">
        <v>0.16</v>
      </c>
    </row>
    <row r="7" spans="1:7" x14ac:dyDescent="0.4">
      <c r="A7" t="s">
        <v>7</v>
      </c>
      <c r="B7">
        <v>1980</v>
      </c>
      <c r="C7">
        <v>400</v>
      </c>
      <c r="D7">
        <v>7.5</v>
      </c>
      <c r="E7">
        <v>2.1</v>
      </c>
      <c r="F7">
        <v>0.43</v>
      </c>
      <c r="G7">
        <v>0.15</v>
      </c>
    </row>
    <row r="8" spans="1:7" x14ac:dyDescent="0.4">
      <c r="A8" t="s">
        <v>7</v>
      </c>
      <c r="B8">
        <v>1981</v>
      </c>
      <c r="C8">
        <v>392</v>
      </c>
      <c r="D8">
        <v>8</v>
      </c>
      <c r="E8">
        <v>2.2000000000000002</v>
      </c>
      <c r="F8">
        <v>0.44</v>
      </c>
      <c r="G8">
        <v>0.14000000000000001</v>
      </c>
    </row>
    <row r="9" spans="1:7" x14ac:dyDescent="0.4">
      <c r="A9" t="s">
        <v>7</v>
      </c>
      <c r="B9">
        <v>1982</v>
      </c>
      <c r="C9">
        <v>385</v>
      </c>
      <c r="D9">
        <v>8.5</v>
      </c>
      <c r="E9">
        <v>2.2999999999999998</v>
      </c>
      <c r="F9">
        <v>0.45</v>
      </c>
      <c r="G9">
        <v>0.13</v>
      </c>
    </row>
    <row r="10" spans="1:7" x14ac:dyDescent="0.4">
      <c r="A10" t="s">
        <v>7</v>
      </c>
      <c r="B10">
        <v>1983</v>
      </c>
      <c r="C10">
        <v>388</v>
      </c>
      <c r="D10">
        <v>8.1999999999999993</v>
      </c>
      <c r="E10">
        <v>2.35</v>
      </c>
      <c r="F10">
        <v>0.45</v>
      </c>
      <c r="G10">
        <v>0.13</v>
      </c>
    </row>
    <row r="11" spans="1:7" x14ac:dyDescent="0.4">
      <c r="A11" t="s">
        <v>7</v>
      </c>
      <c r="B11">
        <v>1984</v>
      </c>
      <c r="C11">
        <v>390</v>
      </c>
      <c r="D11">
        <v>7.8</v>
      </c>
      <c r="E11">
        <v>2.4</v>
      </c>
      <c r="F11">
        <v>0.44</v>
      </c>
      <c r="G11">
        <v>0.13</v>
      </c>
    </row>
    <row r="13" spans="1:7" x14ac:dyDescent="0.4">
      <c r="A13" t="s">
        <v>8</v>
      </c>
      <c r="B13">
        <v>1975</v>
      </c>
      <c r="C13">
        <v>380</v>
      </c>
      <c r="D13">
        <v>6</v>
      </c>
      <c r="E13">
        <v>2.5</v>
      </c>
      <c r="F13">
        <v>0.4</v>
      </c>
      <c r="G13">
        <v>0.2</v>
      </c>
    </row>
    <row r="14" spans="1:7" x14ac:dyDescent="0.4">
      <c r="A14" t="s">
        <v>8</v>
      </c>
      <c r="B14">
        <v>1976</v>
      </c>
      <c r="C14">
        <v>385</v>
      </c>
      <c r="D14">
        <v>5.8</v>
      </c>
      <c r="E14">
        <v>2.5499999999999998</v>
      </c>
      <c r="F14">
        <v>0.4</v>
      </c>
      <c r="G14">
        <v>0.19</v>
      </c>
    </row>
    <row r="15" spans="1:7" x14ac:dyDescent="0.4">
      <c r="A15" t="s">
        <v>8</v>
      </c>
      <c r="B15">
        <v>1977</v>
      </c>
      <c r="C15">
        <v>390</v>
      </c>
      <c r="D15">
        <v>5.6</v>
      </c>
      <c r="E15">
        <v>2.6</v>
      </c>
      <c r="F15">
        <v>0.39</v>
      </c>
      <c r="G15">
        <v>0.19</v>
      </c>
    </row>
    <row r="16" spans="1:7" x14ac:dyDescent="0.4">
      <c r="A16" t="s">
        <v>8</v>
      </c>
      <c r="B16">
        <v>1978</v>
      </c>
      <c r="C16">
        <v>395</v>
      </c>
      <c r="D16">
        <v>5.4</v>
      </c>
      <c r="E16">
        <v>2.65</v>
      </c>
      <c r="F16">
        <v>0.39</v>
      </c>
      <c r="G16">
        <v>0.18</v>
      </c>
    </row>
    <row r="17" spans="1:7" x14ac:dyDescent="0.4">
      <c r="A17" t="s">
        <v>8</v>
      </c>
      <c r="B17">
        <v>1979</v>
      </c>
      <c r="C17">
        <v>398</v>
      </c>
      <c r="D17">
        <v>5.2</v>
      </c>
      <c r="E17">
        <v>2.7</v>
      </c>
      <c r="F17">
        <v>0.38</v>
      </c>
      <c r="G17">
        <v>0.18</v>
      </c>
    </row>
    <row r="18" spans="1:7" x14ac:dyDescent="0.4">
      <c r="A18" t="s">
        <v>8</v>
      </c>
      <c r="B18">
        <v>1980</v>
      </c>
      <c r="C18">
        <v>402</v>
      </c>
      <c r="D18">
        <v>6.8</v>
      </c>
      <c r="E18">
        <v>2.75</v>
      </c>
      <c r="F18">
        <v>0.39</v>
      </c>
      <c r="G18">
        <v>0.17</v>
      </c>
    </row>
    <row r="19" spans="1:7" x14ac:dyDescent="0.4">
      <c r="A19" t="s">
        <v>8</v>
      </c>
      <c r="B19">
        <v>1981</v>
      </c>
      <c r="C19">
        <v>405</v>
      </c>
      <c r="D19">
        <v>7</v>
      </c>
      <c r="E19">
        <v>2.8</v>
      </c>
      <c r="F19">
        <v>0.39</v>
      </c>
      <c r="G19">
        <v>0.17</v>
      </c>
    </row>
    <row r="20" spans="1:7" x14ac:dyDescent="0.4">
      <c r="A20" t="s">
        <v>8</v>
      </c>
      <c r="B20">
        <v>1982</v>
      </c>
      <c r="C20">
        <v>408</v>
      </c>
      <c r="D20">
        <v>7.5</v>
      </c>
      <c r="E20">
        <v>2.85</v>
      </c>
      <c r="F20">
        <v>0.4</v>
      </c>
      <c r="G20">
        <v>0.16</v>
      </c>
    </row>
    <row r="21" spans="1:7" x14ac:dyDescent="0.4">
      <c r="A21" t="s">
        <v>8</v>
      </c>
      <c r="B21">
        <v>1983</v>
      </c>
      <c r="C21">
        <v>410</v>
      </c>
      <c r="D21">
        <v>7.2</v>
      </c>
      <c r="E21">
        <v>2.9</v>
      </c>
      <c r="F21">
        <v>0.4</v>
      </c>
      <c r="G21">
        <v>0.16</v>
      </c>
    </row>
    <row r="22" spans="1:7" x14ac:dyDescent="0.4">
      <c r="A22" t="s">
        <v>8</v>
      </c>
      <c r="B22">
        <v>1984</v>
      </c>
      <c r="C22">
        <v>412</v>
      </c>
      <c r="D22">
        <v>6.9</v>
      </c>
      <c r="E22">
        <v>2.95</v>
      </c>
      <c r="F22">
        <v>0.4</v>
      </c>
      <c r="G22">
        <v>0.16</v>
      </c>
    </row>
    <row r="24" spans="1:7" x14ac:dyDescent="0.4">
      <c r="A24" t="s">
        <v>9</v>
      </c>
      <c r="B24">
        <v>1975</v>
      </c>
      <c r="C24">
        <v>395</v>
      </c>
      <c r="D24">
        <v>5.5</v>
      </c>
      <c r="E24">
        <v>3</v>
      </c>
      <c r="F24">
        <v>0.41</v>
      </c>
      <c r="G24">
        <v>0.25</v>
      </c>
    </row>
    <row r="25" spans="1:7" x14ac:dyDescent="0.4">
      <c r="A25" t="s">
        <v>9</v>
      </c>
      <c r="B25">
        <v>1976</v>
      </c>
      <c r="C25">
        <v>400</v>
      </c>
      <c r="D25">
        <v>5.3</v>
      </c>
      <c r="E25">
        <v>3.05</v>
      </c>
      <c r="F25">
        <v>0.41</v>
      </c>
      <c r="G25">
        <v>0.24</v>
      </c>
    </row>
    <row r="26" spans="1:7" x14ac:dyDescent="0.4">
      <c r="A26" t="s">
        <v>9</v>
      </c>
      <c r="B26">
        <v>1977</v>
      </c>
      <c r="C26">
        <v>405</v>
      </c>
      <c r="D26">
        <v>5.0999999999999996</v>
      </c>
      <c r="E26">
        <v>3.1</v>
      </c>
      <c r="F26">
        <v>0.4</v>
      </c>
      <c r="G26">
        <v>0.24</v>
      </c>
    </row>
    <row r="27" spans="1:7" x14ac:dyDescent="0.4">
      <c r="A27" t="s">
        <v>9</v>
      </c>
      <c r="B27">
        <v>1978</v>
      </c>
      <c r="C27">
        <v>410</v>
      </c>
      <c r="D27">
        <v>5</v>
      </c>
      <c r="E27">
        <v>3.15</v>
      </c>
      <c r="F27">
        <v>0.4</v>
      </c>
      <c r="G27">
        <v>0.23</v>
      </c>
    </row>
    <row r="28" spans="1:7" x14ac:dyDescent="0.4">
      <c r="A28" t="s">
        <v>9</v>
      </c>
      <c r="B28">
        <v>1979</v>
      </c>
      <c r="C28">
        <v>415</v>
      </c>
      <c r="D28">
        <v>4.9000000000000004</v>
      </c>
      <c r="E28">
        <v>3.2</v>
      </c>
      <c r="F28">
        <v>0.39</v>
      </c>
      <c r="G28">
        <v>0.23</v>
      </c>
    </row>
    <row r="29" spans="1:7" x14ac:dyDescent="0.4">
      <c r="A29" t="s">
        <v>9</v>
      </c>
      <c r="B29">
        <v>1980</v>
      </c>
      <c r="C29">
        <v>420</v>
      </c>
      <c r="D29">
        <v>6.5</v>
      </c>
      <c r="E29">
        <v>3.3</v>
      </c>
      <c r="F29">
        <v>0.4</v>
      </c>
      <c r="G29">
        <v>0.22</v>
      </c>
    </row>
    <row r="30" spans="1:7" x14ac:dyDescent="0.4">
      <c r="A30" t="s">
        <v>9</v>
      </c>
      <c r="B30">
        <v>1981</v>
      </c>
      <c r="C30">
        <v>425</v>
      </c>
      <c r="D30">
        <v>6.8</v>
      </c>
      <c r="E30">
        <v>3.35</v>
      </c>
      <c r="F30">
        <v>0.4</v>
      </c>
      <c r="G30">
        <v>0.22</v>
      </c>
    </row>
    <row r="31" spans="1:7" x14ac:dyDescent="0.4">
      <c r="A31" t="s">
        <v>9</v>
      </c>
      <c r="B31">
        <v>1982</v>
      </c>
      <c r="C31">
        <v>428</v>
      </c>
      <c r="D31">
        <v>7.2</v>
      </c>
      <c r="E31">
        <v>3.4</v>
      </c>
      <c r="F31">
        <v>0.41</v>
      </c>
      <c r="G31">
        <v>0.21</v>
      </c>
    </row>
    <row r="32" spans="1:7" x14ac:dyDescent="0.4">
      <c r="A32" t="s">
        <v>9</v>
      </c>
      <c r="B32">
        <v>1983</v>
      </c>
      <c r="C32">
        <v>430</v>
      </c>
      <c r="D32">
        <v>7</v>
      </c>
      <c r="E32">
        <v>3.45</v>
      </c>
      <c r="F32">
        <v>0.41</v>
      </c>
      <c r="G32">
        <v>0.21</v>
      </c>
    </row>
    <row r="33" spans="1:7" x14ac:dyDescent="0.4">
      <c r="A33" t="s">
        <v>9</v>
      </c>
      <c r="B33">
        <v>1984</v>
      </c>
      <c r="C33">
        <v>432</v>
      </c>
      <c r="D33">
        <v>6.7</v>
      </c>
      <c r="E33">
        <v>3.5</v>
      </c>
      <c r="F33">
        <v>0.41</v>
      </c>
      <c r="G33">
        <v>0.21</v>
      </c>
    </row>
    <row r="35" spans="1:7" x14ac:dyDescent="0.4">
      <c r="A35" t="s">
        <v>10</v>
      </c>
      <c r="B35">
        <v>1975</v>
      </c>
      <c r="C35">
        <v>385</v>
      </c>
      <c r="D35">
        <v>6.3</v>
      </c>
      <c r="E35">
        <v>1.5</v>
      </c>
      <c r="F35">
        <v>0.42</v>
      </c>
      <c r="G35">
        <v>0.19</v>
      </c>
    </row>
    <row r="36" spans="1:7" x14ac:dyDescent="0.4">
      <c r="A36" t="s">
        <v>10</v>
      </c>
      <c r="B36">
        <v>1976</v>
      </c>
      <c r="C36">
        <v>390</v>
      </c>
      <c r="D36">
        <v>6</v>
      </c>
      <c r="E36">
        <v>1.55</v>
      </c>
      <c r="F36">
        <v>0.42</v>
      </c>
      <c r="G36">
        <v>0.18</v>
      </c>
    </row>
    <row r="37" spans="1:7" x14ac:dyDescent="0.4">
      <c r="A37" t="s">
        <v>10</v>
      </c>
      <c r="B37">
        <v>1977</v>
      </c>
      <c r="C37">
        <v>395</v>
      </c>
      <c r="D37">
        <v>5.8</v>
      </c>
      <c r="E37">
        <v>1.6</v>
      </c>
      <c r="F37">
        <v>0.41</v>
      </c>
      <c r="G37">
        <v>0.18</v>
      </c>
    </row>
    <row r="38" spans="1:7" x14ac:dyDescent="0.4">
      <c r="A38" t="s">
        <v>10</v>
      </c>
      <c r="B38">
        <v>1978</v>
      </c>
      <c r="C38">
        <v>398</v>
      </c>
      <c r="D38">
        <v>5.6</v>
      </c>
      <c r="E38">
        <v>1.65</v>
      </c>
      <c r="F38">
        <v>0.41</v>
      </c>
      <c r="G38">
        <v>0.17</v>
      </c>
    </row>
    <row r="39" spans="1:7" x14ac:dyDescent="0.4">
      <c r="A39" t="s">
        <v>10</v>
      </c>
      <c r="B39">
        <v>1979</v>
      </c>
      <c r="C39">
        <v>400</v>
      </c>
      <c r="D39">
        <v>5.5</v>
      </c>
      <c r="E39">
        <v>1.7</v>
      </c>
      <c r="F39">
        <v>0.4</v>
      </c>
      <c r="G39">
        <v>0.17</v>
      </c>
    </row>
    <row r="40" spans="1:7" x14ac:dyDescent="0.4">
      <c r="A40" t="s">
        <v>10</v>
      </c>
      <c r="B40">
        <v>1980</v>
      </c>
      <c r="C40">
        <v>402</v>
      </c>
      <c r="D40">
        <v>7.2</v>
      </c>
      <c r="E40">
        <v>1.75</v>
      </c>
      <c r="F40">
        <v>0.41</v>
      </c>
      <c r="G40">
        <v>0.16</v>
      </c>
    </row>
    <row r="41" spans="1:7" x14ac:dyDescent="0.4">
      <c r="A41" t="s">
        <v>10</v>
      </c>
      <c r="B41">
        <v>1981</v>
      </c>
      <c r="C41">
        <v>405</v>
      </c>
      <c r="D41">
        <v>7.5</v>
      </c>
      <c r="E41">
        <v>1.8</v>
      </c>
      <c r="F41">
        <v>0.41</v>
      </c>
      <c r="G41">
        <v>0.16</v>
      </c>
    </row>
    <row r="42" spans="1:7" x14ac:dyDescent="0.4">
      <c r="A42" t="s">
        <v>10</v>
      </c>
      <c r="B42">
        <v>1982</v>
      </c>
      <c r="C42">
        <v>407</v>
      </c>
      <c r="D42">
        <v>8</v>
      </c>
      <c r="E42">
        <v>1.85</v>
      </c>
      <c r="F42">
        <v>0.42</v>
      </c>
      <c r="G42">
        <v>0.15</v>
      </c>
    </row>
    <row r="43" spans="1:7" x14ac:dyDescent="0.4">
      <c r="A43" t="s">
        <v>10</v>
      </c>
      <c r="B43">
        <v>1983</v>
      </c>
      <c r="C43">
        <v>408</v>
      </c>
      <c r="D43">
        <v>7.8</v>
      </c>
      <c r="E43">
        <v>1.9</v>
      </c>
      <c r="F43">
        <v>0.42</v>
      </c>
      <c r="G43">
        <v>0.15</v>
      </c>
    </row>
    <row r="44" spans="1:7" x14ac:dyDescent="0.4">
      <c r="A44" t="s">
        <v>10</v>
      </c>
      <c r="B44">
        <v>1984</v>
      </c>
      <c r="C44">
        <v>410</v>
      </c>
      <c r="D44">
        <v>7.4</v>
      </c>
      <c r="E44">
        <v>1.95</v>
      </c>
      <c r="F44">
        <v>0.42</v>
      </c>
      <c r="G44">
        <v>0.15</v>
      </c>
    </row>
    <row r="46" spans="1:7" x14ac:dyDescent="0.4">
      <c r="A46" t="s">
        <v>11</v>
      </c>
      <c r="B46">
        <v>1975</v>
      </c>
      <c r="C46">
        <v>400</v>
      </c>
      <c r="D46">
        <v>5.7</v>
      </c>
      <c r="E46">
        <v>2.8</v>
      </c>
      <c r="F46">
        <v>0.39</v>
      </c>
      <c r="G46">
        <v>0.23</v>
      </c>
    </row>
    <row r="47" spans="1:7" x14ac:dyDescent="0.4">
      <c r="A47" t="s">
        <v>11</v>
      </c>
      <c r="B47">
        <v>1976</v>
      </c>
      <c r="C47">
        <v>405</v>
      </c>
      <c r="D47">
        <v>5.5</v>
      </c>
      <c r="E47">
        <v>2.85</v>
      </c>
      <c r="F47">
        <v>0.39</v>
      </c>
      <c r="G47">
        <v>0.22</v>
      </c>
    </row>
    <row r="48" spans="1:7" x14ac:dyDescent="0.4">
      <c r="A48" t="s">
        <v>11</v>
      </c>
      <c r="B48">
        <v>1977</v>
      </c>
      <c r="C48">
        <v>410</v>
      </c>
      <c r="D48">
        <v>5.3</v>
      </c>
      <c r="E48">
        <v>2.9</v>
      </c>
      <c r="F48">
        <v>0.38</v>
      </c>
      <c r="G48">
        <v>0.22</v>
      </c>
    </row>
    <row r="49" spans="1:7" x14ac:dyDescent="0.4">
      <c r="A49" t="s">
        <v>11</v>
      </c>
      <c r="B49">
        <v>1978</v>
      </c>
      <c r="C49">
        <v>415</v>
      </c>
      <c r="D49">
        <v>5.2</v>
      </c>
      <c r="E49">
        <v>2.95</v>
      </c>
      <c r="F49">
        <v>0.38</v>
      </c>
      <c r="G49">
        <v>0.21</v>
      </c>
    </row>
    <row r="50" spans="1:7" x14ac:dyDescent="0.4">
      <c r="A50" t="s">
        <v>11</v>
      </c>
      <c r="B50">
        <v>1979</v>
      </c>
      <c r="C50">
        <v>418</v>
      </c>
      <c r="D50">
        <v>5.0999999999999996</v>
      </c>
      <c r="E50">
        <v>3</v>
      </c>
      <c r="F50">
        <v>0.37</v>
      </c>
      <c r="G50">
        <v>0.21</v>
      </c>
    </row>
    <row r="51" spans="1:7" x14ac:dyDescent="0.4">
      <c r="A51" t="s">
        <v>11</v>
      </c>
      <c r="B51">
        <v>1980</v>
      </c>
      <c r="C51">
        <v>420</v>
      </c>
      <c r="D51">
        <v>6.6</v>
      </c>
      <c r="E51">
        <v>3.1</v>
      </c>
      <c r="F51">
        <v>0.38</v>
      </c>
      <c r="G51">
        <v>0.2</v>
      </c>
    </row>
    <row r="52" spans="1:7" x14ac:dyDescent="0.4">
      <c r="A52" t="s">
        <v>11</v>
      </c>
      <c r="B52">
        <v>1981</v>
      </c>
      <c r="C52">
        <v>423</v>
      </c>
      <c r="D52">
        <v>6.9</v>
      </c>
      <c r="E52">
        <v>3.15</v>
      </c>
      <c r="F52">
        <v>0.38</v>
      </c>
      <c r="G52">
        <v>0.2</v>
      </c>
    </row>
    <row r="53" spans="1:7" x14ac:dyDescent="0.4">
      <c r="A53" t="s">
        <v>11</v>
      </c>
      <c r="B53">
        <v>1982</v>
      </c>
      <c r="C53">
        <v>425</v>
      </c>
      <c r="D53">
        <v>7.3</v>
      </c>
      <c r="E53">
        <v>3.2</v>
      </c>
      <c r="F53">
        <v>0.39</v>
      </c>
      <c r="G53">
        <v>0.19</v>
      </c>
    </row>
    <row r="54" spans="1:7" x14ac:dyDescent="0.4">
      <c r="A54" t="s">
        <v>11</v>
      </c>
      <c r="B54">
        <v>1983</v>
      </c>
      <c r="C54">
        <v>428</v>
      </c>
      <c r="D54">
        <v>7.1</v>
      </c>
      <c r="E54">
        <v>3.25</v>
      </c>
      <c r="F54">
        <v>0.39</v>
      </c>
      <c r="G54">
        <v>0.19</v>
      </c>
    </row>
    <row r="55" spans="1:7" x14ac:dyDescent="0.4">
      <c r="A55" t="s">
        <v>11</v>
      </c>
      <c r="B55">
        <v>1984</v>
      </c>
      <c r="C55">
        <v>430</v>
      </c>
      <c r="D55">
        <v>6.8</v>
      </c>
      <c r="E55">
        <v>3.3</v>
      </c>
      <c r="F55">
        <v>0.39</v>
      </c>
      <c r="G55">
        <v>0.19</v>
      </c>
    </row>
    <row r="57" spans="1:7" x14ac:dyDescent="0.4">
      <c r="A57" t="s">
        <v>12</v>
      </c>
      <c r="B57">
        <v>1975</v>
      </c>
      <c r="C57">
        <v>420</v>
      </c>
      <c r="D57">
        <v>6.8</v>
      </c>
      <c r="E57">
        <v>5.5</v>
      </c>
      <c r="F57">
        <v>0.43</v>
      </c>
      <c r="G57">
        <v>0.21</v>
      </c>
    </row>
    <row r="58" spans="1:7" x14ac:dyDescent="0.4">
      <c r="A58" t="s">
        <v>12</v>
      </c>
      <c r="B58">
        <v>1976</v>
      </c>
      <c r="C58">
        <v>425</v>
      </c>
      <c r="D58">
        <v>6.6</v>
      </c>
      <c r="E58">
        <v>5.6</v>
      </c>
      <c r="F58">
        <v>0.43</v>
      </c>
      <c r="G58">
        <v>0.21</v>
      </c>
    </row>
    <row r="59" spans="1:7" x14ac:dyDescent="0.4">
      <c r="A59" t="s">
        <v>12</v>
      </c>
      <c r="B59">
        <v>1977</v>
      </c>
      <c r="C59">
        <v>430</v>
      </c>
      <c r="D59">
        <v>6.4</v>
      </c>
      <c r="E59">
        <v>5.7</v>
      </c>
      <c r="F59">
        <v>0.42</v>
      </c>
      <c r="G59">
        <v>0.2</v>
      </c>
    </row>
    <row r="60" spans="1:7" x14ac:dyDescent="0.4">
      <c r="A60" t="s">
        <v>12</v>
      </c>
      <c r="B60">
        <v>1978</v>
      </c>
      <c r="C60">
        <v>435</v>
      </c>
      <c r="D60">
        <v>6.2</v>
      </c>
      <c r="E60">
        <v>5.8</v>
      </c>
      <c r="F60">
        <v>0.42</v>
      </c>
      <c r="G60">
        <v>0.2</v>
      </c>
    </row>
    <row r="61" spans="1:7" x14ac:dyDescent="0.4">
      <c r="A61" t="s">
        <v>12</v>
      </c>
      <c r="B61">
        <v>1979</v>
      </c>
      <c r="C61">
        <v>440</v>
      </c>
      <c r="D61">
        <v>6</v>
      </c>
      <c r="E61">
        <v>5.9</v>
      </c>
      <c r="F61">
        <v>0.41</v>
      </c>
      <c r="G61">
        <v>0.19</v>
      </c>
    </row>
    <row r="62" spans="1:7" x14ac:dyDescent="0.4">
      <c r="A62" t="s">
        <v>12</v>
      </c>
      <c r="B62">
        <v>1980</v>
      </c>
      <c r="C62">
        <v>445</v>
      </c>
      <c r="D62">
        <v>7.8</v>
      </c>
      <c r="E62">
        <v>6</v>
      </c>
      <c r="F62">
        <v>0.42</v>
      </c>
      <c r="G62">
        <v>0.18</v>
      </c>
    </row>
    <row r="63" spans="1:7" x14ac:dyDescent="0.4">
      <c r="A63" t="s">
        <v>12</v>
      </c>
      <c r="B63">
        <v>1981</v>
      </c>
      <c r="C63">
        <v>448</v>
      </c>
      <c r="D63">
        <v>8.1999999999999993</v>
      </c>
      <c r="E63">
        <v>6.1</v>
      </c>
      <c r="F63">
        <v>0.42</v>
      </c>
      <c r="G63">
        <v>0.18</v>
      </c>
    </row>
    <row r="64" spans="1:7" x14ac:dyDescent="0.4">
      <c r="A64" t="s">
        <v>12</v>
      </c>
      <c r="B64">
        <v>1982</v>
      </c>
      <c r="C64">
        <v>450</v>
      </c>
      <c r="D64">
        <v>8.6</v>
      </c>
      <c r="E64">
        <v>6.2</v>
      </c>
      <c r="F64">
        <v>0.43</v>
      </c>
      <c r="G64">
        <v>0.17</v>
      </c>
    </row>
    <row r="65" spans="1:7" x14ac:dyDescent="0.4">
      <c r="A65" t="s">
        <v>12</v>
      </c>
      <c r="B65">
        <v>1983</v>
      </c>
      <c r="C65">
        <v>452</v>
      </c>
      <c r="D65">
        <v>8.4</v>
      </c>
      <c r="E65">
        <v>6.3</v>
      </c>
      <c r="F65">
        <v>0.43</v>
      </c>
      <c r="G65">
        <v>0.17</v>
      </c>
    </row>
    <row r="66" spans="1:7" x14ac:dyDescent="0.4">
      <c r="A66" t="s">
        <v>12</v>
      </c>
      <c r="B66">
        <v>1984</v>
      </c>
      <c r="C66">
        <v>455</v>
      </c>
      <c r="D66">
        <v>8</v>
      </c>
      <c r="E66">
        <v>6.4</v>
      </c>
      <c r="F66">
        <v>0.43</v>
      </c>
      <c r="G66">
        <v>0.17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DBC5-1151-486F-9C07-229C8C11BC51}">
  <dimension ref="A1:F7"/>
  <sheetViews>
    <sheetView workbookViewId="0">
      <selection sqref="A1:F7"/>
    </sheetView>
  </sheetViews>
  <sheetFormatPr defaultRowHeight="16" x14ac:dyDescent="0.4"/>
  <cols>
    <col min="1" max="1" width="10" bestFit="1" customWidth="1"/>
    <col min="2" max="2" width="19.4140625" bestFit="1" customWidth="1"/>
    <col min="3" max="3" width="16.33203125" bestFit="1" customWidth="1"/>
    <col min="4" max="4" width="12.5" bestFit="1" customWidth="1"/>
    <col min="5" max="5" width="15.83203125" bestFit="1" customWidth="1"/>
    <col min="6" max="6" width="13.9140625" bestFit="1" customWidth="1"/>
  </cols>
  <sheetData>
    <row r="1" spans="1:6" x14ac:dyDescent="0.4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4">
      <c r="A2" t="s">
        <v>7</v>
      </c>
      <c r="B2">
        <f>SLOPE(Sheet1!C2:C11,Sheet1!B2:B11)</f>
        <v>-0.90303030303030307</v>
      </c>
      <c r="C2">
        <f>AVERAGE(Sheet1!D2:D11)</f>
        <v>7.01</v>
      </c>
      <c r="D2">
        <f>AVERAGE(Sheet1!E2:E11)</f>
        <v>2.085</v>
      </c>
      <c r="E2">
        <f>AVERAGE(Sheet1!F2:F11)</f>
        <v>0.4250000000000001</v>
      </c>
      <c r="F2">
        <f>AVERAGE(Sheet1!G2:G11)</f>
        <v>0.152</v>
      </c>
    </row>
    <row r="3" spans="1:6" x14ac:dyDescent="0.4">
      <c r="A3" t="s">
        <v>8</v>
      </c>
      <c r="B3">
        <f>SLOPE(Sheet1!C13:C22,Sheet1!B13:B22)</f>
        <v>3.5575757575757576</v>
      </c>
      <c r="C3">
        <f>AVERAGE(Sheet1!D13:D22)</f>
        <v>6.34</v>
      </c>
      <c r="D3">
        <f>AVERAGE(Sheet1!E13:E22)</f>
        <v>2.7250000000000001</v>
      </c>
      <c r="E3">
        <f>AVERAGE(Sheet1!F13:F22)</f>
        <v>0.39400000000000002</v>
      </c>
      <c r="F3">
        <f>AVERAGE(Sheet1!G13:G22)</f>
        <v>0.17599999999999996</v>
      </c>
    </row>
    <row r="4" spans="1:6" x14ac:dyDescent="0.4">
      <c r="A4" t="s">
        <v>9</v>
      </c>
      <c r="B4">
        <f>SLOPE(Sheet1!C24:C33,Sheet1!B24:B33)</f>
        <v>4.290909090909091</v>
      </c>
      <c r="C4">
        <f>AVERAGE(Sheet1!D24:D33)</f>
        <v>6</v>
      </c>
      <c r="D4">
        <f>AVERAGE(Sheet1!E24:E33)</f>
        <v>3.25</v>
      </c>
      <c r="E4">
        <f>AVERAGE(Sheet1!F24:F33)</f>
        <v>0.40400000000000003</v>
      </c>
      <c r="F4">
        <f>AVERAGE(Sheet1!G24:G33)</f>
        <v>0.22599999999999998</v>
      </c>
    </row>
    <row r="5" spans="1:6" x14ac:dyDescent="0.4">
      <c r="A5" t="s">
        <v>10</v>
      </c>
      <c r="B5">
        <f>SLOPE(Sheet1!C35:C44,Sheet1!B35:B44)</f>
        <v>2.6303030303030304</v>
      </c>
      <c r="C5">
        <f>AVERAGE(Sheet1!D35:D44)</f>
        <v>6.7100000000000009</v>
      </c>
      <c r="D5">
        <f>AVERAGE(Sheet1!E35:E44)</f>
        <v>1.7250000000000001</v>
      </c>
      <c r="E5">
        <f>AVERAGE(Sheet1!F35:F44)</f>
        <v>0.41400000000000003</v>
      </c>
      <c r="F5">
        <f>AVERAGE(Sheet1!G35:G44)</f>
        <v>0.16599999999999998</v>
      </c>
    </row>
    <row r="6" spans="1:6" x14ac:dyDescent="0.4">
      <c r="A6" t="s">
        <v>11</v>
      </c>
      <c r="B6">
        <f>SLOPE(Sheet1!C46:C55,Sheet1!B46:B55)</f>
        <v>3.2242424242424241</v>
      </c>
      <c r="C6">
        <f>AVERAGE(Sheet1!D46:D55)</f>
        <v>6.1499999999999995</v>
      </c>
      <c r="D6">
        <f>AVERAGE(Sheet1!E46:E55)</f>
        <v>3.05</v>
      </c>
      <c r="E6">
        <f>AVERAGE(Sheet1!F46:F55)</f>
        <v>0.38400000000000001</v>
      </c>
      <c r="F6">
        <f>AVERAGE(Sheet1!G46:G55)</f>
        <v>0.20600000000000002</v>
      </c>
    </row>
    <row r="7" spans="1:6" x14ac:dyDescent="0.4">
      <c r="A7" t="s">
        <v>12</v>
      </c>
      <c r="B7">
        <f>SLOPE(Sheet1!C57:C66,Sheet1!B57:B66)</f>
        <v>3.9272727272727272</v>
      </c>
      <c r="C7">
        <f>AVERAGE(Sheet1!D57:D66)</f>
        <v>7.3</v>
      </c>
      <c r="D7">
        <f>AVERAGE(Sheet1!E57:E66)</f>
        <v>5.95</v>
      </c>
      <c r="E7">
        <f>AVERAGE(Sheet1!F57:F66)</f>
        <v>0.42400000000000004</v>
      </c>
      <c r="F7">
        <f>AVERAGE(Sheet1!G57:G66)</f>
        <v>0.18799999999999997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00A1-A43D-4FF9-858D-7DA48530164C}">
  <dimension ref="A1:G73"/>
  <sheetViews>
    <sheetView topLeftCell="A45" workbookViewId="0">
      <selection sqref="A1:G61"/>
    </sheetView>
  </sheetViews>
  <sheetFormatPr defaultRowHeight="16" x14ac:dyDescent="0.4"/>
  <cols>
    <col min="1" max="1" width="10" bestFit="1" customWidth="1"/>
    <col min="2" max="2" width="5.58203125" bestFit="1" customWidth="1"/>
    <col min="4" max="4" width="12.9140625" bestFit="1" customWidth="1"/>
    <col min="5" max="5" width="9.25" bestFit="1" customWidth="1"/>
    <col min="6" max="6" width="13.08203125" bestFit="1" customWidth="1"/>
    <col min="7" max="7" width="11.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>
        <v>1975</v>
      </c>
      <c r="C2">
        <v>390</v>
      </c>
      <c r="D2">
        <v>6.5</v>
      </c>
      <c r="E2">
        <v>1.8</v>
      </c>
      <c r="F2">
        <v>0.42</v>
      </c>
      <c r="G2">
        <v>0.18</v>
      </c>
    </row>
    <row r="3" spans="1:7" x14ac:dyDescent="0.4">
      <c r="A3" t="s">
        <v>7</v>
      </c>
      <c r="B3">
        <v>1976</v>
      </c>
      <c r="C3">
        <v>395</v>
      </c>
      <c r="D3">
        <v>6.2</v>
      </c>
      <c r="E3">
        <v>1.85</v>
      </c>
      <c r="F3">
        <v>0.41</v>
      </c>
      <c r="G3">
        <v>0.17</v>
      </c>
    </row>
    <row r="4" spans="1:7" x14ac:dyDescent="0.4">
      <c r="A4" t="s">
        <v>7</v>
      </c>
      <c r="B4">
        <v>1977</v>
      </c>
      <c r="C4">
        <v>398</v>
      </c>
      <c r="D4">
        <v>6</v>
      </c>
      <c r="E4">
        <v>1.9</v>
      </c>
      <c r="F4">
        <v>0.41</v>
      </c>
      <c r="G4">
        <v>0.17</v>
      </c>
    </row>
    <row r="5" spans="1:7" x14ac:dyDescent="0.4">
      <c r="A5" t="s">
        <v>7</v>
      </c>
      <c r="B5">
        <v>1978</v>
      </c>
      <c r="C5">
        <v>402</v>
      </c>
      <c r="D5">
        <v>5.8</v>
      </c>
      <c r="E5">
        <v>1.95</v>
      </c>
      <c r="F5">
        <v>0.4</v>
      </c>
      <c r="G5">
        <v>0.16</v>
      </c>
    </row>
    <row r="6" spans="1:7" x14ac:dyDescent="0.4">
      <c r="A6" t="s">
        <v>7</v>
      </c>
      <c r="B6">
        <v>1979</v>
      </c>
      <c r="C6">
        <v>405</v>
      </c>
      <c r="D6">
        <v>5.6</v>
      </c>
      <c r="E6">
        <v>2</v>
      </c>
      <c r="F6">
        <v>0.4</v>
      </c>
      <c r="G6">
        <v>0.16</v>
      </c>
    </row>
    <row r="7" spans="1:7" x14ac:dyDescent="0.4">
      <c r="A7" t="s">
        <v>7</v>
      </c>
      <c r="B7">
        <v>1980</v>
      </c>
      <c r="C7">
        <v>400</v>
      </c>
      <c r="D7">
        <v>7.5</v>
      </c>
      <c r="E7">
        <v>2.1</v>
      </c>
      <c r="F7">
        <v>0.43</v>
      </c>
      <c r="G7">
        <v>0.15</v>
      </c>
    </row>
    <row r="8" spans="1:7" x14ac:dyDescent="0.4">
      <c r="A8" t="s">
        <v>7</v>
      </c>
      <c r="B8">
        <v>1981</v>
      </c>
      <c r="C8">
        <v>392</v>
      </c>
      <c r="D8">
        <v>8</v>
      </c>
      <c r="E8">
        <v>2.2000000000000002</v>
      </c>
      <c r="F8">
        <v>0.44</v>
      </c>
      <c r="G8">
        <v>0.14000000000000001</v>
      </c>
    </row>
    <row r="9" spans="1:7" x14ac:dyDescent="0.4">
      <c r="A9" t="s">
        <v>7</v>
      </c>
      <c r="B9">
        <v>1982</v>
      </c>
      <c r="C9">
        <v>385</v>
      </c>
      <c r="D9">
        <v>8.5</v>
      </c>
      <c r="E9">
        <v>2.2999999999999998</v>
      </c>
      <c r="F9">
        <v>0.45</v>
      </c>
      <c r="G9">
        <v>0.13</v>
      </c>
    </row>
    <row r="10" spans="1:7" x14ac:dyDescent="0.4">
      <c r="A10" t="s">
        <v>7</v>
      </c>
      <c r="B10">
        <v>1983</v>
      </c>
      <c r="C10">
        <v>388</v>
      </c>
      <c r="D10">
        <v>8.1999999999999993</v>
      </c>
      <c r="E10">
        <v>2.35</v>
      </c>
      <c r="F10">
        <v>0.45</v>
      </c>
      <c r="G10">
        <v>0.13</v>
      </c>
    </row>
    <row r="11" spans="1:7" x14ac:dyDescent="0.4">
      <c r="A11" t="s">
        <v>7</v>
      </c>
      <c r="B11">
        <v>1984</v>
      </c>
      <c r="C11">
        <v>390</v>
      </c>
      <c r="D11">
        <v>7.8</v>
      </c>
      <c r="E11">
        <v>2.4</v>
      </c>
      <c r="F11">
        <v>0.44</v>
      </c>
      <c r="G11">
        <v>0.13</v>
      </c>
    </row>
    <row r="12" spans="1:7" x14ac:dyDescent="0.4">
      <c r="A12" t="s">
        <v>8</v>
      </c>
      <c r="B12">
        <v>1975</v>
      </c>
      <c r="C12">
        <v>380</v>
      </c>
      <c r="D12">
        <v>6</v>
      </c>
      <c r="E12">
        <v>2.5</v>
      </c>
      <c r="F12">
        <v>0.4</v>
      </c>
      <c r="G12">
        <v>0.2</v>
      </c>
    </row>
    <row r="13" spans="1:7" x14ac:dyDescent="0.4">
      <c r="A13" t="s">
        <v>8</v>
      </c>
      <c r="B13">
        <v>1976</v>
      </c>
      <c r="C13">
        <v>385</v>
      </c>
      <c r="D13">
        <v>5.8</v>
      </c>
      <c r="E13">
        <v>2.5499999999999998</v>
      </c>
      <c r="F13">
        <v>0.4</v>
      </c>
      <c r="G13">
        <v>0.19</v>
      </c>
    </row>
    <row r="14" spans="1:7" x14ac:dyDescent="0.4">
      <c r="A14" t="s">
        <v>8</v>
      </c>
      <c r="B14">
        <v>1977</v>
      </c>
      <c r="C14">
        <v>390</v>
      </c>
      <c r="D14">
        <v>5.6</v>
      </c>
      <c r="E14">
        <v>2.6</v>
      </c>
      <c r="F14">
        <v>0.39</v>
      </c>
      <c r="G14">
        <v>0.19</v>
      </c>
    </row>
    <row r="15" spans="1:7" x14ac:dyDescent="0.4">
      <c r="A15" t="s">
        <v>8</v>
      </c>
      <c r="B15">
        <v>1978</v>
      </c>
      <c r="C15">
        <v>395</v>
      </c>
      <c r="D15">
        <v>5.4</v>
      </c>
      <c r="E15">
        <v>2.65</v>
      </c>
      <c r="F15">
        <v>0.39</v>
      </c>
      <c r="G15">
        <v>0.18</v>
      </c>
    </row>
    <row r="16" spans="1:7" x14ac:dyDescent="0.4">
      <c r="A16" t="s">
        <v>8</v>
      </c>
      <c r="B16">
        <v>1979</v>
      </c>
      <c r="C16">
        <v>398</v>
      </c>
      <c r="D16">
        <v>5.2</v>
      </c>
      <c r="E16">
        <v>2.7</v>
      </c>
      <c r="F16">
        <v>0.38</v>
      </c>
      <c r="G16">
        <v>0.18</v>
      </c>
    </row>
    <row r="17" spans="1:7" x14ac:dyDescent="0.4">
      <c r="A17" t="s">
        <v>8</v>
      </c>
      <c r="B17">
        <v>1980</v>
      </c>
      <c r="C17">
        <v>402</v>
      </c>
      <c r="D17">
        <v>6.8</v>
      </c>
      <c r="E17">
        <v>2.75</v>
      </c>
      <c r="F17">
        <v>0.39</v>
      </c>
      <c r="G17">
        <v>0.17</v>
      </c>
    </row>
    <row r="18" spans="1:7" x14ac:dyDescent="0.4">
      <c r="A18" t="s">
        <v>8</v>
      </c>
      <c r="B18">
        <v>1981</v>
      </c>
      <c r="C18">
        <v>405</v>
      </c>
      <c r="D18">
        <v>7</v>
      </c>
      <c r="E18">
        <v>2.8</v>
      </c>
      <c r="F18">
        <v>0.39</v>
      </c>
      <c r="G18">
        <v>0.17</v>
      </c>
    </row>
    <row r="19" spans="1:7" x14ac:dyDescent="0.4">
      <c r="A19" t="s">
        <v>8</v>
      </c>
      <c r="B19">
        <v>1982</v>
      </c>
      <c r="C19">
        <v>408</v>
      </c>
      <c r="D19">
        <v>7.5</v>
      </c>
      <c r="E19">
        <v>2.85</v>
      </c>
      <c r="F19">
        <v>0.4</v>
      </c>
      <c r="G19">
        <v>0.16</v>
      </c>
    </row>
    <row r="20" spans="1:7" x14ac:dyDescent="0.4">
      <c r="A20" t="s">
        <v>8</v>
      </c>
      <c r="B20">
        <v>1983</v>
      </c>
      <c r="C20">
        <v>410</v>
      </c>
      <c r="D20">
        <v>7.2</v>
      </c>
      <c r="E20">
        <v>2.9</v>
      </c>
      <c r="F20">
        <v>0.4</v>
      </c>
      <c r="G20">
        <v>0.16</v>
      </c>
    </row>
    <row r="21" spans="1:7" x14ac:dyDescent="0.4">
      <c r="A21" t="s">
        <v>8</v>
      </c>
      <c r="B21">
        <v>1984</v>
      </c>
      <c r="C21">
        <v>412</v>
      </c>
      <c r="D21">
        <v>6.9</v>
      </c>
      <c r="E21">
        <v>2.95</v>
      </c>
      <c r="F21">
        <v>0.4</v>
      </c>
      <c r="G21">
        <v>0.16</v>
      </c>
    </row>
    <row r="22" spans="1:7" x14ac:dyDescent="0.4">
      <c r="A22" t="s">
        <v>9</v>
      </c>
      <c r="B22">
        <v>1975</v>
      </c>
      <c r="C22">
        <v>395</v>
      </c>
      <c r="D22">
        <v>5.5</v>
      </c>
      <c r="E22">
        <v>3</v>
      </c>
      <c r="F22">
        <v>0.41</v>
      </c>
      <c r="G22">
        <v>0.25</v>
      </c>
    </row>
    <row r="23" spans="1:7" x14ac:dyDescent="0.4">
      <c r="A23" t="s">
        <v>9</v>
      </c>
      <c r="B23">
        <v>1976</v>
      </c>
      <c r="C23">
        <v>400</v>
      </c>
      <c r="D23">
        <v>5.3</v>
      </c>
      <c r="E23">
        <v>3.05</v>
      </c>
      <c r="F23">
        <v>0.41</v>
      </c>
      <c r="G23">
        <v>0.24</v>
      </c>
    </row>
    <row r="24" spans="1:7" x14ac:dyDescent="0.4">
      <c r="A24" t="s">
        <v>9</v>
      </c>
      <c r="B24">
        <v>1977</v>
      </c>
      <c r="C24">
        <v>405</v>
      </c>
      <c r="D24">
        <v>5.0999999999999996</v>
      </c>
      <c r="E24">
        <v>3.1</v>
      </c>
      <c r="F24">
        <v>0.4</v>
      </c>
      <c r="G24">
        <v>0.24</v>
      </c>
    </row>
    <row r="25" spans="1:7" x14ac:dyDescent="0.4">
      <c r="A25" t="s">
        <v>9</v>
      </c>
      <c r="B25">
        <v>1978</v>
      </c>
      <c r="C25">
        <v>410</v>
      </c>
      <c r="D25">
        <v>5</v>
      </c>
      <c r="E25">
        <v>3.15</v>
      </c>
      <c r="F25">
        <v>0.4</v>
      </c>
      <c r="G25">
        <v>0.23</v>
      </c>
    </row>
    <row r="26" spans="1:7" x14ac:dyDescent="0.4">
      <c r="A26" t="s">
        <v>9</v>
      </c>
      <c r="B26">
        <v>1979</v>
      </c>
      <c r="C26">
        <v>415</v>
      </c>
      <c r="D26">
        <v>4.9000000000000004</v>
      </c>
      <c r="E26">
        <v>3.2</v>
      </c>
      <c r="F26">
        <v>0.39</v>
      </c>
      <c r="G26">
        <v>0.23</v>
      </c>
    </row>
    <row r="27" spans="1:7" x14ac:dyDescent="0.4">
      <c r="A27" t="s">
        <v>9</v>
      </c>
      <c r="B27">
        <v>1980</v>
      </c>
      <c r="C27">
        <v>420</v>
      </c>
      <c r="D27">
        <v>6.5</v>
      </c>
      <c r="E27">
        <v>3.3</v>
      </c>
      <c r="F27">
        <v>0.4</v>
      </c>
      <c r="G27">
        <v>0.22</v>
      </c>
    </row>
    <row r="28" spans="1:7" x14ac:dyDescent="0.4">
      <c r="A28" t="s">
        <v>9</v>
      </c>
      <c r="B28">
        <v>1981</v>
      </c>
      <c r="C28">
        <v>425</v>
      </c>
      <c r="D28">
        <v>6.8</v>
      </c>
      <c r="E28">
        <v>3.35</v>
      </c>
      <c r="F28">
        <v>0.4</v>
      </c>
      <c r="G28">
        <v>0.22</v>
      </c>
    </row>
    <row r="29" spans="1:7" x14ac:dyDescent="0.4">
      <c r="A29" t="s">
        <v>9</v>
      </c>
      <c r="B29">
        <v>1982</v>
      </c>
      <c r="C29">
        <v>428</v>
      </c>
      <c r="D29">
        <v>7.2</v>
      </c>
      <c r="E29">
        <v>3.4</v>
      </c>
      <c r="F29">
        <v>0.41</v>
      </c>
      <c r="G29">
        <v>0.21</v>
      </c>
    </row>
    <row r="30" spans="1:7" x14ac:dyDescent="0.4">
      <c r="A30" t="s">
        <v>9</v>
      </c>
      <c r="B30">
        <v>1983</v>
      </c>
      <c r="C30">
        <v>430</v>
      </c>
      <c r="D30">
        <v>7</v>
      </c>
      <c r="E30">
        <v>3.45</v>
      </c>
      <c r="F30">
        <v>0.41</v>
      </c>
      <c r="G30">
        <v>0.21</v>
      </c>
    </row>
    <row r="31" spans="1:7" x14ac:dyDescent="0.4">
      <c r="A31" t="s">
        <v>9</v>
      </c>
      <c r="B31">
        <v>1984</v>
      </c>
      <c r="C31">
        <v>432</v>
      </c>
      <c r="D31">
        <v>6.7</v>
      </c>
      <c r="E31">
        <v>3.5</v>
      </c>
      <c r="F31">
        <v>0.41</v>
      </c>
      <c r="G31">
        <v>0.21</v>
      </c>
    </row>
    <row r="32" spans="1:7" x14ac:dyDescent="0.4">
      <c r="A32" t="s">
        <v>10</v>
      </c>
      <c r="B32">
        <v>1975</v>
      </c>
      <c r="C32">
        <v>385</v>
      </c>
      <c r="D32">
        <v>6.3</v>
      </c>
      <c r="E32">
        <v>1.5</v>
      </c>
      <c r="F32">
        <v>0.42</v>
      </c>
      <c r="G32">
        <v>0.19</v>
      </c>
    </row>
    <row r="33" spans="1:7" x14ac:dyDescent="0.4">
      <c r="A33" t="s">
        <v>10</v>
      </c>
      <c r="B33">
        <v>1976</v>
      </c>
      <c r="C33">
        <v>390</v>
      </c>
      <c r="D33">
        <v>6</v>
      </c>
      <c r="E33">
        <v>1.55</v>
      </c>
      <c r="F33">
        <v>0.42</v>
      </c>
      <c r="G33">
        <v>0.18</v>
      </c>
    </row>
    <row r="34" spans="1:7" x14ac:dyDescent="0.4">
      <c r="A34" t="s">
        <v>10</v>
      </c>
      <c r="B34">
        <v>1977</v>
      </c>
      <c r="C34">
        <v>395</v>
      </c>
      <c r="D34">
        <v>5.8</v>
      </c>
      <c r="E34">
        <v>1.6</v>
      </c>
      <c r="F34">
        <v>0.41</v>
      </c>
      <c r="G34">
        <v>0.18</v>
      </c>
    </row>
    <row r="35" spans="1:7" x14ac:dyDescent="0.4">
      <c r="A35" t="s">
        <v>10</v>
      </c>
      <c r="B35">
        <v>1978</v>
      </c>
      <c r="C35">
        <v>398</v>
      </c>
      <c r="D35">
        <v>5.6</v>
      </c>
      <c r="E35">
        <v>1.65</v>
      </c>
      <c r="F35">
        <v>0.41</v>
      </c>
      <c r="G35">
        <v>0.17</v>
      </c>
    </row>
    <row r="36" spans="1:7" x14ac:dyDescent="0.4">
      <c r="A36" t="s">
        <v>10</v>
      </c>
      <c r="B36">
        <v>1979</v>
      </c>
      <c r="C36">
        <v>400</v>
      </c>
      <c r="D36">
        <v>5.5</v>
      </c>
      <c r="E36">
        <v>1.7</v>
      </c>
      <c r="F36">
        <v>0.4</v>
      </c>
      <c r="G36">
        <v>0.17</v>
      </c>
    </row>
    <row r="37" spans="1:7" x14ac:dyDescent="0.4">
      <c r="A37" t="s">
        <v>10</v>
      </c>
      <c r="B37">
        <v>1980</v>
      </c>
      <c r="C37">
        <v>402</v>
      </c>
      <c r="D37">
        <v>7.2</v>
      </c>
      <c r="E37">
        <v>1.75</v>
      </c>
      <c r="F37">
        <v>0.41</v>
      </c>
      <c r="G37">
        <v>0.16</v>
      </c>
    </row>
    <row r="38" spans="1:7" x14ac:dyDescent="0.4">
      <c r="A38" t="s">
        <v>10</v>
      </c>
      <c r="B38">
        <v>1981</v>
      </c>
      <c r="C38">
        <v>405</v>
      </c>
      <c r="D38">
        <v>7.5</v>
      </c>
      <c r="E38">
        <v>1.8</v>
      </c>
      <c r="F38">
        <v>0.41</v>
      </c>
      <c r="G38">
        <v>0.16</v>
      </c>
    </row>
    <row r="39" spans="1:7" x14ac:dyDescent="0.4">
      <c r="A39" t="s">
        <v>10</v>
      </c>
      <c r="B39">
        <v>1982</v>
      </c>
      <c r="C39">
        <v>407</v>
      </c>
      <c r="D39">
        <v>8</v>
      </c>
      <c r="E39">
        <v>1.85</v>
      </c>
      <c r="F39">
        <v>0.42</v>
      </c>
      <c r="G39">
        <v>0.15</v>
      </c>
    </row>
    <row r="40" spans="1:7" x14ac:dyDescent="0.4">
      <c r="A40" t="s">
        <v>10</v>
      </c>
      <c r="B40">
        <v>1983</v>
      </c>
      <c r="C40">
        <v>408</v>
      </c>
      <c r="D40">
        <v>7.8</v>
      </c>
      <c r="E40">
        <v>1.9</v>
      </c>
      <c r="F40">
        <v>0.42</v>
      </c>
      <c r="G40">
        <v>0.15</v>
      </c>
    </row>
    <row r="41" spans="1:7" x14ac:dyDescent="0.4">
      <c r="A41" t="s">
        <v>10</v>
      </c>
      <c r="B41">
        <v>1984</v>
      </c>
      <c r="C41">
        <v>410</v>
      </c>
      <c r="D41">
        <v>7.4</v>
      </c>
      <c r="E41">
        <v>1.95</v>
      </c>
      <c r="F41">
        <v>0.42</v>
      </c>
      <c r="G41">
        <v>0.15</v>
      </c>
    </row>
    <row r="42" spans="1:7" x14ac:dyDescent="0.4">
      <c r="A42" t="s">
        <v>11</v>
      </c>
      <c r="B42">
        <v>1975</v>
      </c>
      <c r="C42">
        <v>400</v>
      </c>
      <c r="D42">
        <v>5.7</v>
      </c>
      <c r="E42">
        <v>2.8</v>
      </c>
      <c r="F42">
        <v>0.39</v>
      </c>
      <c r="G42">
        <v>0.23</v>
      </c>
    </row>
    <row r="43" spans="1:7" x14ac:dyDescent="0.4">
      <c r="A43" t="s">
        <v>11</v>
      </c>
      <c r="B43">
        <v>1976</v>
      </c>
      <c r="C43">
        <v>405</v>
      </c>
      <c r="D43">
        <v>5.5</v>
      </c>
      <c r="E43">
        <v>2.85</v>
      </c>
      <c r="F43">
        <v>0.39</v>
      </c>
      <c r="G43">
        <v>0.22</v>
      </c>
    </row>
    <row r="44" spans="1:7" x14ac:dyDescent="0.4">
      <c r="A44" t="s">
        <v>11</v>
      </c>
      <c r="B44">
        <v>1977</v>
      </c>
      <c r="C44">
        <v>410</v>
      </c>
      <c r="D44">
        <v>5.3</v>
      </c>
      <c r="E44">
        <v>2.9</v>
      </c>
      <c r="F44">
        <v>0.38</v>
      </c>
      <c r="G44">
        <v>0.22</v>
      </c>
    </row>
    <row r="45" spans="1:7" x14ac:dyDescent="0.4">
      <c r="A45" t="s">
        <v>11</v>
      </c>
      <c r="B45">
        <v>1978</v>
      </c>
      <c r="C45">
        <v>415</v>
      </c>
      <c r="D45">
        <v>5.2</v>
      </c>
      <c r="E45">
        <v>2.95</v>
      </c>
      <c r="F45">
        <v>0.38</v>
      </c>
      <c r="G45">
        <v>0.21</v>
      </c>
    </row>
    <row r="46" spans="1:7" x14ac:dyDescent="0.4">
      <c r="A46" t="s">
        <v>11</v>
      </c>
      <c r="B46">
        <v>1979</v>
      </c>
      <c r="C46">
        <v>418</v>
      </c>
      <c r="D46">
        <v>5.0999999999999996</v>
      </c>
      <c r="E46">
        <v>3</v>
      </c>
      <c r="F46">
        <v>0.37</v>
      </c>
      <c r="G46">
        <v>0.21</v>
      </c>
    </row>
    <row r="47" spans="1:7" x14ac:dyDescent="0.4">
      <c r="A47" t="s">
        <v>11</v>
      </c>
      <c r="B47">
        <v>1980</v>
      </c>
      <c r="C47">
        <v>420</v>
      </c>
      <c r="D47">
        <v>6.6</v>
      </c>
      <c r="E47">
        <v>3.1</v>
      </c>
      <c r="F47">
        <v>0.38</v>
      </c>
      <c r="G47">
        <v>0.2</v>
      </c>
    </row>
    <row r="48" spans="1:7" x14ac:dyDescent="0.4">
      <c r="A48" t="s">
        <v>11</v>
      </c>
      <c r="B48">
        <v>1981</v>
      </c>
      <c r="C48">
        <v>423</v>
      </c>
      <c r="D48">
        <v>6.9</v>
      </c>
      <c r="E48">
        <v>3.15</v>
      </c>
      <c r="F48">
        <v>0.38</v>
      </c>
      <c r="G48">
        <v>0.2</v>
      </c>
    </row>
    <row r="49" spans="1:7" x14ac:dyDescent="0.4">
      <c r="A49" t="s">
        <v>11</v>
      </c>
      <c r="B49">
        <v>1982</v>
      </c>
      <c r="C49">
        <v>425</v>
      </c>
      <c r="D49">
        <v>7.3</v>
      </c>
      <c r="E49">
        <v>3.2</v>
      </c>
      <c r="F49">
        <v>0.39</v>
      </c>
      <c r="G49">
        <v>0.19</v>
      </c>
    </row>
    <row r="50" spans="1:7" x14ac:dyDescent="0.4">
      <c r="A50" t="s">
        <v>11</v>
      </c>
      <c r="B50">
        <v>1983</v>
      </c>
      <c r="C50">
        <v>428</v>
      </c>
      <c r="D50">
        <v>7.1</v>
      </c>
      <c r="E50">
        <v>3.25</v>
      </c>
      <c r="F50">
        <v>0.39</v>
      </c>
      <c r="G50">
        <v>0.19</v>
      </c>
    </row>
    <row r="51" spans="1:7" x14ac:dyDescent="0.4">
      <c r="A51" t="s">
        <v>11</v>
      </c>
      <c r="B51">
        <v>1984</v>
      </c>
      <c r="C51">
        <v>430</v>
      </c>
      <c r="D51">
        <v>6.8</v>
      </c>
      <c r="E51">
        <v>3.3</v>
      </c>
      <c r="F51">
        <v>0.39</v>
      </c>
      <c r="G51">
        <v>0.19</v>
      </c>
    </row>
    <row r="52" spans="1:7" x14ac:dyDescent="0.4">
      <c r="A52" t="s">
        <v>12</v>
      </c>
      <c r="B52">
        <v>1975</v>
      </c>
      <c r="C52">
        <v>420</v>
      </c>
      <c r="D52">
        <v>6.8</v>
      </c>
      <c r="E52">
        <v>5.5</v>
      </c>
      <c r="F52">
        <v>0.43</v>
      </c>
      <c r="G52">
        <v>0.21</v>
      </c>
    </row>
    <row r="53" spans="1:7" x14ac:dyDescent="0.4">
      <c r="A53" t="s">
        <v>12</v>
      </c>
      <c r="B53">
        <v>1976</v>
      </c>
      <c r="C53">
        <v>425</v>
      </c>
      <c r="D53">
        <v>6.6</v>
      </c>
      <c r="E53">
        <v>5.6</v>
      </c>
      <c r="F53">
        <v>0.43</v>
      </c>
      <c r="G53">
        <v>0.21</v>
      </c>
    </row>
    <row r="54" spans="1:7" x14ac:dyDescent="0.4">
      <c r="A54" t="s">
        <v>12</v>
      </c>
      <c r="B54">
        <v>1977</v>
      </c>
      <c r="C54">
        <v>430</v>
      </c>
      <c r="D54">
        <v>6.4</v>
      </c>
      <c r="E54">
        <v>5.7</v>
      </c>
      <c r="F54">
        <v>0.42</v>
      </c>
      <c r="G54">
        <v>0.2</v>
      </c>
    </row>
    <row r="55" spans="1:7" x14ac:dyDescent="0.4">
      <c r="A55" t="s">
        <v>12</v>
      </c>
      <c r="B55">
        <v>1978</v>
      </c>
      <c r="C55">
        <v>435</v>
      </c>
      <c r="D55">
        <v>6.2</v>
      </c>
      <c r="E55">
        <v>5.8</v>
      </c>
      <c r="F55">
        <v>0.42</v>
      </c>
      <c r="G55">
        <v>0.2</v>
      </c>
    </row>
    <row r="56" spans="1:7" x14ac:dyDescent="0.4">
      <c r="A56" t="s">
        <v>12</v>
      </c>
      <c r="B56">
        <v>1979</v>
      </c>
      <c r="C56">
        <v>440</v>
      </c>
      <c r="D56">
        <v>6</v>
      </c>
      <c r="E56">
        <v>5.9</v>
      </c>
      <c r="F56">
        <v>0.41</v>
      </c>
      <c r="G56">
        <v>0.19</v>
      </c>
    </row>
    <row r="57" spans="1:7" x14ac:dyDescent="0.4">
      <c r="A57" t="s">
        <v>12</v>
      </c>
      <c r="B57">
        <v>1980</v>
      </c>
      <c r="C57">
        <v>445</v>
      </c>
      <c r="D57">
        <v>7.8</v>
      </c>
      <c r="E57">
        <v>6</v>
      </c>
      <c r="F57">
        <v>0.42</v>
      </c>
      <c r="G57">
        <v>0.18</v>
      </c>
    </row>
    <row r="58" spans="1:7" x14ac:dyDescent="0.4">
      <c r="A58" t="s">
        <v>12</v>
      </c>
      <c r="B58">
        <v>1981</v>
      </c>
      <c r="C58">
        <v>448</v>
      </c>
      <c r="D58">
        <v>8.1999999999999993</v>
      </c>
      <c r="E58">
        <v>6.1</v>
      </c>
      <c r="F58">
        <v>0.42</v>
      </c>
      <c r="G58">
        <v>0.18</v>
      </c>
    </row>
    <row r="59" spans="1:7" x14ac:dyDescent="0.4">
      <c r="A59" t="s">
        <v>12</v>
      </c>
      <c r="B59">
        <v>1982</v>
      </c>
      <c r="C59">
        <v>450</v>
      </c>
      <c r="D59">
        <v>8.6</v>
      </c>
      <c r="E59">
        <v>6.2</v>
      </c>
      <c r="F59">
        <v>0.43</v>
      </c>
      <c r="G59">
        <v>0.17</v>
      </c>
    </row>
    <row r="60" spans="1:7" x14ac:dyDescent="0.4">
      <c r="A60" t="s">
        <v>12</v>
      </c>
      <c r="B60">
        <v>1983</v>
      </c>
      <c r="C60">
        <v>452</v>
      </c>
      <c r="D60">
        <v>8.4</v>
      </c>
      <c r="E60">
        <v>6.3</v>
      </c>
      <c r="F60">
        <v>0.43</v>
      </c>
      <c r="G60">
        <v>0.17</v>
      </c>
    </row>
    <row r="61" spans="1:7" x14ac:dyDescent="0.4">
      <c r="A61" t="s">
        <v>12</v>
      </c>
      <c r="B61">
        <v>1984</v>
      </c>
      <c r="C61">
        <v>455</v>
      </c>
      <c r="D61">
        <v>8</v>
      </c>
      <c r="E61">
        <v>6.4</v>
      </c>
      <c r="F61">
        <v>0.43</v>
      </c>
      <c r="G61">
        <v>0.17</v>
      </c>
    </row>
    <row r="63" spans="1:7" x14ac:dyDescent="0.4">
      <c r="A63" t="s">
        <v>19</v>
      </c>
      <c r="B63" t="s">
        <v>7</v>
      </c>
      <c r="C63" t="s">
        <v>8</v>
      </c>
      <c r="D63" t="s">
        <v>9</v>
      </c>
      <c r="E63" t="s">
        <v>10</v>
      </c>
      <c r="F63" t="s">
        <v>11</v>
      </c>
      <c r="G63" t="s">
        <v>12</v>
      </c>
    </row>
    <row r="64" spans="1:7" x14ac:dyDescent="0.4">
      <c r="A64">
        <v>1975</v>
      </c>
      <c r="B64">
        <f xml:space="preserve"> SUMIFS($C$2:$C$61, $A$2:$A$61,B63, $B$2:$B$61,$A$64)</f>
        <v>390</v>
      </c>
      <c r="C64">
        <f t="shared" ref="C64:G64" si="0" xml:space="preserve"> SUMIFS($C$2:$C$61, $A$2:$A$61,C63, $B$2:$B$61,$A$64)</f>
        <v>380</v>
      </c>
      <c r="D64">
        <f t="shared" si="0"/>
        <v>395</v>
      </c>
      <c r="E64">
        <f t="shared" si="0"/>
        <v>385</v>
      </c>
      <c r="F64">
        <f t="shared" si="0"/>
        <v>400</v>
      </c>
      <c r="G64">
        <f t="shared" si="0"/>
        <v>420</v>
      </c>
    </row>
    <row r="65" spans="1:7" x14ac:dyDescent="0.4">
      <c r="A65">
        <v>1976</v>
      </c>
      <c r="B65">
        <f xml:space="preserve"> SUMIFS($C$2:$C$61, $A$2:$A$61,B63, $B$2:$B$61,$A$65)</f>
        <v>395</v>
      </c>
      <c r="C65">
        <f t="shared" ref="C65:G65" si="1" xml:space="preserve"> SUMIFS($C$2:$C$61, $A$2:$A$61,C63, $B$2:$B$61,$A$65)</f>
        <v>385</v>
      </c>
      <c r="D65">
        <f t="shared" si="1"/>
        <v>400</v>
      </c>
      <c r="E65">
        <f t="shared" si="1"/>
        <v>390</v>
      </c>
      <c r="F65">
        <f t="shared" si="1"/>
        <v>405</v>
      </c>
      <c r="G65">
        <f t="shared" si="1"/>
        <v>425</v>
      </c>
    </row>
    <row r="66" spans="1:7" x14ac:dyDescent="0.4">
      <c r="A66">
        <v>1977</v>
      </c>
      <c r="B66">
        <f xml:space="preserve"> SUMIFS($C$2:$C$61, $A$2:$A$61,B63, $B$2:$B$61,$A$66)</f>
        <v>398</v>
      </c>
      <c r="C66">
        <f t="shared" ref="C66:G66" si="2" xml:space="preserve"> SUMIFS($C$2:$C$61, $A$2:$A$61,C63, $B$2:$B$61,$A$66)</f>
        <v>390</v>
      </c>
      <c r="D66">
        <f t="shared" si="2"/>
        <v>405</v>
      </c>
      <c r="E66">
        <f t="shared" si="2"/>
        <v>395</v>
      </c>
      <c r="F66">
        <f t="shared" si="2"/>
        <v>410</v>
      </c>
      <c r="G66">
        <f t="shared" si="2"/>
        <v>430</v>
      </c>
    </row>
    <row r="67" spans="1:7" x14ac:dyDescent="0.4">
      <c r="A67">
        <v>1978</v>
      </c>
      <c r="B67">
        <f xml:space="preserve"> SUMIFS($C$2:$C$61, $A$2:$A$61,B63, $B$2:$B$61,$A$67)</f>
        <v>402</v>
      </c>
      <c r="C67">
        <f t="shared" ref="C67:G67" si="3" xml:space="preserve"> SUMIFS($C$2:$C$61, $A$2:$A$61,C63, $B$2:$B$61,$A$67)</f>
        <v>395</v>
      </c>
      <c r="D67">
        <f t="shared" si="3"/>
        <v>410</v>
      </c>
      <c r="E67">
        <f t="shared" si="3"/>
        <v>398</v>
      </c>
      <c r="F67">
        <f t="shared" si="3"/>
        <v>415</v>
      </c>
      <c r="G67">
        <f t="shared" si="3"/>
        <v>435</v>
      </c>
    </row>
    <row r="68" spans="1:7" x14ac:dyDescent="0.4">
      <c r="A68">
        <v>1979</v>
      </c>
      <c r="B68">
        <f xml:space="preserve"> SUMIFS($C$2:$C$61, $A$2:$A$61,B63, $B$2:$B$61,$A$68)</f>
        <v>405</v>
      </c>
      <c r="C68">
        <f t="shared" ref="C68:G68" si="4" xml:space="preserve"> SUMIFS($C$2:$C$61, $A$2:$A$61,C63, $B$2:$B$61,$A$68)</f>
        <v>398</v>
      </c>
      <c r="D68">
        <f t="shared" si="4"/>
        <v>415</v>
      </c>
      <c r="E68">
        <f t="shared" si="4"/>
        <v>400</v>
      </c>
      <c r="F68">
        <f t="shared" si="4"/>
        <v>418</v>
      </c>
      <c r="G68">
        <f t="shared" si="4"/>
        <v>440</v>
      </c>
    </row>
    <row r="69" spans="1:7" x14ac:dyDescent="0.4">
      <c r="A69">
        <v>1980</v>
      </c>
      <c r="B69">
        <f xml:space="preserve"> SUMIFS($C$2:$C$61, $A$2:$A$61,B63, $B$2:$B$61,$A$69)</f>
        <v>400</v>
      </c>
      <c r="C69">
        <f t="shared" ref="C69:G69" si="5" xml:space="preserve"> SUMIFS($C$2:$C$61, $A$2:$A$61,C63, $B$2:$B$61,$A$69)</f>
        <v>402</v>
      </c>
      <c r="D69">
        <f t="shared" si="5"/>
        <v>420</v>
      </c>
      <c r="E69">
        <f t="shared" si="5"/>
        <v>402</v>
      </c>
      <c r="F69">
        <f t="shared" si="5"/>
        <v>420</v>
      </c>
      <c r="G69">
        <f t="shared" si="5"/>
        <v>445</v>
      </c>
    </row>
    <row r="70" spans="1:7" x14ac:dyDescent="0.4">
      <c r="A70">
        <v>1981</v>
      </c>
      <c r="B70">
        <f xml:space="preserve"> SUMIFS($C$2:$C$61, $A$2:$A$61,B63, $B$2:$B$61,$A$70)</f>
        <v>392</v>
      </c>
      <c r="C70">
        <f t="shared" ref="C70:G70" si="6" xml:space="preserve"> SUMIFS($C$2:$C$61, $A$2:$A$61,C63, $B$2:$B$61,$A$70)</f>
        <v>405</v>
      </c>
      <c r="D70">
        <f t="shared" si="6"/>
        <v>425</v>
      </c>
      <c r="E70">
        <f t="shared" si="6"/>
        <v>405</v>
      </c>
      <c r="F70">
        <f t="shared" si="6"/>
        <v>423</v>
      </c>
      <c r="G70">
        <f t="shared" si="6"/>
        <v>448</v>
      </c>
    </row>
    <row r="71" spans="1:7" x14ac:dyDescent="0.4">
      <c r="A71">
        <v>1982</v>
      </c>
      <c r="B71">
        <f xml:space="preserve"> SUMIFS($C$2:$C$61, $A$2:$A$61,B63, $B$2:$B$61,$A$71)</f>
        <v>385</v>
      </c>
      <c r="C71">
        <f t="shared" ref="C71:G71" si="7" xml:space="preserve"> SUMIFS($C$2:$C$61, $A$2:$A$61,C63, $B$2:$B$61,$A$71)</f>
        <v>408</v>
      </c>
      <c r="D71">
        <f t="shared" si="7"/>
        <v>428</v>
      </c>
      <c r="E71">
        <f t="shared" si="7"/>
        <v>407</v>
      </c>
      <c r="F71">
        <f t="shared" si="7"/>
        <v>425</v>
      </c>
      <c r="G71">
        <f t="shared" si="7"/>
        <v>450</v>
      </c>
    </row>
    <row r="72" spans="1:7" x14ac:dyDescent="0.4">
      <c r="A72">
        <v>1983</v>
      </c>
      <c r="B72">
        <f xml:space="preserve"> SUMIFS($C$2:$C$61, $A$2:$A$61,B63, $B$2:$B$61,$A$72)</f>
        <v>388</v>
      </c>
      <c r="C72">
        <f t="shared" ref="C72:G72" si="8" xml:space="preserve"> SUMIFS($C$2:$C$61, $A$2:$A$61,C63, $B$2:$B$61,$A$72)</f>
        <v>410</v>
      </c>
      <c r="D72">
        <f t="shared" si="8"/>
        <v>430</v>
      </c>
      <c r="E72">
        <f t="shared" si="8"/>
        <v>408</v>
      </c>
      <c r="F72">
        <f t="shared" si="8"/>
        <v>428</v>
      </c>
      <c r="G72">
        <f t="shared" si="8"/>
        <v>452</v>
      </c>
    </row>
    <row r="73" spans="1:7" x14ac:dyDescent="0.4">
      <c r="A73">
        <v>1984</v>
      </c>
      <c r="B73">
        <f xml:space="preserve"> SUMIFS($C$2:$C$61, $A$2:$A$61,B63, $B$2:$B$61,$A$73)</f>
        <v>390</v>
      </c>
      <c r="C73">
        <f t="shared" ref="C73:G73" si="9" xml:space="preserve"> SUMIFS($C$2:$C$61, $A$2:$A$61,C63, $B$2:$B$61,$A$73)</f>
        <v>412</v>
      </c>
      <c r="D73">
        <f t="shared" si="9"/>
        <v>432</v>
      </c>
      <c r="E73">
        <f t="shared" si="9"/>
        <v>410</v>
      </c>
      <c r="F73">
        <f t="shared" si="9"/>
        <v>430</v>
      </c>
      <c r="G73">
        <f t="shared" si="9"/>
        <v>455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C999-34CB-4C84-ABAC-9BE00C1D7BA9}">
  <dimension ref="A1:G143"/>
  <sheetViews>
    <sheetView tabSelected="1" workbookViewId="0">
      <selection activeCell="J12" sqref="J12"/>
    </sheetView>
  </sheetViews>
  <sheetFormatPr defaultRowHeight="16" x14ac:dyDescent="0.4"/>
  <cols>
    <col min="1" max="1" width="45.5" bestFit="1" customWidth="1"/>
    <col min="2" max="2" width="10.75" bestFit="1" customWidth="1"/>
    <col min="3" max="3" width="17" bestFit="1" customWidth="1"/>
    <col min="4" max="4" width="12.9140625" bestFit="1" customWidth="1"/>
    <col min="5" max="5" width="9.25" bestFit="1" customWidth="1"/>
    <col min="6" max="6" width="13.08203125" bestFit="1" customWidth="1"/>
    <col min="7" max="7" width="11.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>
        <v>1975</v>
      </c>
      <c r="C2">
        <v>390</v>
      </c>
      <c r="D2">
        <v>6.5</v>
      </c>
      <c r="E2">
        <v>1.8</v>
      </c>
      <c r="F2">
        <v>0.42</v>
      </c>
      <c r="G2">
        <v>0.18</v>
      </c>
    </row>
    <row r="3" spans="1:7" x14ac:dyDescent="0.4">
      <c r="A3" t="s">
        <v>7</v>
      </c>
      <c r="B3">
        <v>1976</v>
      </c>
      <c r="C3">
        <v>395</v>
      </c>
      <c r="D3">
        <v>6.2</v>
      </c>
      <c r="E3">
        <v>1.85</v>
      </c>
      <c r="F3">
        <v>0.41</v>
      </c>
      <c r="G3">
        <v>0.17</v>
      </c>
    </row>
    <row r="4" spans="1:7" x14ac:dyDescent="0.4">
      <c r="A4" t="s">
        <v>7</v>
      </c>
      <c r="B4">
        <v>1977</v>
      </c>
      <c r="C4">
        <v>398</v>
      </c>
      <c r="D4">
        <v>6</v>
      </c>
      <c r="E4">
        <v>1.9</v>
      </c>
      <c r="F4">
        <v>0.41</v>
      </c>
      <c r="G4">
        <v>0.17</v>
      </c>
    </row>
    <row r="5" spans="1:7" x14ac:dyDescent="0.4">
      <c r="A5" t="s">
        <v>7</v>
      </c>
      <c r="B5">
        <v>1978</v>
      </c>
      <c r="C5">
        <v>402</v>
      </c>
      <c r="D5">
        <v>5.8</v>
      </c>
      <c r="E5">
        <v>1.95</v>
      </c>
      <c r="F5">
        <v>0.4</v>
      </c>
      <c r="G5">
        <v>0.16</v>
      </c>
    </row>
    <row r="6" spans="1:7" x14ac:dyDescent="0.4">
      <c r="A6" t="s">
        <v>7</v>
      </c>
      <c r="B6">
        <v>1979</v>
      </c>
      <c r="C6">
        <v>405</v>
      </c>
      <c r="D6">
        <v>5.6</v>
      </c>
      <c r="E6">
        <v>2</v>
      </c>
      <c r="F6">
        <v>0.4</v>
      </c>
      <c r="G6">
        <v>0.16</v>
      </c>
    </row>
    <row r="7" spans="1:7" x14ac:dyDescent="0.4">
      <c r="A7" t="s">
        <v>7</v>
      </c>
      <c r="B7">
        <v>1980</v>
      </c>
      <c r="C7">
        <v>400</v>
      </c>
      <c r="D7">
        <v>7.5</v>
      </c>
      <c r="E7">
        <v>2.1</v>
      </c>
      <c r="F7">
        <v>0.43</v>
      </c>
      <c r="G7">
        <v>0.15</v>
      </c>
    </row>
    <row r="8" spans="1:7" x14ac:dyDescent="0.4">
      <c r="A8" t="s">
        <v>7</v>
      </c>
      <c r="B8">
        <v>1981</v>
      </c>
      <c r="C8">
        <v>392</v>
      </c>
      <c r="D8">
        <v>8</v>
      </c>
      <c r="E8">
        <v>2.2000000000000002</v>
      </c>
      <c r="F8">
        <v>0.44</v>
      </c>
      <c r="G8">
        <v>0.14000000000000001</v>
      </c>
    </row>
    <row r="9" spans="1:7" x14ac:dyDescent="0.4">
      <c r="A9" t="s">
        <v>7</v>
      </c>
      <c r="B9">
        <v>1982</v>
      </c>
      <c r="C9">
        <v>385</v>
      </c>
      <c r="D9">
        <v>8.5</v>
      </c>
      <c r="E9">
        <v>2.2999999999999998</v>
      </c>
      <c r="F9">
        <v>0.45</v>
      </c>
      <c r="G9">
        <v>0.13</v>
      </c>
    </row>
    <row r="10" spans="1:7" x14ac:dyDescent="0.4">
      <c r="A10" t="s">
        <v>7</v>
      </c>
      <c r="B10">
        <v>1983</v>
      </c>
      <c r="C10">
        <v>388</v>
      </c>
      <c r="D10">
        <v>8.1999999999999993</v>
      </c>
      <c r="E10">
        <v>2.35</v>
      </c>
      <c r="F10">
        <v>0.45</v>
      </c>
      <c r="G10">
        <v>0.13</v>
      </c>
    </row>
    <row r="11" spans="1:7" x14ac:dyDescent="0.4">
      <c r="A11" t="s">
        <v>7</v>
      </c>
      <c r="B11">
        <v>1984</v>
      </c>
      <c r="C11">
        <v>390</v>
      </c>
      <c r="D11">
        <v>7.8</v>
      </c>
      <c r="E11">
        <v>2.4</v>
      </c>
      <c r="F11">
        <v>0.44</v>
      </c>
      <c r="G11">
        <v>0.13</v>
      </c>
    </row>
    <row r="12" spans="1:7" x14ac:dyDescent="0.4">
      <c r="A12" t="s">
        <v>8</v>
      </c>
      <c r="B12">
        <v>1975</v>
      </c>
      <c r="C12">
        <v>380</v>
      </c>
      <c r="D12">
        <v>6</v>
      </c>
      <c r="E12">
        <v>2.5</v>
      </c>
      <c r="F12">
        <v>0.4</v>
      </c>
      <c r="G12">
        <v>0.2</v>
      </c>
    </row>
    <row r="13" spans="1:7" x14ac:dyDescent="0.4">
      <c r="A13" t="s">
        <v>8</v>
      </c>
      <c r="B13">
        <v>1976</v>
      </c>
      <c r="C13">
        <v>385</v>
      </c>
      <c r="D13">
        <v>5.8</v>
      </c>
      <c r="E13">
        <v>2.5499999999999998</v>
      </c>
      <c r="F13">
        <v>0.4</v>
      </c>
      <c r="G13">
        <v>0.19</v>
      </c>
    </row>
    <row r="14" spans="1:7" x14ac:dyDescent="0.4">
      <c r="A14" t="s">
        <v>8</v>
      </c>
      <c r="B14">
        <v>1977</v>
      </c>
      <c r="C14">
        <v>390</v>
      </c>
      <c r="D14">
        <v>5.6</v>
      </c>
      <c r="E14">
        <v>2.6</v>
      </c>
      <c r="F14">
        <v>0.39</v>
      </c>
      <c r="G14">
        <v>0.19</v>
      </c>
    </row>
    <row r="15" spans="1:7" x14ac:dyDescent="0.4">
      <c r="A15" t="s">
        <v>8</v>
      </c>
      <c r="B15">
        <v>1978</v>
      </c>
      <c r="C15">
        <v>395</v>
      </c>
      <c r="D15">
        <v>5.4</v>
      </c>
      <c r="E15">
        <v>2.65</v>
      </c>
      <c r="F15">
        <v>0.39</v>
      </c>
      <c r="G15">
        <v>0.18</v>
      </c>
    </row>
    <row r="16" spans="1:7" x14ac:dyDescent="0.4">
      <c r="A16" t="s">
        <v>8</v>
      </c>
      <c r="B16">
        <v>1979</v>
      </c>
      <c r="C16">
        <v>398</v>
      </c>
      <c r="D16">
        <v>5.2</v>
      </c>
      <c r="E16">
        <v>2.7</v>
      </c>
      <c r="F16">
        <v>0.38</v>
      </c>
      <c r="G16">
        <v>0.18</v>
      </c>
    </row>
    <row r="17" spans="1:7" x14ac:dyDescent="0.4">
      <c r="A17" t="s">
        <v>8</v>
      </c>
      <c r="B17">
        <v>1980</v>
      </c>
      <c r="C17">
        <v>402</v>
      </c>
      <c r="D17">
        <v>6.8</v>
      </c>
      <c r="E17">
        <v>2.75</v>
      </c>
      <c r="F17">
        <v>0.39</v>
      </c>
      <c r="G17">
        <v>0.17</v>
      </c>
    </row>
    <row r="18" spans="1:7" x14ac:dyDescent="0.4">
      <c r="A18" t="s">
        <v>8</v>
      </c>
      <c r="B18">
        <v>1981</v>
      </c>
      <c r="C18">
        <v>405</v>
      </c>
      <c r="D18">
        <v>7</v>
      </c>
      <c r="E18">
        <v>2.8</v>
      </c>
      <c r="F18">
        <v>0.39</v>
      </c>
      <c r="G18">
        <v>0.17</v>
      </c>
    </row>
    <row r="19" spans="1:7" x14ac:dyDescent="0.4">
      <c r="A19" t="s">
        <v>8</v>
      </c>
      <c r="B19">
        <v>1982</v>
      </c>
      <c r="C19">
        <v>408</v>
      </c>
      <c r="D19">
        <v>7.5</v>
      </c>
      <c r="E19">
        <v>2.85</v>
      </c>
      <c r="F19">
        <v>0.4</v>
      </c>
      <c r="G19">
        <v>0.16</v>
      </c>
    </row>
    <row r="20" spans="1:7" x14ac:dyDescent="0.4">
      <c r="A20" t="s">
        <v>8</v>
      </c>
      <c r="B20">
        <v>1983</v>
      </c>
      <c r="C20">
        <v>410</v>
      </c>
      <c r="D20">
        <v>7.2</v>
      </c>
      <c r="E20">
        <v>2.9</v>
      </c>
      <c r="F20">
        <v>0.4</v>
      </c>
      <c r="G20">
        <v>0.16</v>
      </c>
    </row>
    <row r="21" spans="1:7" x14ac:dyDescent="0.4">
      <c r="A21" t="s">
        <v>8</v>
      </c>
      <c r="B21">
        <v>1984</v>
      </c>
      <c r="C21">
        <v>412</v>
      </c>
      <c r="D21">
        <v>6.9</v>
      </c>
      <c r="E21">
        <v>2.95</v>
      </c>
      <c r="F21">
        <v>0.4</v>
      </c>
      <c r="G21">
        <v>0.16</v>
      </c>
    </row>
    <row r="22" spans="1:7" x14ac:dyDescent="0.4">
      <c r="A22" t="s">
        <v>9</v>
      </c>
      <c r="B22">
        <v>1975</v>
      </c>
      <c r="C22">
        <v>395</v>
      </c>
      <c r="D22">
        <v>5.5</v>
      </c>
      <c r="E22">
        <v>3</v>
      </c>
      <c r="F22">
        <v>0.41</v>
      </c>
      <c r="G22">
        <v>0.25</v>
      </c>
    </row>
    <row r="23" spans="1:7" x14ac:dyDescent="0.4">
      <c r="A23" t="s">
        <v>9</v>
      </c>
      <c r="B23">
        <v>1976</v>
      </c>
      <c r="C23">
        <v>400</v>
      </c>
      <c r="D23">
        <v>5.3</v>
      </c>
      <c r="E23">
        <v>3.05</v>
      </c>
      <c r="F23">
        <v>0.41</v>
      </c>
      <c r="G23">
        <v>0.24</v>
      </c>
    </row>
    <row r="24" spans="1:7" x14ac:dyDescent="0.4">
      <c r="A24" t="s">
        <v>9</v>
      </c>
      <c r="B24">
        <v>1977</v>
      </c>
      <c r="C24">
        <v>405</v>
      </c>
      <c r="D24">
        <v>5.0999999999999996</v>
      </c>
      <c r="E24">
        <v>3.1</v>
      </c>
      <c r="F24">
        <v>0.4</v>
      </c>
      <c r="G24">
        <v>0.24</v>
      </c>
    </row>
    <row r="25" spans="1:7" x14ac:dyDescent="0.4">
      <c r="A25" t="s">
        <v>9</v>
      </c>
      <c r="B25">
        <v>1978</v>
      </c>
      <c r="C25">
        <v>410</v>
      </c>
      <c r="D25">
        <v>5</v>
      </c>
      <c r="E25">
        <v>3.15</v>
      </c>
      <c r="F25">
        <v>0.4</v>
      </c>
      <c r="G25">
        <v>0.23</v>
      </c>
    </row>
    <row r="26" spans="1:7" x14ac:dyDescent="0.4">
      <c r="A26" t="s">
        <v>9</v>
      </c>
      <c r="B26">
        <v>1979</v>
      </c>
      <c r="C26">
        <v>415</v>
      </c>
      <c r="D26">
        <v>4.9000000000000004</v>
      </c>
      <c r="E26">
        <v>3.2</v>
      </c>
      <c r="F26">
        <v>0.39</v>
      </c>
      <c r="G26">
        <v>0.23</v>
      </c>
    </row>
    <row r="27" spans="1:7" x14ac:dyDescent="0.4">
      <c r="A27" t="s">
        <v>9</v>
      </c>
      <c r="B27">
        <v>1980</v>
      </c>
      <c r="C27">
        <v>420</v>
      </c>
      <c r="D27">
        <v>6.5</v>
      </c>
      <c r="E27">
        <v>3.3</v>
      </c>
      <c r="F27">
        <v>0.4</v>
      </c>
      <c r="G27">
        <v>0.22</v>
      </c>
    </row>
    <row r="28" spans="1:7" x14ac:dyDescent="0.4">
      <c r="A28" t="s">
        <v>9</v>
      </c>
      <c r="B28">
        <v>1981</v>
      </c>
      <c r="C28">
        <v>425</v>
      </c>
      <c r="D28">
        <v>6.8</v>
      </c>
      <c r="E28">
        <v>3.35</v>
      </c>
      <c r="F28">
        <v>0.4</v>
      </c>
      <c r="G28">
        <v>0.22</v>
      </c>
    </row>
    <row r="29" spans="1:7" x14ac:dyDescent="0.4">
      <c r="A29" t="s">
        <v>9</v>
      </c>
      <c r="B29">
        <v>1982</v>
      </c>
      <c r="C29">
        <v>428</v>
      </c>
      <c r="D29">
        <v>7.2</v>
      </c>
      <c r="E29">
        <v>3.4</v>
      </c>
      <c r="F29">
        <v>0.41</v>
      </c>
      <c r="G29">
        <v>0.21</v>
      </c>
    </row>
    <row r="30" spans="1:7" x14ac:dyDescent="0.4">
      <c r="A30" t="s">
        <v>9</v>
      </c>
      <c r="B30">
        <v>1983</v>
      </c>
      <c r="C30">
        <v>430</v>
      </c>
      <c r="D30">
        <v>7</v>
      </c>
      <c r="E30">
        <v>3.45</v>
      </c>
      <c r="F30">
        <v>0.41</v>
      </c>
      <c r="G30">
        <v>0.21</v>
      </c>
    </row>
    <row r="31" spans="1:7" x14ac:dyDescent="0.4">
      <c r="A31" t="s">
        <v>9</v>
      </c>
      <c r="B31">
        <v>1984</v>
      </c>
      <c r="C31">
        <v>432</v>
      </c>
      <c r="D31">
        <v>6.7</v>
      </c>
      <c r="E31">
        <v>3.5</v>
      </c>
      <c r="F31">
        <v>0.41</v>
      </c>
      <c r="G31">
        <v>0.21</v>
      </c>
    </row>
    <row r="32" spans="1:7" x14ac:dyDescent="0.4">
      <c r="A32" t="s">
        <v>10</v>
      </c>
      <c r="B32">
        <v>1975</v>
      </c>
      <c r="C32">
        <v>385</v>
      </c>
      <c r="D32">
        <v>6.3</v>
      </c>
      <c r="E32">
        <v>1.5</v>
      </c>
      <c r="F32">
        <v>0.42</v>
      </c>
      <c r="G32">
        <v>0.19</v>
      </c>
    </row>
    <row r="33" spans="1:7" x14ac:dyDescent="0.4">
      <c r="A33" t="s">
        <v>10</v>
      </c>
      <c r="B33">
        <v>1976</v>
      </c>
      <c r="C33">
        <v>390</v>
      </c>
      <c r="D33">
        <v>6</v>
      </c>
      <c r="E33">
        <v>1.55</v>
      </c>
      <c r="F33">
        <v>0.42</v>
      </c>
      <c r="G33">
        <v>0.18</v>
      </c>
    </row>
    <row r="34" spans="1:7" x14ac:dyDescent="0.4">
      <c r="A34" t="s">
        <v>10</v>
      </c>
      <c r="B34">
        <v>1977</v>
      </c>
      <c r="C34">
        <v>395</v>
      </c>
      <c r="D34">
        <v>5.8</v>
      </c>
      <c r="E34">
        <v>1.6</v>
      </c>
      <c r="F34">
        <v>0.41</v>
      </c>
      <c r="G34">
        <v>0.18</v>
      </c>
    </row>
    <row r="35" spans="1:7" x14ac:dyDescent="0.4">
      <c r="A35" t="s">
        <v>10</v>
      </c>
      <c r="B35">
        <v>1978</v>
      </c>
      <c r="C35">
        <v>398</v>
      </c>
      <c r="D35">
        <v>5.6</v>
      </c>
      <c r="E35">
        <v>1.65</v>
      </c>
      <c r="F35">
        <v>0.41</v>
      </c>
      <c r="G35">
        <v>0.17</v>
      </c>
    </row>
    <row r="36" spans="1:7" x14ac:dyDescent="0.4">
      <c r="A36" t="s">
        <v>10</v>
      </c>
      <c r="B36">
        <v>1979</v>
      </c>
      <c r="C36">
        <v>400</v>
      </c>
      <c r="D36">
        <v>5.5</v>
      </c>
      <c r="E36">
        <v>1.7</v>
      </c>
      <c r="F36">
        <v>0.4</v>
      </c>
      <c r="G36">
        <v>0.17</v>
      </c>
    </row>
    <row r="37" spans="1:7" x14ac:dyDescent="0.4">
      <c r="A37" t="s">
        <v>10</v>
      </c>
      <c r="B37">
        <v>1980</v>
      </c>
      <c r="C37">
        <v>402</v>
      </c>
      <c r="D37">
        <v>7.2</v>
      </c>
      <c r="E37">
        <v>1.75</v>
      </c>
      <c r="F37">
        <v>0.41</v>
      </c>
      <c r="G37">
        <v>0.16</v>
      </c>
    </row>
    <row r="38" spans="1:7" x14ac:dyDescent="0.4">
      <c r="A38" t="s">
        <v>10</v>
      </c>
      <c r="B38">
        <v>1981</v>
      </c>
      <c r="C38">
        <v>405</v>
      </c>
      <c r="D38">
        <v>7.5</v>
      </c>
      <c r="E38">
        <v>1.8</v>
      </c>
      <c r="F38">
        <v>0.41</v>
      </c>
      <c r="G38">
        <v>0.16</v>
      </c>
    </row>
    <row r="39" spans="1:7" x14ac:dyDescent="0.4">
      <c r="A39" t="s">
        <v>10</v>
      </c>
      <c r="B39">
        <v>1982</v>
      </c>
      <c r="C39">
        <v>407</v>
      </c>
      <c r="D39">
        <v>8</v>
      </c>
      <c r="E39">
        <v>1.85</v>
      </c>
      <c r="F39">
        <v>0.42</v>
      </c>
      <c r="G39">
        <v>0.15</v>
      </c>
    </row>
    <row r="40" spans="1:7" x14ac:dyDescent="0.4">
      <c r="A40" t="s">
        <v>10</v>
      </c>
      <c r="B40">
        <v>1983</v>
      </c>
      <c r="C40">
        <v>408</v>
      </c>
      <c r="D40">
        <v>7.8</v>
      </c>
      <c r="E40">
        <v>1.9</v>
      </c>
      <c r="F40">
        <v>0.42</v>
      </c>
      <c r="G40">
        <v>0.15</v>
      </c>
    </row>
    <row r="41" spans="1:7" x14ac:dyDescent="0.4">
      <c r="A41" t="s">
        <v>10</v>
      </c>
      <c r="B41">
        <v>1984</v>
      </c>
      <c r="C41">
        <v>410</v>
      </c>
      <c r="D41">
        <v>7.4</v>
      </c>
      <c r="E41">
        <v>1.95</v>
      </c>
      <c r="F41">
        <v>0.42</v>
      </c>
      <c r="G41">
        <v>0.15</v>
      </c>
    </row>
    <row r="42" spans="1:7" x14ac:dyDescent="0.4">
      <c r="A42" t="s">
        <v>11</v>
      </c>
      <c r="B42">
        <v>1975</v>
      </c>
      <c r="C42">
        <v>400</v>
      </c>
      <c r="D42">
        <v>5.7</v>
      </c>
      <c r="E42">
        <v>2.8</v>
      </c>
      <c r="F42">
        <v>0.39</v>
      </c>
      <c r="G42">
        <v>0.23</v>
      </c>
    </row>
    <row r="43" spans="1:7" x14ac:dyDescent="0.4">
      <c r="A43" t="s">
        <v>11</v>
      </c>
      <c r="B43">
        <v>1976</v>
      </c>
      <c r="C43">
        <v>405</v>
      </c>
      <c r="D43">
        <v>5.5</v>
      </c>
      <c r="E43">
        <v>2.85</v>
      </c>
      <c r="F43">
        <v>0.39</v>
      </c>
      <c r="G43">
        <v>0.22</v>
      </c>
    </row>
    <row r="44" spans="1:7" x14ac:dyDescent="0.4">
      <c r="A44" t="s">
        <v>11</v>
      </c>
      <c r="B44">
        <v>1977</v>
      </c>
      <c r="C44">
        <v>410</v>
      </c>
      <c r="D44">
        <v>5.3</v>
      </c>
      <c r="E44">
        <v>2.9</v>
      </c>
      <c r="F44">
        <v>0.38</v>
      </c>
      <c r="G44">
        <v>0.22</v>
      </c>
    </row>
    <row r="45" spans="1:7" x14ac:dyDescent="0.4">
      <c r="A45" t="s">
        <v>11</v>
      </c>
      <c r="B45">
        <v>1978</v>
      </c>
      <c r="C45">
        <v>415</v>
      </c>
      <c r="D45">
        <v>5.2</v>
      </c>
      <c r="E45">
        <v>2.95</v>
      </c>
      <c r="F45">
        <v>0.38</v>
      </c>
      <c r="G45">
        <v>0.21</v>
      </c>
    </row>
    <row r="46" spans="1:7" x14ac:dyDescent="0.4">
      <c r="A46" t="s">
        <v>11</v>
      </c>
      <c r="B46">
        <v>1979</v>
      </c>
      <c r="C46">
        <v>418</v>
      </c>
      <c r="D46">
        <v>5.0999999999999996</v>
      </c>
      <c r="E46">
        <v>3</v>
      </c>
      <c r="F46">
        <v>0.37</v>
      </c>
      <c r="G46">
        <v>0.21</v>
      </c>
    </row>
    <row r="47" spans="1:7" x14ac:dyDescent="0.4">
      <c r="A47" t="s">
        <v>11</v>
      </c>
      <c r="B47">
        <v>1980</v>
      </c>
      <c r="C47">
        <v>420</v>
      </c>
      <c r="D47">
        <v>6.6</v>
      </c>
      <c r="E47">
        <v>3.1</v>
      </c>
      <c r="F47">
        <v>0.38</v>
      </c>
      <c r="G47">
        <v>0.2</v>
      </c>
    </row>
    <row r="48" spans="1:7" x14ac:dyDescent="0.4">
      <c r="A48" t="s">
        <v>11</v>
      </c>
      <c r="B48">
        <v>1981</v>
      </c>
      <c r="C48">
        <v>423</v>
      </c>
      <c r="D48">
        <v>6.9</v>
      </c>
      <c r="E48">
        <v>3.15</v>
      </c>
      <c r="F48">
        <v>0.38</v>
      </c>
      <c r="G48">
        <v>0.2</v>
      </c>
    </row>
    <row r="49" spans="1:7" x14ac:dyDescent="0.4">
      <c r="A49" t="s">
        <v>11</v>
      </c>
      <c r="B49">
        <v>1982</v>
      </c>
      <c r="C49">
        <v>425</v>
      </c>
      <c r="D49">
        <v>7.3</v>
      </c>
      <c r="E49">
        <v>3.2</v>
      </c>
      <c r="F49">
        <v>0.39</v>
      </c>
      <c r="G49">
        <v>0.19</v>
      </c>
    </row>
    <row r="50" spans="1:7" x14ac:dyDescent="0.4">
      <c r="A50" t="s">
        <v>11</v>
      </c>
      <c r="B50">
        <v>1983</v>
      </c>
      <c r="C50">
        <v>428</v>
      </c>
      <c r="D50">
        <v>7.1</v>
      </c>
      <c r="E50">
        <v>3.25</v>
      </c>
      <c r="F50">
        <v>0.39</v>
      </c>
      <c r="G50">
        <v>0.19</v>
      </c>
    </row>
    <row r="51" spans="1:7" x14ac:dyDescent="0.4">
      <c r="A51" t="s">
        <v>11</v>
      </c>
      <c r="B51">
        <v>1984</v>
      </c>
      <c r="C51">
        <v>430</v>
      </c>
      <c r="D51">
        <v>6.8</v>
      </c>
      <c r="E51">
        <v>3.3</v>
      </c>
      <c r="F51">
        <v>0.39</v>
      </c>
      <c r="G51">
        <v>0.19</v>
      </c>
    </row>
    <row r="52" spans="1:7" x14ac:dyDescent="0.4">
      <c r="A52" t="s">
        <v>12</v>
      </c>
      <c r="B52">
        <v>1975</v>
      </c>
      <c r="C52">
        <v>420</v>
      </c>
      <c r="D52">
        <v>6.8</v>
      </c>
      <c r="E52">
        <v>5.5</v>
      </c>
      <c r="F52">
        <v>0.43</v>
      </c>
      <c r="G52">
        <v>0.21</v>
      </c>
    </row>
    <row r="53" spans="1:7" x14ac:dyDescent="0.4">
      <c r="A53" t="s">
        <v>12</v>
      </c>
      <c r="B53">
        <v>1976</v>
      </c>
      <c r="C53">
        <v>425</v>
      </c>
      <c r="D53">
        <v>6.6</v>
      </c>
      <c r="E53">
        <v>5.6</v>
      </c>
      <c r="F53">
        <v>0.43</v>
      </c>
      <c r="G53">
        <v>0.21</v>
      </c>
    </row>
    <row r="54" spans="1:7" x14ac:dyDescent="0.4">
      <c r="A54" t="s">
        <v>12</v>
      </c>
      <c r="B54">
        <v>1977</v>
      </c>
      <c r="C54">
        <v>430</v>
      </c>
      <c r="D54">
        <v>6.4</v>
      </c>
      <c r="E54">
        <v>5.7</v>
      </c>
      <c r="F54">
        <v>0.42</v>
      </c>
      <c r="G54">
        <v>0.2</v>
      </c>
    </row>
    <row r="55" spans="1:7" x14ac:dyDescent="0.4">
      <c r="A55" t="s">
        <v>12</v>
      </c>
      <c r="B55">
        <v>1978</v>
      </c>
      <c r="C55">
        <v>435</v>
      </c>
      <c r="D55">
        <v>6.2</v>
      </c>
      <c r="E55">
        <v>5.8</v>
      </c>
      <c r="F55">
        <v>0.42</v>
      </c>
      <c r="G55">
        <v>0.2</v>
      </c>
    </row>
    <row r="56" spans="1:7" x14ac:dyDescent="0.4">
      <c r="A56" t="s">
        <v>12</v>
      </c>
      <c r="B56">
        <v>1979</v>
      </c>
      <c r="C56">
        <v>440</v>
      </c>
      <c r="D56">
        <v>6</v>
      </c>
      <c r="E56">
        <v>5.9</v>
      </c>
      <c r="F56">
        <v>0.41</v>
      </c>
      <c r="G56">
        <v>0.19</v>
      </c>
    </row>
    <row r="57" spans="1:7" x14ac:dyDescent="0.4">
      <c r="A57" t="s">
        <v>12</v>
      </c>
      <c r="B57">
        <v>1980</v>
      </c>
      <c r="C57">
        <v>445</v>
      </c>
      <c r="D57">
        <v>7.8</v>
      </c>
      <c r="E57">
        <v>6</v>
      </c>
      <c r="F57">
        <v>0.42</v>
      </c>
      <c r="G57">
        <v>0.18</v>
      </c>
    </row>
    <row r="58" spans="1:7" x14ac:dyDescent="0.4">
      <c r="A58" t="s">
        <v>12</v>
      </c>
      <c r="B58">
        <v>1981</v>
      </c>
      <c r="C58">
        <v>448</v>
      </c>
      <c r="D58">
        <v>8.1999999999999993</v>
      </c>
      <c r="E58">
        <v>6.1</v>
      </c>
      <c r="F58">
        <v>0.42</v>
      </c>
      <c r="G58">
        <v>0.18</v>
      </c>
    </row>
    <row r="59" spans="1:7" x14ac:dyDescent="0.4">
      <c r="A59" t="s">
        <v>12</v>
      </c>
      <c r="B59">
        <v>1982</v>
      </c>
      <c r="C59">
        <v>450</v>
      </c>
      <c r="D59">
        <v>8.6</v>
      </c>
      <c r="E59">
        <v>6.2</v>
      </c>
      <c r="F59">
        <v>0.43</v>
      </c>
      <c r="G59">
        <v>0.17</v>
      </c>
    </row>
    <row r="60" spans="1:7" x14ac:dyDescent="0.4">
      <c r="A60" t="s">
        <v>12</v>
      </c>
      <c r="B60">
        <v>1983</v>
      </c>
      <c r="C60">
        <v>452</v>
      </c>
      <c r="D60">
        <v>8.4</v>
      </c>
      <c r="E60">
        <v>6.3</v>
      </c>
      <c r="F60">
        <v>0.43</v>
      </c>
      <c r="G60">
        <v>0.17</v>
      </c>
    </row>
    <row r="61" spans="1:7" x14ac:dyDescent="0.4">
      <c r="A61" t="s">
        <v>12</v>
      </c>
      <c r="B61">
        <v>1984</v>
      </c>
      <c r="C61">
        <v>455</v>
      </c>
      <c r="D61">
        <v>8</v>
      </c>
      <c r="E61">
        <v>6.4</v>
      </c>
      <c r="F61">
        <v>0.43</v>
      </c>
      <c r="G61">
        <v>0.17</v>
      </c>
    </row>
    <row r="63" spans="1:7" x14ac:dyDescent="0.4">
      <c r="A63" t="s">
        <v>20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</row>
    <row r="64" spans="1:7" x14ac:dyDescent="0.4">
      <c r="A64" t="s">
        <v>21</v>
      </c>
      <c r="B64">
        <v>0</v>
      </c>
      <c r="C64">
        <v>0</v>
      </c>
      <c r="D64">
        <v>0.87913907098479427</v>
      </c>
      <c r="E64">
        <v>0</v>
      </c>
      <c r="F64">
        <v>0.12086092901520583</v>
      </c>
    </row>
    <row r="66" spans="1:6" x14ac:dyDescent="0.4">
      <c r="A66" t="s">
        <v>22</v>
      </c>
      <c r="B66">
        <f>SUM(B64:F64)</f>
        <v>1</v>
      </c>
    </row>
    <row r="67" spans="1:6" x14ac:dyDescent="0.4">
      <c r="A67" s="1" t="s">
        <v>29</v>
      </c>
    </row>
    <row r="68" spans="1:6" x14ac:dyDescent="0.4">
      <c r="A68" t="s">
        <v>23</v>
      </c>
    </row>
    <row r="69" spans="1:6" x14ac:dyDescent="0.4">
      <c r="A69" t="s">
        <v>24</v>
      </c>
      <c r="B69">
        <f>AVERAGE(D2:D6)</f>
        <v>6.0200000000000005</v>
      </c>
    </row>
    <row r="70" spans="1:6" x14ac:dyDescent="0.4">
      <c r="A70" t="s">
        <v>25</v>
      </c>
      <c r="B70">
        <f>AVERAGE(E2:E6)</f>
        <v>1.9</v>
      </c>
    </row>
    <row r="71" spans="1:6" x14ac:dyDescent="0.4">
      <c r="A71" t="s">
        <v>26</v>
      </c>
      <c r="B71">
        <f>AVERAGE(F2:F6)</f>
        <v>0.40800000000000003</v>
      </c>
    </row>
    <row r="72" spans="1:6" x14ac:dyDescent="0.4">
      <c r="A72" t="s">
        <v>27</v>
      </c>
      <c r="B72">
        <f>AVERAGE(G2:G6)</f>
        <v>0.16800000000000001</v>
      </c>
    </row>
    <row r="73" spans="1:6" x14ac:dyDescent="0.4">
      <c r="A73" s="1" t="s">
        <v>30</v>
      </c>
    </row>
    <row r="74" spans="1:6" x14ac:dyDescent="0.4">
      <c r="A74" t="s">
        <v>28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</row>
    <row r="75" spans="1:6" x14ac:dyDescent="0.4">
      <c r="A75" t="s">
        <v>24</v>
      </c>
      <c r="B75">
        <f>AVERAGE(D12:D16)</f>
        <v>5.6</v>
      </c>
      <c r="C75">
        <f>AVERAGE(D22:D26)</f>
        <v>5.1599999999999993</v>
      </c>
      <c r="D75">
        <f>AVERAGE(D32:D36)</f>
        <v>5.8400000000000007</v>
      </c>
      <c r="E75">
        <f>AVERAGE(D42:D46)</f>
        <v>5.3599999999999994</v>
      </c>
      <c r="F75">
        <f>AVERAGE(D52:D56)</f>
        <v>6.3999999999999995</v>
      </c>
    </row>
    <row r="76" spans="1:6" x14ac:dyDescent="0.4">
      <c r="A76" t="s">
        <v>25</v>
      </c>
      <c r="B76">
        <f>AVERAGE(E12:E16)</f>
        <v>2.6</v>
      </c>
      <c r="C76">
        <f>AVERAGE(E22:E26)</f>
        <v>3.1</v>
      </c>
      <c r="D76">
        <f>AVERAGE(E32:E36)</f>
        <v>1.6</v>
      </c>
      <c r="E76">
        <f>AVERAGE(E42:E46)</f>
        <v>2.9</v>
      </c>
      <c r="F76">
        <f>AVERAGE(E52:E56)</f>
        <v>5.7</v>
      </c>
    </row>
    <row r="77" spans="1:6" x14ac:dyDescent="0.4">
      <c r="A77" t="s">
        <v>26</v>
      </c>
      <c r="B77">
        <f>AVERAGE(F12:F16)</f>
        <v>0.39200000000000002</v>
      </c>
      <c r="C77">
        <f>AVERAGE(F22:F26)</f>
        <v>0.40200000000000002</v>
      </c>
      <c r="D77">
        <f>AVERAGE(F32:F36)</f>
        <v>0.41200000000000003</v>
      </c>
      <c r="E77">
        <f>AVERAGE(F42:F46)</f>
        <v>0.38200000000000001</v>
      </c>
      <c r="F77">
        <f>AVERAGE(F52:F56)</f>
        <v>0.42199999999999999</v>
      </c>
    </row>
    <row r="78" spans="1:6" x14ac:dyDescent="0.4">
      <c r="A78" t="s">
        <v>27</v>
      </c>
      <c r="B78">
        <f>AVERAGE(G12:G16)</f>
        <v>0.188</v>
      </c>
      <c r="C78">
        <f>AVERAGE(G22:G26)</f>
        <v>0.23799999999999999</v>
      </c>
      <c r="D78">
        <f>AVERAGE(G32:G36)</f>
        <v>0.17800000000000002</v>
      </c>
      <c r="E78">
        <f>AVERAGE(G42:G46)</f>
        <v>0.21800000000000003</v>
      </c>
      <c r="F78">
        <f>AVERAGE(G52:G56)</f>
        <v>0.20200000000000001</v>
      </c>
    </row>
    <row r="79" spans="1:6" x14ac:dyDescent="0.4">
      <c r="A79" s="1" t="s">
        <v>31</v>
      </c>
    </row>
    <row r="80" spans="1:6" x14ac:dyDescent="0.4">
      <c r="A80" t="s">
        <v>32</v>
      </c>
    </row>
    <row r="81" spans="1:6" x14ac:dyDescent="0.4">
      <c r="A81" t="s">
        <v>24</v>
      </c>
      <c r="B81">
        <f>SUMPRODUCT($B$64:$F$64, B75:F75)</f>
        <v>5.9076821202485164</v>
      </c>
    </row>
    <row r="82" spans="1:6" x14ac:dyDescent="0.4">
      <c r="A82" t="s">
        <v>25</v>
      </c>
      <c r="B82">
        <f>SUMPRODUCT($B$64:$F$64, B76:F76)</f>
        <v>2.0955298089623442</v>
      </c>
    </row>
    <row r="83" spans="1:6" x14ac:dyDescent="0.4">
      <c r="A83" t="s">
        <v>26</v>
      </c>
      <c r="B83">
        <f>SUMPRODUCT($B$64:$F$64, B77:F77)</f>
        <v>0.41320860929015213</v>
      </c>
    </row>
    <row r="84" spans="1:6" x14ac:dyDescent="0.4">
      <c r="A84" t="s">
        <v>27</v>
      </c>
      <c r="B84">
        <f>SUMPRODUCT($B$64:$F$64, B78:F78)</f>
        <v>0.18090066229636498</v>
      </c>
    </row>
    <row r="85" spans="1:6" x14ac:dyDescent="0.4">
      <c r="A85" s="1" t="s">
        <v>39</v>
      </c>
    </row>
    <row r="86" spans="1:6" x14ac:dyDescent="0.4">
      <c r="A86" t="s">
        <v>33</v>
      </c>
    </row>
    <row r="87" spans="1:6" x14ac:dyDescent="0.4">
      <c r="A87" t="s">
        <v>34</v>
      </c>
      <c r="B87">
        <f>(B69-B81)^2</f>
        <v>1.2615306111868844E-2</v>
      </c>
    </row>
    <row r="88" spans="1:6" x14ac:dyDescent="0.4">
      <c r="A88" t="s">
        <v>35</v>
      </c>
      <c r="B88">
        <f>(B70-B82)^2</f>
        <v>3.8231906192850849E-2</v>
      </c>
    </row>
    <row r="89" spans="1:6" x14ac:dyDescent="0.4">
      <c r="A89" t="s">
        <v>36</v>
      </c>
      <c r="B89">
        <f>(B71-B83)^2</f>
        <v>2.7129610737458759E-5</v>
      </c>
    </row>
    <row r="90" spans="1:6" x14ac:dyDescent="0.4">
      <c r="A90" t="s">
        <v>37</v>
      </c>
      <c r="B90">
        <f>(B72-B84)^2</f>
        <v>1.6642708768485265E-4</v>
      </c>
    </row>
    <row r="91" spans="1:6" x14ac:dyDescent="0.4">
      <c r="A91" t="s">
        <v>38</v>
      </c>
      <c r="B91">
        <f>SUM(A87:A90)</f>
        <v>0</v>
      </c>
      <c r="C91" t="s">
        <v>40</v>
      </c>
    </row>
    <row r="92" spans="1:6" x14ac:dyDescent="0.4">
      <c r="A92" s="1" t="s">
        <v>45</v>
      </c>
    </row>
    <row r="93" spans="1:6" x14ac:dyDescent="0.4">
      <c r="A93" t="s">
        <v>19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</row>
    <row r="94" spans="1:6" x14ac:dyDescent="0.4">
      <c r="A94">
        <v>1975</v>
      </c>
      <c r="B94">
        <f t="shared" ref="B94:B103" si="0">C12</f>
        <v>380</v>
      </c>
      <c r="C94">
        <f t="shared" ref="C94:C103" si="1">C22</f>
        <v>395</v>
      </c>
      <c r="D94">
        <f t="shared" ref="D94:D103" si="2">C32</f>
        <v>385</v>
      </c>
      <c r="E94">
        <f t="shared" ref="E94:E103" si="3">C42</f>
        <v>400</v>
      </c>
      <c r="F94">
        <f t="shared" ref="F94:F103" si="4">C52</f>
        <v>420</v>
      </c>
    </row>
    <row r="95" spans="1:6" x14ac:dyDescent="0.4">
      <c r="A95">
        <v>1976</v>
      </c>
      <c r="B95">
        <f t="shared" si="0"/>
        <v>385</v>
      </c>
      <c r="C95">
        <f t="shared" si="1"/>
        <v>400</v>
      </c>
      <c r="D95">
        <f t="shared" si="2"/>
        <v>390</v>
      </c>
      <c r="E95">
        <f t="shared" si="3"/>
        <v>405</v>
      </c>
      <c r="F95">
        <f t="shared" si="4"/>
        <v>425</v>
      </c>
    </row>
    <row r="96" spans="1:6" x14ac:dyDescent="0.4">
      <c r="A96">
        <v>1977</v>
      </c>
      <c r="B96">
        <f t="shared" si="0"/>
        <v>390</v>
      </c>
      <c r="C96">
        <f t="shared" si="1"/>
        <v>405</v>
      </c>
      <c r="D96">
        <f t="shared" si="2"/>
        <v>395</v>
      </c>
      <c r="E96">
        <f t="shared" si="3"/>
        <v>410</v>
      </c>
      <c r="F96">
        <f t="shared" si="4"/>
        <v>430</v>
      </c>
    </row>
    <row r="97" spans="1:6" x14ac:dyDescent="0.4">
      <c r="A97">
        <v>1978</v>
      </c>
      <c r="B97">
        <f t="shared" si="0"/>
        <v>395</v>
      </c>
      <c r="C97">
        <f t="shared" si="1"/>
        <v>410</v>
      </c>
      <c r="D97">
        <f t="shared" si="2"/>
        <v>398</v>
      </c>
      <c r="E97">
        <f t="shared" si="3"/>
        <v>415</v>
      </c>
      <c r="F97">
        <f t="shared" si="4"/>
        <v>435</v>
      </c>
    </row>
    <row r="98" spans="1:6" x14ac:dyDescent="0.4">
      <c r="A98">
        <v>1979</v>
      </c>
      <c r="B98">
        <f t="shared" si="0"/>
        <v>398</v>
      </c>
      <c r="C98">
        <f t="shared" si="1"/>
        <v>415</v>
      </c>
      <c r="D98">
        <f t="shared" si="2"/>
        <v>400</v>
      </c>
      <c r="E98">
        <f t="shared" si="3"/>
        <v>418</v>
      </c>
      <c r="F98">
        <f t="shared" si="4"/>
        <v>440</v>
      </c>
    </row>
    <row r="99" spans="1:6" x14ac:dyDescent="0.4">
      <c r="A99">
        <v>1980</v>
      </c>
      <c r="B99">
        <f t="shared" si="0"/>
        <v>402</v>
      </c>
      <c r="C99">
        <f t="shared" si="1"/>
        <v>420</v>
      </c>
      <c r="D99">
        <f t="shared" si="2"/>
        <v>402</v>
      </c>
      <c r="E99">
        <f t="shared" si="3"/>
        <v>420</v>
      </c>
      <c r="F99">
        <f t="shared" si="4"/>
        <v>445</v>
      </c>
    </row>
    <row r="100" spans="1:6" x14ac:dyDescent="0.4">
      <c r="A100">
        <v>1981</v>
      </c>
      <c r="B100">
        <f t="shared" si="0"/>
        <v>405</v>
      </c>
      <c r="C100">
        <f t="shared" si="1"/>
        <v>425</v>
      </c>
      <c r="D100">
        <f t="shared" si="2"/>
        <v>405</v>
      </c>
      <c r="E100">
        <f t="shared" si="3"/>
        <v>423</v>
      </c>
      <c r="F100">
        <f t="shared" si="4"/>
        <v>448</v>
      </c>
    </row>
    <row r="101" spans="1:6" x14ac:dyDescent="0.4">
      <c r="A101">
        <v>1982</v>
      </c>
      <c r="B101">
        <f t="shared" si="0"/>
        <v>408</v>
      </c>
      <c r="C101">
        <f t="shared" si="1"/>
        <v>428</v>
      </c>
      <c r="D101">
        <f t="shared" si="2"/>
        <v>407</v>
      </c>
      <c r="E101">
        <f t="shared" si="3"/>
        <v>425</v>
      </c>
      <c r="F101">
        <f t="shared" si="4"/>
        <v>450</v>
      </c>
    </row>
    <row r="102" spans="1:6" x14ac:dyDescent="0.4">
      <c r="A102">
        <v>1983</v>
      </c>
      <c r="B102">
        <f t="shared" si="0"/>
        <v>410</v>
      </c>
      <c r="C102">
        <f t="shared" si="1"/>
        <v>430</v>
      </c>
      <c r="D102">
        <f t="shared" si="2"/>
        <v>408</v>
      </c>
      <c r="E102">
        <f t="shared" si="3"/>
        <v>428</v>
      </c>
      <c r="F102">
        <f t="shared" si="4"/>
        <v>452</v>
      </c>
    </row>
    <row r="103" spans="1:6" x14ac:dyDescent="0.4">
      <c r="A103">
        <v>1984</v>
      </c>
      <c r="B103">
        <f t="shared" si="0"/>
        <v>412</v>
      </c>
      <c r="C103">
        <f t="shared" si="1"/>
        <v>432</v>
      </c>
      <c r="D103">
        <f t="shared" si="2"/>
        <v>410</v>
      </c>
      <c r="E103">
        <f t="shared" si="3"/>
        <v>430</v>
      </c>
      <c r="F103">
        <f t="shared" si="4"/>
        <v>455</v>
      </c>
    </row>
    <row r="105" spans="1:6" x14ac:dyDescent="0.4">
      <c r="A105" s="1" t="s">
        <v>44</v>
      </c>
    </row>
    <row r="106" spans="1:6" x14ac:dyDescent="0.4">
      <c r="A106" t="s">
        <v>19</v>
      </c>
      <c r="B106" t="s">
        <v>41</v>
      </c>
      <c r="C106" t="s">
        <v>42</v>
      </c>
      <c r="D106" t="s">
        <v>43</v>
      </c>
    </row>
    <row r="107" spans="1:6" x14ac:dyDescent="0.4">
      <c r="A107">
        <v>1975</v>
      </c>
      <c r="B107">
        <f t="shared" ref="B107:B116" si="5">C2</f>
        <v>390</v>
      </c>
      <c r="C107">
        <f>SUMPRODUCT($B$64:$F$64, B94:F94)</f>
        <v>389.23013251553226</v>
      </c>
      <c r="D107">
        <f>(B107-C107)^2</f>
        <v>0.59269594364068345</v>
      </c>
    </row>
    <row r="108" spans="1:6" x14ac:dyDescent="0.4">
      <c r="A108">
        <v>1976</v>
      </c>
      <c r="B108">
        <f t="shared" si="5"/>
        <v>395</v>
      </c>
      <c r="C108">
        <f t="shared" ref="C108:C116" si="6">SUMPRODUCT($B$64:$F$64, B95:F95)</f>
        <v>394.23013251553226</v>
      </c>
      <c r="D108">
        <f t="shared" ref="D108:D116" si="7">(B108-C108)^2</f>
        <v>0.59269594364068345</v>
      </c>
    </row>
    <row r="109" spans="1:6" x14ac:dyDescent="0.4">
      <c r="A109">
        <v>1977</v>
      </c>
      <c r="B109">
        <f t="shared" si="5"/>
        <v>398</v>
      </c>
      <c r="C109">
        <f t="shared" si="6"/>
        <v>399.2301325155322</v>
      </c>
      <c r="D109">
        <f t="shared" si="7"/>
        <v>1.5132260057695899</v>
      </c>
    </row>
    <row r="110" spans="1:6" x14ac:dyDescent="0.4">
      <c r="A110">
        <v>1978</v>
      </c>
      <c r="B110">
        <f t="shared" si="5"/>
        <v>402</v>
      </c>
      <c r="C110">
        <f t="shared" si="6"/>
        <v>402.47185437356268</v>
      </c>
      <c r="D110">
        <f t="shared" si="7"/>
        <v>0.22264654985022739</v>
      </c>
    </row>
    <row r="111" spans="1:6" x14ac:dyDescent="0.4">
      <c r="A111">
        <v>1979</v>
      </c>
      <c r="B111">
        <f t="shared" si="5"/>
        <v>405</v>
      </c>
      <c r="C111">
        <f t="shared" si="6"/>
        <v>404.83443716060827</v>
      </c>
      <c r="D111">
        <f t="shared" si="7"/>
        <v>2.7411053787450276E-2</v>
      </c>
    </row>
    <row r="112" spans="1:6" x14ac:dyDescent="0.4">
      <c r="A112">
        <v>1980</v>
      </c>
      <c r="B112">
        <f t="shared" si="5"/>
        <v>400</v>
      </c>
      <c r="C112">
        <f t="shared" si="6"/>
        <v>407.19701994765387</v>
      </c>
      <c r="D112">
        <f t="shared" si="7"/>
        <v>51.797096126927727</v>
      </c>
    </row>
    <row r="113" spans="1:4" x14ac:dyDescent="0.4">
      <c r="A113">
        <v>1981</v>
      </c>
      <c r="B113">
        <f t="shared" si="5"/>
        <v>392</v>
      </c>
      <c r="C113">
        <f t="shared" si="6"/>
        <v>410.19701994765393</v>
      </c>
      <c r="D113">
        <f t="shared" si="7"/>
        <v>331.13153497531493</v>
      </c>
    </row>
    <row r="114" spans="1:4" x14ac:dyDescent="0.4">
      <c r="A114">
        <v>1982</v>
      </c>
      <c r="B114">
        <f t="shared" si="5"/>
        <v>385</v>
      </c>
      <c r="C114">
        <f t="shared" si="6"/>
        <v>412.19701994765387</v>
      </c>
      <c r="D114">
        <f t="shared" si="7"/>
        <v>739.67789403308257</v>
      </c>
    </row>
    <row r="115" spans="1:4" x14ac:dyDescent="0.4">
      <c r="A115">
        <v>1983</v>
      </c>
      <c r="B115">
        <f t="shared" si="5"/>
        <v>388</v>
      </c>
      <c r="C115">
        <f t="shared" si="6"/>
        <v>413.31788087666905</v>
      </c>
      <c r="D115">
        <f t="shared" si="7"/>
        <v>640.99509208520442</v>
      </c>
    </row>
    <row r="116" spans="1:4" x14ac:dyDescent="0.4">
      <c r="A116">
        <v>1984</v>
      </c>
      <c r="B116">
        <f t="shared" si="5"/>
        <v>390</v>
      </c>
      <c r="C116">
        <f t="shared" si="6"/>
        <v>415.43874180568429</v>
      </c>
      <c r="D116">
        <f t="shared" si="7"/>
        <v>647.12958465626946</v>
      </c>
    </row>
    <row r="117" spans="1:4" x14ac:dyDescent="0.4">
      <c r="A117" s="1" t="s">
        <v>46</v>
      </c>
      <c r="D117">
        <f>SUM(D107:D111)</f>
        <v>2.9486754966886344</v>
      </c>
    </row>
    <row r="119" spans="1:4" x14ac:dyDescent="0.4">
      <c r="A119" t="s">
        <v>47</v>
      </c>
      <c r="B119">
        <f>B91+D117</f>
        <v>2.9486754966886344</v>
      </c>
    </row>
    <row r="120" spans="1:4" x14ac:dyDescent="0.4">
      <c r="A120" s="1" t="s">
        <v>50</v>
      </c>
    </row>
    <row r="121" spans="1:4" x14ac:dyDescent="0.4">
      <c r="A121" t="s">
        <v>48</v>
      </c>
    </row>
    <row r="122" spans="1:4" x14ac:dyDescent="0.4">
      <c r="A122" t="s">
        <v>8</v>
      </c>
      <c r="B122">
        <f>B64</f>
        <v>0</v>
      </c>
    </row>
    <row r="123" spans="1:4" x14ac:dyDescent="0.4">
      <c r="A123" t="s">
        <v>9</v>
      </c>
      <c r="B123">
        <f>C64</f>
        <v>0</v>
      </c>
    </row>
    <row r="124" spans="1:4" x14ac:dyDescent="0.4">
      <c r="A124" t="s">
        <v>10</v>
      </c>
      <c r="B124">
        <f>D64</f>
        <v>0.87913907098479427</v>
      </c>
    </row>
    <row r="125" spans="1:4" x14ac:dyDescent="0.4">
      <c r="A125" t="s">
        <v>11</v>
      </c>
      <c r="B125">
        <f>E64</f>
        <v>0</v>
      </c>
    </row>
    <row r="126" spans="1:4" x14ac:dyDescent="0.4">
      <c r="A126" t="s">
        <v>12</v>
      </c>
      <c r="B126">
        <f>F64</f>
        <v>0.12086092901520583</v>
      </c>
    </row>
    <row r="127" spans="1:4" x14ac:dyDescent="0.4">
      <c r="A127" t="s">
        <v>49</v>
      </c>
      <c r="B127">
        <f>SUM(B122:B126)</f>
        <v>1</v>
      </c>
    </row>
    <row r="128" spans="1:4" x14ac:dyDescent="0.4">
      <c r="A128" s="1" t="s">
        <v>54</v>
      </c>
    </row>
    <row r="129" spans="1:4" x14ac:dyDescent="0.4">
      <c r="A129" t="s">
        <v>51</v>
      </c>
      <c r="B129" t="s">
        <v>7</v>
      </c>
      <c r="C129" t="s">
        <v>52</v>
      </c>
      <c r="D129" t="s">
        <v>53</v>
      </c>
    </row>
    <row r="130" spans="1:4" x14ac:dyDescent="0.4">
      <c r="A130" t="s">
        <v>24</v>
      </c>
      <c r="B130">
        <f>B69</f>
        <v>6.0200000000000005</v>
      </c>
      <c r="C130">
        <f>B81</f>
        <v>5.9076821202485164</v>
      </c>
      <c r="D130">
        <f>B130-C130</f>
        <v>0.11231787975148411</v>
      </c>
    </row>
    <row r="131" spans="1:4" x14ac:dyDescent="0.4">
      <c r="A131" t="s">
        <v>25</v>
      </c>
      <c r="B131">
        <f>B70</f>
        <v>1.9</v>
      </c>
      <c r="C131">
        <f>B82</f>
        <v>2.0955298089623442</v>
      </c>
      <c r="D131">
        <f t="shared" ref="D131:D133" si="8">B131-C131</f>
        <v>-0.19552980896234429</v>
      </c>
    </row>
    <row r="132" spans="1:4" x14ac:dyDescent="0.4">
      <c r="A132" t="s">
        <v>26</v>
      </c>
      <c r="B132">
        <f>B71</f>
        <v>0.40800000000000003</v>
      </c>
      <c r="C132">
        <f>B83</f>
        <v>0.41320860929015213</v>
      </c>
      <c r="D132">
        <f t="shared" si="8"/>
        <v>-5.2086092901520997E-3</v>
      </c>
    </row>
    <row r="133" spans="1:4" x14ac:dyDescent="0.4">
      <c r="A133" t="s">
        <v>27</v>
      </c>
      <c r="B133">
        <f>B72</f>
        <v>0.16800000000000001</v>
      </c>
      <c r="C133">
        <f>B84</f>
        <v>0.18090066229636498</v>
      </c>
      <c r="D133">
        <f t="shared" si="8"/>
        <v>-1.2900662296364968E-2</v>
      </c>
    </row>
    <row r="134" spans="1:4" x14ac:dyDescent="0.4">
      <c r="A134" s="1" t="s">
        <v>55</v>
      </c>
    </row>
    <row r="135" spans="1:4" x14ac:dyDescent="0.4">
      <c r="A135" t="s">
        <v>56</v>
      </c>
      <c r="B135">
        <f>SQRT(D117/5)</f>
        <v>0.76794211978359861</v>
      </c>
    </row>
    <row r="136" spans="1:4" x14ac:dyDescent="0.4">
      <c r="A136" s="1" t="s">
        <v>57</v>
      </c>
    </row>
    <row r="137" spans="1:4" x14ac:dyDescent="0.4">
      <c r="A137" t="s">
        <v>19</v>
      </c>
      <c r="B137" t="s">
        <v>58</v>
      </c>
    </row>
    <row r="138" spans="1:4" x14ac:dyDescent="0.4">
      <c r="A138">
        <v>1980</v>
      </c>
      <c r="B138">
        <f>B112-C112</f>
        <v>-7.197019947653871</v>
      </c>
    </row>
    <row r="139" spans="1:4" x14ac:dyDescent="0.4">
      <c r="A139">
        <v>1981</v>
      </c>
      <c r="B139">
        <f>B113-C113</f>
        <v>-18.197019947653928</v>
      </c>
    </row>
    <row r="140" spans="1:4" x14ac:dyDescent="0.4">
      <c r="A140">
        <v>1982</v>
      </c>
      <c r="B140">
        <f>B114-C114</f>
        <v>-27.197019947653871</v>
      </c>
    </row>
    <row r="141" spans="1:4" x14ac:dyDescent="0.4">
      <c r="A141">
        <v>1983</v>
      </c>
      <c r="B141">
        <f>B115-C115</f>
        <v>-25.317880876669051</v>
      </c>
    </row>
    <row r="142" spans="1:4" x14ac:dyDescent="0.4">
      <c r="A142">
        <v>1984</v>
      </c>
      <c r="B142">
        <f>B116-C116</f>
        <v>-25.438741805684288</v>
      </c>
    </row>
    <row r="143" spans="1:4" x14ac:dyDescent="0.4">
      <c r="A143" t="s">
        <v>59</v>
      </c>
      <c r="B143">
        <f>AVERAGE(A138:A142)</f>
        <v>1982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7596-823D-4454-9DD9-E23369F250F8}">
  <dimension ref="A1:D6"/>
  <sheetViews>
    <sheetView workbookViewId="0">
      <selection sqref="A1:D6"/>
    </sheetView>
  </sheetViews>
  <sheetFormatPr defaultRowHeight="16" x14ac:dyDescent="0.4"/>
  <cols>
    <col min="2" max="2" width="10.5" bestFit="1" customWidth="1"/>
    <col min="3" max="3" width="13.1640625" bestFit="1" customWidth="1"/>
    <col min="4" max="4" width="11.75" bestFit="1" customWidth="1"/>
  </cols>
  <sheetData>
    <row r="1" spans="1:4" x14ac:dyDescent="0.4">
      <c r="A1" t="s">
        <v>19</v>
      </c>
      <c r="B1" t="s">
        <v>41</v>
      </c>
      <c r="C1" t="s">
        <v>42</v>
      </c>
      <c r="D1" t="s">
        <v>43</v>
      </c>
    </row>
    <row r="2" spans="1:4" x14ac:dyDescent="0.4">
      <c r="A2">
        <v>1980</v>
      </c>
      <c r="B2">
        <f>'Q3'!B112</f>
        <v>400</v>
      </c>
      <c r="C2">
        <f>'Q3'!C112</f>
        <v>407.19701994765387</v>
      </c>
      <c r="D2">
        <f>'Q3'!D112</f>
        <v>51.797096126927727</v>
      </c>
    </row>
    <row r="3" spans="1:4" x14ac:dyDescent="0.4">
      <c r="A3">
        <v>1981</v>
      </c>
      <c r="B3">
        <f>'Q3'!B113</f>
        <v>392</v>
      </c>
      <c r="C3">
        <f>'Q3'!C113</f>
        <v>410.19701994765393</v>
      </c>
      <c r="D3">
        <f>'Q3'!D113</f>
        <v>331.13153497531493</v>
      </c>
    </row>
    <row r="4" spans="1:4" x14ac:dyDescent="0.4">
      <c r="A4">
        <v>1982</v>
      </c>
      <c r="B4">
        <f>'Q3'!B114</f>
        <v>385</v>
      </c>
      <c r="C4">
        <f>'Q3'!C114</f>
        <v>412.19701994765387</v>
      </c>
      <c r="D4">
        <f>'Q3'!D114</f>
        <v>739.67789403308257</v>
      </c>
    </row>
    <row r="5" spans="1:4" x14ac:dyDescent="0.4">
      <c r="A5">
        <v>1983</v>
      </c>
      <c r="B5">
        <f>'Q3'!B115</f>
        <v>388</v>
      </c>
      <c r="C5">
        <f>'Q3'!C115</f>
        <v>413.31788087666905</v>
      </c>
      <c r="D5">
        <f>'Q3'!D115</f>
        <v>640.99509208520442</v>
      </c>
    </row>
    <row r="6" spans="1:4" x14ac:dyDescent="0.4">
      <c r="A6">
        <v>1984</v>
      </c>
      <c r="B6">
        <f>'Q3'!B116</f>
        <v>390</v>
      </c>
      <c r="C6">
        <f>'Q3'!C116</f>
        <v>415.43874180568429</v>
      </c>
      <c r="D6">
        <f>'Q3'!D116</f>
        <v>647.12958465626946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4FF4-0F4C-4828-9D7A-E09CE4807A99}">
  <dimension ref="A1:D6"/>
  <sheetViews>
    <sheetView workbookViewId="0">
      <selection sqref="A1:D6"/>
    </sheetView>
  </sheetViews>
  <sheetFormatPr defaultRowHeight="16" x14ac:dyDescent="0.4"/>
  <cols>
    <col min="2" max="2" width="10.5" bestFit="1" customWidth="1"/>
    <col min="3" max="3" width="12.5" bestFit="1" customWidth="1"/>
  </cols>
  <sheetData>
    <row r="1" spans="1:4" x14ac:dyDescent="0.4">
      <c r="A1" t="s">
        <v>19</v>
      </c>
      <c r="B1" t="s">
        <v>41</v>
      </c>
      <c r="C1" t="s">
        <v>60</v>
      </c>
      <c r="D1" t="s">
        <v>53</v>
      </c>
    </row>
    <row r="2" spans="1:4" x14ac:dyDescent="0.4">
      <c r="A2">
        <v>1980</v>
      </c>
      <c r="B2">
        <f>'Q3'!B112</f>
        <v>400</v>
      </c>
      <c r="C2">
        <f>'Q3'!C99</f>
        <v>420</v>
      </c>
      <c r="D2">
        <f t="shared" ref="D2:D6" si="0">B2-C2</f>
        <v>-20</v>
      </c>
    </row>
    <row r="3" spans="1:4" x14ac:dyDescent="0.4">
      <c r="A3">
        <v>1981</v>
      </c>
      <c r="B3">
        <f>'Q3'!B113</f>
        <v>392</v>
      </c>
      <c r="C3">
        <f>'Q3'!C100</f>
        <v>425</v>
      </c>
      <c r="D3">
        <f t="shared" si="0"/>
        <v>-33</v>
      </c>
    </row>
    <row r="4" spans="1:4" x14ac:dyDescent="0.4">
      <c r="A4">
        <v>1982</v>
      </c>
      <c r="B4">
        <f>'Q3'!B114</f>
        <v>385</v>
      </c>
      <c r="C4">
        <f>'Q3'!C101</f>
        <v>428</v>
      </c>
      <c r="D4">
        <f t="shared" si="0"/>
        <v>-43</v>
      </c>
    </row>
    <row r="5" spans="1:4" x14ac:dyDescent="0.4">
      <c r="A5">
        <v>1983</v>
      </c>
      <c r="B5">
        <f>'Q3'!B115</f>
        <v>388</v>
      </c>
      <c r="C5">
        <f>'Q3'!C102</f>
        <v>430</v>
      </c>
      <c r="D5">
        <f t="shared" si="0"/>
        <v>-42</v>
      </c>
    </row>
    <row r="6" spans="1:4" x14ac:dyDescent="0.4">
      <c r="A6">
        <v>1984</v>
      </c>
      <c r="B6">
        <f>'Q3'!B116</f>
        <v>390</v>
      </c>
      <c r="C6">
        <f>'Q3'!C103</f>
        <v>432</v>
      </c>
      <c r="D6">
        <f t="shared" si="0"/>
        <v>-42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AE78-58CE-4B26-8E0C-13315FA5B61E}">
  <dimension ref="A1:E70"/>
  <sheetViews>
    <sheetView topLeftCell="A66" workbookViewId="0">
      <selection activeCell="A62" sqref="A62:XFD62"/>
    </sheetView>
  </sheetViews>
  <sheetFormatPr defaultRowHeight="16" x14ac:dyDescent="0.4"/>
  <cols>
    <col min="1" max="1" width="23.08203125" bestFit="1" customWidth="1"/>
    <col min="2" max="2" width="11.75" bestFit="1" customWidth="1"/>
    <col min="3" max="3" width="13.1640625" bestFit="1" customWidth="1"/>
    <col min="4" max="4" width="10.5" bestFit="1" customWidth="1"/>
  </cols>
  <sheetData>
    <row r="1" spans="1:5" x14ac:dyDescent="0.4">
      <c r="A1" t="s">
        <v>20</v>
      </c>
      <c r="B1" t="s">
        <v>8</v>
      </c>
      <c r="C1" t="s">
        <v>9</v>
      </c>
      <c r="D1" t="s">
        <v>11</v>
      </c>
      <c r="E1" t="s">
        <v>12</v>
      </c>
    </row>
    <row r="2" spans="1:5" x14ac:dyDescent="0.4">
      <c r="A2" t="s">
        <v>21</v>
      </c>
      <c r="B2">
        <v>0.79107059643325861</v>
      </c>
      <c r="C2">
        <v>0</v>
      </c>
      <c r="D2">
        <v>0</v>
      </c>
      <c r="E2">
        <v>0.20892940356674169</v>
      </c>
    </row>
    <row r="4" spans="1:5" x14ac:dyDescent="0.4">
      <c r="A4" t="s">
        <v>61</v>
      </c>
      <c r="B4">
        <f>SUM(B2:E2)</f>
        <v>1.0000000000000002</v>
      </c>
    </row>
    <row r="5" spans="1:5" x14ac:dyDescent="0.4">
      <c r="A5" s="1"/>
    </row>
    <row r="6" spans="1:5" x14ac:dyDescent="0.4">
      <c r="A6" s="1" t="s">
        <v>23</v>
      </c>
    </row>
    <row r="7" spans="1:5" x14ac:dyDescent="0.4">
      <c r="A7" t="s">
        <v>24</v>
      </c>
      <c r="B7">
        <f>'Q1'!C2</f>
        <v>7.01</v>
      </c>
    </row>
    <row r="8" spans="1:5" x14ac:dyDescent="0.4">
      <c r="A8" t="s">
        <v>25</v>
      </c>
      <c r="B8">
        <f>'Q1'!D2</f>
        <v>2.085</v>
      </c>
    </row>
    <row r="9" spans="1:5" x14ac:dyDescent="0.4">
      <c r="A9" t="s">
        <v>26</v>
      </c>
      <c r="B9">
        <f>'Q1'!E2</f>
        <v>0.4250000000000001</v>
      </c>
    </row>
    <row r="10" spans="1:5" x14ac:dyDescent="0.4">
      <c r="A10" t="s">
        <v>27</v>
      </c>
      <c r="B10">
        <f>'Q1'!F2</f>
        <v>0.152</v>
      </c>
    </row>
    <row r="12" spans="1:5" x14ac:dyDescent="0.4">
      <c r="A12" s="1" t="s">
        <v>62</v>
      </c>
    </row>
    <row r="13" spans="1:5" x14ac:dyDescent="0.4">
      <c r="A13" t="s">
        <v>28</v>
      </c>
      <c r="B13" t="s">
        <v>8</v>
      </c>
      <c r="C13" t="s">
        <v>9</v>
      </c>
      <c r="D13" t="s">
        <v>11</v>
      </c>
      <c r="E13" t="s">
        <v>12</v>
      </c>
    </row>
    <row r="14" spans="1:5" x14ac:dyDescent="0.4">
      <c r="A14" t="s">
        <v>24</v>
      </c>
      <c r="B14">
        <f>'Q1'!C3</f>
        <v>6.34</v>
      </c>
      <c r="C14">
        <f>'Q1'!C4</f>
        <v>6</v>
      </c>
      <c r="D14">
        <f>'Q1'!C6</f>
        <v>6.1499999999999995</v>
      </c>
      <c r="E14">
        <f>'Q1'!C7</f>
        <v>7.3</v>
      </c>
    </row>
    <row r="15" spans="1:5" x14ac:dyDescent="0.4">
      <c r="A15" t="s">
        <v>25</v>
      </c>
      <c r="B15">
        <f>'Q1'!D3</f>
        <v>2.7250000000000001</v>
      </c>
      <c r="C15">
        <f>'Q1'!D4</f>
        <v>3.25</v>
      </c>
      <c r="D15">
        <f>'Q1'!D6</f>
        <v>3.05</v>
      </c>
      <c r="E15">
        <f>'Q1'!D7</f>
        <v>5.95</v>
      </c>
    </row>
    <row r="16" spans="1:5" x14ac:dyDescent="0.4">
      <c r="A16" t="s">
        <v>26</v>
      </c>
      <c r="B16">
        <f>'Q1'!E3</f>
        <v>0.39400000000000002</v>
      </c>
      <c r="C16">
        <f>'Q1'!E4</f>
        <v>0.40400000000000003</v>
      </c>
      <c r="D16">
        <f>'Q1'!E6</f>
        <v>0.38400000000000001</v>
      </c>
      <c r="E16">
        <f>'Q1'!E7</f>
        <v>0.42400000000000004</v>
      </c>
    </row>
    <row r="17" spans="1:5" x14ac:dyDescent="0.4">
      <c r="A17" t="s">
        <v>27</v>
      </c>
      <c r="B17">
        <f>'Q1'!F3</f>
        <v>0.17599999999999996</v>
      </c>
      <c r="C17">
        <f>'Q1'!F4</f>
        <v>0.22599999999999998</v>
      </c>
      <c r="D17">
        <f>'Q1'!F6</f>
        <v>0.20600000000000002</v>
      </c>
      <c r="E17">
        <f>'Q1'!F7</f>
        <v>0.18799999999999997</v>
      </c>
    </row>
    <row r="19" spans="1:5" x14ac:dyDescent="0.4">
      <c r="A19" s="1" t="s">
        <v>32</v>
      </c>
    </row>
    <row r="20" spans="1:5" x14ac:dyDescent="0.4">
      <c r="A20" t="s">
        <v>24</v>
      </c>
      <c r="B20">
        <f>SUMPRODUCT($B$2:$E$2, B14:E14)</f>
        <v>6.5405722274240734</v>
      </c>
    </row>
    <row r="21" spans="1:5" x14ac:dyDescent="0.4">
      <c r="A21" t="s">
        <v>25</v>
      </c>
      <c r="B21">
        <f>SUMPRODUCT($B$2:$E$2, B15:E15)</f>
        <v>3.3987973265027431</v>
      </c>
    </row>
    <row r="22" spans="1:5" x14ac:dyDescent="0.4">
      <c r="A22" t="s">
        <v>26</v>
      </c>
      <c r="B22">
        <f>SUMPRODUCT($B$2:$E$2, B16:E16)</f>
        <v>0.40026788210700243</v>
      </c>
    </row>
    <row r="23" spans="1:5" x14ac:dyDescent="0.4">
      <c r="A23" t="s">
        <v>27</v>
      </c>
      <c r="B23">
        <f>SUMPRODUCT($B$2:$E$2, B17:E17)</f>
        <v>0.17850715284280091</v>
      </c>
    </row>
    <row r="26" spans="1:5" x14ac:dyDescent="0.4">
      <c r="A26" s="1" t="s">
        <v>33</v>
      </c>
    </row>
    <row r="27" spans="1:5" x14ac:dyDescent="0.4">
      <c r="A27" t="s">
        <v>34</v>
      </c>
      <c r="B27">
        <f>(B7-B21)^2</f>
        <v>13.040784749073733</v>
      </c>
    </row>
    <row r="28" spans="1:5" x14ac:dyDescent="0.4">
      <c r="A28" t="s">
        <v>35</v>
      </c>
      <c r="B28">
        <f>(B8-B22)^2</f>
        <v>2.8383223090602248</v>
      </c>
    </row>
    <row r="29" spans="1:5" x14ac:dyDescent="0.4">
      <c r="A29" t="s">
        <v>36</v>
      </c>
      <c r="B29">
        <f>(B9-B23)^2</f>
        <v>6.0758723699662356E-2</v>
      </c>
    </row>
    <row r="30" spans="1:5" x14ac:dyDescent="0.4">
      <c r="A30" t="s">
        <v>37</v>
      </c>
      <c r="B30">
        <f>(B10-B26)^2</f>
        <v>2.3104E-2</v>
      </c>
    </row>
    <row r="31" spans="1:5" x14ac:dyDescent="0.4">
      <c r="A31" t="s">
        <v>38</v>
      </c>
      <c r="B31">
        <f>SUM(B27:B30)</f>
        <v>15.962969781833619</v>
      </c>
    </row>
    <row r="33" spans="1:5" ht="15" customHeight="1" x14ac:dyDescent="0.4">
      <c r="A33" s="1" t="s">
        <v>63</v>
      </c>
    </row>
    <row r="34" spans="1:5" x14ac:dyDescent="0.4">
      <c r="A34" t="s">
        <v>19</v>
      </c>
      <c r="B34" t="s">
        <v>8</v>
      </c>
      <c r="C34" t="s">
        <v>9</v>
      </c>
      <c r="D34" t="s">
        <v>11</v>
      </c>
      <c r="E34" t="s">
        <v>12</v>
      </c>
    </row>
    <row r="35" spans="1:5" x14ac:dyDescent="0.4">
      <c r="A35">
        <v>1975</v>
      </c>
      <c r="B35">
        <v>380</v>
      </c>
      <c r="C35">
        <v>395</v>
      </c>
      <c r="D35">
        <v>400</v>
      </c>
      <c r="E35">
        <v>420</v>
      </c>
    </row>
    <row r="36" spans="1:5" x14ac:dyDescent="0.4">
      <c r="A36">
        <v>1976</v>
      </c>
      <c r="B36">
        <v>385</v>
      </c>
      <c r="C36">
        <v>400</v>
      </c>
      <c r="D36">
        <v>405</v>
      </c>
      <c r="E36">
        <v>425</v>
      </c>
    </row>
    <row r="37" spans="1:5" x14ac:dyDescent="0.4">
      <c r="A37">
        <v>1977</v>
      </c>
      <c r="B37">
        <v>390</v>
      </c>
      <c r="C37">
        <v>405</v>
      </c>
      <c r="D37">
        <v>410</v>
      </c>
      <c r="E37">
        <v>430</v>
      </c>
    </row>
    <row r="38" spans="1:5" x14ac:dyDescent="0.4">
      <c r="A38">
        <v>1978</v>
      </c>
      <c r="B38">
        <v>395</v>
      </c>
      <c r="C38">
        <v>410</v>
      </c>
      <c r="D38">
        <v>415</v>
      </c>
      <c r="E38">
        <v>435</v>
      </c>
    </row>
    <row r="39" spans="1:5" x14ac:dyDescent="0.4">
      <c r="A39">
        <v>1979</v>
      </c>
      <c r="B39">
        <v>398</v>
      </c>
      <c r="C39">
        <v>415</v>
      </c>
      <c r="D39">
        <v>418</v>
      </c>
      <c r="E39">
        <v>440</v>
      </c>
    </row>
    <row r="40" spans="1:5" x14ac:dyDescent="0.4">
      <c r="A40">
        <v>1980</v>
      </c>
      <c r="B40">
        <v>402</v>
      </c>
      <c r="C40">
        <v>420</v>
      </c>
      <c r="D40">
        <v>420</v>
      </c>
      <c r="E40">
        <v>445</v>
      </c>
    </row>
    <row r="41" spans="1:5" x14ac:dyDescent="0.4">
      <c r="A41">
        <v>1981</v>
      </c>
      <c r="B41">
        <v>405</v>
      </c>
      <c r="C41">
        <v>425</v>
      </c>
      <c r="D41">
        <v>423</v>
      </c>
      <c r="E41">
        <v>448</v>
      </c>
    </row>
    <row r="42" spans="1:5" x14ac:dyDescent="0.4">
      <c r="A42">
        <v>1982</v>
      </c>
      <c r="B42">
        <v>408</v>
      </c>
      <c r="C42">
        <v>428</v>
      </c>
      <c r="D42">
        <v>425</v>
      </c>
      <c r="E42">
        <v>450</v>
      </c>
    </row>
    <row r="43" spans="1:5" x14ac:dyDescent="0.4">
      <c r="A43">
        <v>1983</v>
      </c>
      <c r="B43">
        <v>410</v>
      </c>
      <c r="C43">
        <v>430</v>
      </c>
      <c r="D43">
        <v>428</v>
      </c>
      <c r="E43">
        <v>452</v>
      </c>
    </row>
    <row r="44" spans="1:5" x14ac:dyDescent="0.4">
      <c r="A44">
        <v>1984</v>
      </c>
      <c r="B44">
        <v>412</v>
      </c>
      <c r="C44">
        <v>432</v>
      </c>
      <c r="D44">
        <v>430</v>
      </c>
      <c r="E44">
        <v>455</v>
      </c>
    </row>
    <row r="46" spans="1:5" x14ac:dyDescent="0.4">
      <c r="A46" s="1" t="s">
        <v>64</v>
      </c>
    </row>
    <row r="47" spans="1:5" x14ac:dyDescent="0.4">
      <c r="A47" t="s">
        <v>19</v>
      </c>
      <c r="B47" t="s">
        <v>41</v>
      </c>
      <c r="C47" t="s">
        <v>42</v>
      </c>
      <c r="D47" t="s">
        <v>43</v>
      </c>
    </row>
    <row r="48" spans="1:5" x14ac:dyDescent="0.4">
      <c r="A48">
        <v>1975</v>
      </c>
      <c r="B48">
        <v>390</v>
      </c>
      <c r="C48">
        <f t="shared" ref="C48:C57" si="0">SUMPRODUCT($B$2:$E$2, B35:E35)</f>
        <v>388.3571761426698</v>
      </c>
      <c r="D48">
        <f>(B48-C48)^2</f>
        <v>2.698870226213276</v>
      </c>
    </row>
    <row r="49" spans="1:4" x14ac:dyDescent="0.4">
      <c r="A49">
        <v>1976</v>
      </c>
      <c r="B49">
        <v>395</v>
      </c>
      <c r="C49">
        <f t="shared" si="0"/>
        <v>393.3571761426698</v>
      </c>
      <c r="D49">
        <f t="shared" ref="D49:D57" si="1">(B49-C49)^2</f>
        <v>2.698870226213276</v>
      </c>
    </row>
    <row r="50" spans="1:4" x14ac:dyDescent="0.4">
      <c r="A50">
        <v>1977</v>
      </c>
      <c r="B50">
        <v>398</v>
      </c>
      <c r="C50">
        <f t="shared" si="0"/>
        <v>398.3571761426698</v>
      </c>
      <c r="D50">
        <f t="shared" si="1"/>
        <v>0.12757479689247758</v>
      </c>
    </row>
    <row r="51" spans="1:4" x14ac:dyDescent="0.4">
      <c r="A51">
        <v>1978</v>
      </c>
      <c r="B51">
        <v>402</v>
      </c>
      <c r="C51">
        <f t="shared" si="0"/>
        <v>403.3571761426698</v>
      </c>
      <c r="D51">
        <f t="shared" si="1"/>
        <v>1.8419270822320783</v>
      </c>
    </row>
    <row r="52" spans="1:4" x14ac:dyDescent="0.4">
      <c r="A52">
        <v>1979</v>
      </c>
      <c r="B52">
        <v>405</v>
      </c>
      <c r="C52">
        <f t="shared" si="0"/>
        <v>406.77503494980323</v>
      </c>
      <c r="D52">
        <f t="shared" si="1"/>
        <v>3.1507490730229475</v>
      </c>
    </row>
    <row r="53" spans="1:4" x14ac:dyDescent="0.4">
      <c r="A53">
        <v>1980</v>
      </c>
      <c r="B53">
        <v>400</v>
      </c>
      <c r="C53">
        <f t="shared" si="0"/>
        <v>410.98396435336997</v>
      </c>
      <c r="D53">
        <f t="shared" si="1"/>
        <v>120.64747291610219</v>
      </c>
    </row>
    <row r="54" spans="1:4" x14ac:dyDescent="0.4">
      <c r="A54">
        <v>1981</v>
      </c>
      <c r="B54">
        <v>392</v>
      </c>
      <c r="C54">
        <f t="shared" si="0"/>
        <v>413.98396435337003</v>
      </c>
      <c r="D54">
        <f t="shared" si="1"/>
        <v>483.29468869024402</v>
      </c>
    </row>
    <row r="55" spans="1:4" x14ac:dyDescent="0.4">
      <c r="A55">
        <v>1982</v>
      </c>
      <c r="B55">
        <v>385</v>
      </c>
      <c r="C55">
        <f t="shared" si="0"/>
        <v>416.77503494980328</v>
      </c>
      <c r="D55">
        <f t="shared" si="1"/>
        <v>1009.6528460612202</v>
      </c>
    </row>
    <row r="56" spans="1:4" x14ac:dyDescent="0.4">
      <c r="A56">
        <v>1983</v>
      </c>
      <c r="B56">
        <v>388</v>
      </c>
      <c r="C56">
        <f t="shared" si="0"/>
        <v>418.77503494980328</v>
      </c>
      <c r="D56">
        <f t="shared" si="1"/>
        <v>947.10277616161363</v>
      </c>
    </row>
    <row r="57" spans="1:4" x14ac:dyDescent="0.4">
      <c r="A57">
        <v>1984</v>
      </c>
      <c r="B57">
        <v>390</v>
      </c>
      <c r="C57">
        <f t="shared" si="0"/>
        <v>420.98396435337003</v>
      </c>
      <c r="D57">
        <f t="shared" si="1"/>
        <v>960.0060470509045</v>
      </c>
    </row>
    <row r="58" spans="1:4" x14ac:dyDescent="0.4">
      <c r="A58" s="1" t="s">
        <v>65</v>
      </c>
      <c r="D58" s="1">
        <f>SUM(D48:D52)</f>
        <v>10.517991404574055</v>
      </c>
    </row>
    <row r="59" spans="1:4" x14ac:dyDescent="0.4">
      <c r="A59" s="1"/>
      <c r="D59" s="1"/>
    </row>
    <row r="60" spans="1:4" x14ac:dyDescent="0.4">
      <c r="A60" s="1" t="s">
        <v>66</v>
      </c>
    </row>
    <row r="61" spans="1:4" x14ac:dyDescent="0.4">
      <c r="A61" t="s">
        <v>67</v>
      </c>
      <c r="B61">
        <f>B31+D58</f>
        <v>26.480961186407676</v>
      </c>
    </row>
    <row r="63" spans="1:4" x14ac:dyDescent="0.4">
      <c r="A63" s="1" t="s">
        <v>68</v>
      </c>
    </row>
    <row r="64" spans="1:4" x14ac:dyDescent="0.4">
      <c r="A64" t="s">
        <v>19</v>
      </c>
      <c r="B64" t="s">
        <v>69</v>
      </c>
    </row>
    <row r="65" spans="1:2" x14ac:dyDescent="0.4">
      <c r="A65">
        <v>1980</v>
      </c>
      <c r="B65">
        <f>B53-C53</f>
        <v>-10.98396435336997</v>
      </c>
    </row>
    <row r="66" spans="1:2" x14ac:dyDescent="0.4">
      <c r="A66">
        <v>1981</v>
      </c>
      <c r="B66">
        <f>B54-C54</f>
        <v>-21.983964353370027</v>
      </c>
    </row>
    <row r="67" spans="1:2" x14ac:dyDescent="0.4">
      <c r="A67">
        <v>1982</v>
      </c>
      <c r="B67">
        <f>B55-C55</f>
        <v>-31.775034949803285</v>
      </c>
    </row>
    <row r="68" spans="1:2" x14ac:dyDescent="0.4">
      <c r="A68">
        <v>1983</v>
      </c>
      <c r="B68">
        <f>B56-C56</f>
        <v>-30.775034949803285</v>
      </c>
    </row>
    <row r="69" spans="1:2" x14ac:dyDescent="0.4">
      <c r="A69">
        <v>1984</v>
      </c>
      <c r="B69">
        <f>B57-C57</f>
        <v>-30.983964353370027</v>
      </c>
    </row>
    <row r="70" spans="1:2" x14ac:dyDescent="0.4">
      <c r="A70" t="s">
        <v>70</v>
      </c>
      <c r="B70">
        <f>AVERAGE(B65:B69)</f>
        <v>-25.300392591943318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Q1</vt:lpstr>
      <vt:lpstr>Q2</vt:lpstr>
      <vt:lpstr>Q3</vt:lpstr>
      <vt:lpstr>Q4</vt:lpstr>
      <vt:lpstr>Q5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2026-04-27T19:22:34Z</dcterms:created>
  <dcterms:modified xsi:type="dcterms:W3CDTF">2026-10-23T17:31:35Z</dcterms:modified>
</cp:coreProperties>
</file>