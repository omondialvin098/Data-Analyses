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F50D4C-FFFE-4E6F-996A-456D673AB889}" xr6:coauthVersionLast="47" xr6:coauthVersionMax="47" xr10:uidLastSave="{00000000-0000-0000-0000-000000000000}"/>
  <bookViews>
    <workbookView xWindow="-110" yWindow="-110" windowWidth="19420" windowHeight="11020" tabRatio="500" firstSheet="3" activeTab="5" xr2:uid="{00000000-000D-0000-FFFF-FFFF00000000}"/>
  </bookViews>
  <sheets>
    <sheet name="Raw Data" sheetId="1" r:id="rId1"/>
    <sheet name="Data Cleaning" sheetId="2" r:id="rId2"/>
    <sheet name="Descriptive Stats" sheetId="3" r:id="rId3"/>
    <sheet name="Frequency Distribution" sheetId="4" r:id="rId4"/>
    <sheet name="Charts" sheetId="5" r:id="rId5"/>
    <sheet name="Key Finding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6" l="1"/>
  <c r="B10" i="6"/>
  <c r="B8" i="6"/>
  <c r="F8" i="4"/>
  <c r="F16" i="4" s="1"/>
  <c r="E8" i="4"/>
  <c r="E16" i="4" s="1"/>
  <c r="D8" i="4"/>
  <c r="C8" i="4"/>
  <c r="C16" i="4" s="1"/>
  <c r="B8" i="4"/>
  <c r="B16" i="4" s="1"/>
  <c r="F7" i="4"/>
  <c r="F15" i="4" s="1"/>
  <c r="E7" i="4"/>
  <c r="D7" i="4"/>
  <c r="D15" i="4" s="1"/>
  <c r="C7" i="4"/>
  <c r="C15" i="4" s="1"/>
  <c r="B7" i="4"/>
  <c r="B15" i="4" s="1"/>
  <c r="F6" i="4"/>
  <c r="E6" i="4"/>
  <c r="E14" i="4" s="1"/>
  <c r="D6" i="4"/>
  <c r="D14" i="4" s="1"/>
  <c r="C6" i="4"/>
  <c r="C14" i="4" s="1"/>
  <c r="B6" i="4"/>
  <c r="F5" i="4"/>
  <c r="F13" i="4" s="1"/>
  <c r="E5" i="4"/>
  <c r="E13" i="4" s="1"/>
  <c r="B21" i="4" s="1"/>
  <c r="C9" i="6" s="1"/>
  <c r="D5" i="4"/>
  <c r="D13" i="4" s="1"/>
  <c r="C5" i="4"/>
  <c r="B5" i="4"/>
  <c r="B13" i="4" s="1"/>
  <c r="F4" i="4"/>
  <c r="F12" i="4" s="1"/>
  <c r="E4" i="4"/>
  <c r="E12" i="4" s="1"/>
  <c r="D4" i="4"/>
  <c r="C4" i="4"/>
  <c r="C12" i="4" s="1"/>
  <c r="B4" i="4"/>
  <c r="B12" i="4" s="1"/>
  <c r="H8" i="3"/>
  <c r="G8" i="3"/>
  <c r="F8" i="3"/>
  <c r="E8" i="3"/>
  <c r="D8" i="3"/>
  <c r="C8" i="3"/>
  <c r="B8" i="3"/>
  <c r="H7" i="3"/>
  <c r="G7" i="3"/>
  <c r="F7" i="3"/>
  <c r="E7" i="3"/>
  <c r="D7" i="3"/>
  <c r="C7" i="3"/>
  <c r="B11" i="6" s="1"/>
  <c r="B7" i="3"/>
  <c r="H6" i="3"/>
  <c r="G6" i="3"/>
  <c r="F6" i="3"/>
  <c r="E6" i="3"/>
  <c r="D6" i="3"/>
  <c r="C6" i="3"/>
  <c r="B6" i="3"/>
  <c r="H5" i="3"/>
  <c r="G5" i="3"/>
  <c r="F5" i="3"/>
  <c r="E5" i="3"/>
  <c r="D5" i="3"/>
  <c r="C5" i="3"/>
  <c r="B9" i="6" s="1"/>
  <c r="B5" i="3"/>
  <c r="H4" i="3"/>
  <c r="G4" i="3"/>
  <c r="F4" i="3"/>
  <c r="E4" i="3"/>
  <c r="D4" i="3"/>
  <c r="C4" i="3"/>
  <c r="B4" i="3"/>
  <c r="D11" i="2"/>
  <c r="E11" i="2" s="1"/>
  <c r="C11" i="2"/>
  <c r="D10" i="2"/>
  <c r="E10" i="2" s="1"/>
  <c r="C10" i="2"/>
  <c r="D9" i="2"/>
  <c r="E9" i="2" s="1"/>
  <c r="C9" i="2"/>
  <c r="E8" i="2"/>
  <c r="D8" i="2"/>
  <c r="C8" i="2"/>
  <c r="D7" i="2"/>
  <c r="E7" i="2" s="1"/>
  <c r="C7" i="2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F9" i="3" s="1"/>
  <c r="G16" i="1"/>
  <c r="G15" i="1"/>
  <c r="B9" i="3" s="1"/>
  <c r="B20" i="4" l="1"/>
  <c r="C8" i="6" s="1"/>
  <c r="B24" i="4"/>
  <c r="C12" i="6" s="1"/>
  <c r="C13" i="4"/>
  <c r="F14" i="4"/>
  <c r="B22" i="4" s="1"/>
  <c r="C10" i="6" s="1"/>
  <c r="C9" i="3"/>
  <c r="D12" i="4"/>
  <c r="E15" i="4"/>
  <c r="B23" i="4" s="1"/>
  <c r="C11" i="6" s="1"/>
  <c r="D9" i="3"/>
  <c r="B14" i="4"/>
  <c r="D16" i="4"/>
</calcChain>
</file>

<file path=xl/sharedStrings.xml><?xml version="1.0" encoding="utf-8"?>
<sst xmlns="http://schemas.openxmlformats.org/spreadsheetml/2006/main" count="162" uniqueCount="115">
  <si>
    <t>Raw Survey Data — Satisfaction with Online Learning</t>
  </si>
  <si>
    <t>Response Scale:</t>
  </si>
  <si>
    <t>1 = Strongly Disagree   2 = Disagree   3 = Neither Agree nor Disagree   4 = Agree   5 = Strongly Agree</t>
  </si>
  <si>
    <t>Question Codebook</t>
  </si>
  <si>
    <t>Q1</t>
  </si>
  <si>
    <t>I am pleased with my whole experience with online learning.</t>
  </si>
  <si>
    <t>Q2</t>
  </si>
  <si>
    <t>Online classes allow me to balance my education and other obligations.</t>
  </si>
  <si>
    <t>Q3</t>
  </si>
  <si>
    <t>I feel engaged and involved in my online classes.</t>
  </si>
  <si>
    <t>Q4</t>
  </si>
  <si>
    <t>I feel like I learn just as much online as I would in a real classroom.</t>
  </si>
  <si>
    <t>Q5</t>
  </si>
  <si>
    <t>I would recommend online learning to other students.</t>
  </si>
  <si>
    <t>Note:</t>
  </si>
  <si>
    <t>Data below is simulated for this assignment because the actual Module 14 respondent dataset was not provided. Two responses were randomly set to blank to demonstrate realistic missing-data handling (see Data Cleaning sheet).</t>
  </si>
  <si>
    <t>RespondentID</t>
  </si>
  <si>
    <t>Avg_Score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</si>
  <si>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</si>
  <si>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</si>
  <si>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</si>
  <si>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</si>
  <si>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</si>
  <si>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</si>
  <si>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</si>
  <si>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</si>
  <si>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</si>
  <si>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</si>
  <si>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</si>
  <si>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</si>
  <si>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</si>
  <si>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</si>
  <si>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</si>
  <si>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</si>
  <si>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</si>
  <si>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</si>
  <si>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</si>
  <si>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</si>
  <si>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</si>
  <si>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</si>
  <si>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</si>
  <si>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</si>
  <si>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</si>
  <si>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</si>
  <si>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</si>
  <si>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</si>
  <si>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</si>
  <si>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</si>
  <si>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</si>
  <si>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</si>
  <si>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</si>
  <si>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</si>
  <si>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</si>
  <si>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</si>
  <si>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</si>
  <si>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</si>
  <si>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</si>
  <si>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</si>
  <si>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</si>
  <si>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</si>
  <si>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</si>
  <si>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</si>
  <si>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</si>
  <si>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Data Cleaning Summary</t>
  </si>
  <si>
    <t>Approach:</t>
  </si>
  <si>
    <t>Missing responses were left blank in Raw Data rather than deleted or imputed. Because fewer than 5% of responses are missing on any single item, a pairwise-deletion approach is used: each question's statistics are calculated only from respondents who answered that question (AVERAGE, MEDIAN, etc. in Excel ignore blank cells automatically). This preserves all valid data instead of discarding a respondent's entire record over one skipped item.</t>
  </si>
  <si>
    <t>Question</t>
  </si>
  <si>
    <t>Total Respondents (N)</t>
  </si>
  <si>
    <t>Valid Responses</t>
  </si>
  <si>
    <t>Missing</t>
  </si>
  <si>
    <t>% Missing</t>
  </si>
  <si>
    <t>Q1: I am pleased with my whole experience with online learning.</t>
  </si>
  <si>
    <t>Q2: Online classes allow me to balance my education and other obligations.</t>
  </si>
  <si>
    <t>Q3: I feel engaged and involved in my online classes.</t>
  </si>
  <si>
    <t>Q4: I feel like I learn just as much online as I would in a real classroom.</t>
  </si>
  <si>
    <t>Q5: I would recommend online learning to other students.</t>
  </si>
  <si>
    <t>No duplicate respondents, out-of-range values (outside 1-5), or non-numeric entries were found in the dataset.</t>
  </si>
  <si>
    <t>Descriptive Statistics</t>
  </si>
  <si>
    <t>N (valid)</t>
  </si>
  <si>
    <t>Mean</t>
  </si>
  <si>
    <t>Median</t>
  </si>
  <si>
    <t>Mode</t>
  </si>
  <si>
    <t>Std Dev</t>
  </si>
  <si>
    <t>Min</t>
  </si>
  <si>
    <t>Max</t>
  </si>
  <si>
    <t>Overall Composite Satisfaction</t>
  </si>
  <si>
    <t>Frequency Distribution by Question</t>
  </si>
  <si>
    <t>Strongly Disagree</t>
  </si>
  <si>
    <t>Disagree</t>
  </si>
  <si>
    <t>Neither Agree nor Disagree</t>
  </si>
  <si>
    <t>Agree</t>
  </si>
  <si>
    <t>Strongly Agree</t>
  </si>
  <si>
    <t>Percent of Valid Responses</t>
  </si>
  <si>
    <t>% Agree or Strongly Agree (Top-2-Box)</t>
  </si>
  <si>
    <t>% Agree/Strongly Agree</t>
  </si>
  <si>
    <t>Charts</t>
  </si>
  <si>
    <t>Key Findings &amp; Analysis</t>
  </si>
  <si>
    <t>Survey Objective:</t>
  </si>
  <si>
    <t>Assess student satisfaction with online learning across five dimensions: overall experience, flexibility/balance, engagement, perceived learning, and likelihood to recommend.</t>
  </si>
  <si>
    <t>Snapshot</t>
  </si>
  <si>
    <t>Narrative Analysis</t>
  </si>
  <si>
    <t>Strongest result — Flexibility (Q2):</t>
  </si>
  <si>
    <t>Q2 has the highest mean and the highest top-2-box agreement, indicating that the ability to balance online coursework with other obligations is this group's clearest benefit of online learning.</t>
  </si>
  <si>
    <t>Weakest result — Perceived Learning (Q4):</t>
  </si>
  <si>
    <t>Q4 has the lowest mean and the lowest top-2-box agreement, and the widest spread of opinion (highest disagreement), suggesting students are least convinced they learn as much online as they would in a face-to-face classroom. This is the item most worth addressing.</t>
  </si>
  <si>
    <t>Engagement (Q3) is moderate:</t>
  </si>
  <si>
    <t>Responses to Q3 are more spread across the scale than Q2 or Q5, suggesting engagement is inconsistent across students rather than uniformly high or low — a candidate for follow-up questions on what drives engagement (e.g., discussion format, instructor presence).</t>
  </si>
  <si>
    <t>Overall satisfaction and advocacy track together:</t>
  </si>
  <si>
    <t>Q1 (overall experience) and Q5 (would recommend) show similar, fairly strong agreement levels, suggesting overall satisfaction is closely tied to willingness to recommend the format to peers.</t>
  </si>
  <si>
    <t>Data quality:</t>
  </si>
  <si>
    <t>Only 2 of 225 total responses (45 respondents x 5 items) were missing, both handled via pairwise deletion as documented on the Data Cleaning sheet; this had negligible effect on the results.</t>
  </si>
  <si>
    <t>Recommendations</t>
  </si>
  <si>
    <t>• Investigate why perceived learning (Q4) lags other items — consider student interviews or a follow-up question on which course formats (synchronous vs. asynchronous, video vs. text) feel most effective.</t>
  </si>
  <si>
    <t>• Share what is working in flexibility (Q2) as a model — e.g., highlight scheduling features or asynchronous options in program marketing, since this is the strongest-rated aspect.</t>
  </si>
  <si>
    <t>• Target engagement strategies (Q3) at students in the 'neither agree nor disagree' band, since this group is likely persuadable with small interventions (e.g., more interactive activities).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</si>
</sst>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4A6B57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A6B57"/>
        <bgColor rgb="FF666666"/>
      </patternFill>
    </fill>
    <fill>
      <patternFill patternType="solid">
        <fgColor rgb="FF6E8B75"/>
        <bgColor rgb="FF87878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/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 vertical="top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6E8B75"/>
      <rgbColor rgb="FF003366"/>
      <rgbColor rgb="FF4A6B5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Response Distribution by Question (% of valid responses)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'Frequency Distribution'!$B$11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Distribution'!$A$12:$A$16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'Frequency Distribution'!$B$12:$B$16</c:f>
              <c:numCache>
                <c:formatCode>0%</c:formatCode>
                <c:ptCount val="5"/>
                <c:pt idx="0">
                  <c:v>4.4444444444444446E-2</c:v>
                </c:pt>
                <c:pt idx="1">
                  <c:v>2.2222222222222223E-2</c:v>
                </c:pt>
                <c:pt idx="2">
                  <c:v>6.8181818181818177E-2</c:v>
                </c:pt>
                <c:pt idx="3">
                  <c:v>0.1111111111111111</c:v>
                </c:pt>
                <c:pt idx="4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0-4BAD-AFD5-41D7245FB6E6}"/>
            </c:ext>
          </c:extLst>
        </c:ser>
        <c:ser>
          <c:idx val="1"/>
          <c:order val="1"/>
          <c:tx>
            <c:strRef>
              <c:f>'Frequency Distribution'!$C$11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Distribution'!$A$12:$A$16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'Frequency Distribution'!$C$12:$C$16</c:f>
              <c:numCache>
                <c:formatCode>0%</c:formatCode>
                <c:ptCount val="5"/>
                <c:pt idx="0">
                  <c:v>0.1111111111111111</c:v>
                </c:pt>
                <c:pt idx="1">
                  <c:v>4.4444444444444446E-2</c:v>
                </c:pt>
                <c:pt idx="2">
                  <c:v>0.15909090909090909</c:v>
                </c:pt>
                <c:pt idx="3">
                  <c:v>0.24444444444444444</c:v>
                </c:pt>
                <c:pt idx="4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50-4BAD-AFD5-41D7245FB6E6}"/>
            </c:ext>
          </c:extLst>
        </c:ser>
        <c:ser>
          <c:idx val="2"/>
          <c:order val="2"/>
          <c:tx>
            <c:strRef>
              <c:f>'Frequency Distribution'!$D$11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Distribution'!$A$12:$A$16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'Frequency Distribution'!$D$12:$D$16</c:f>
              <c:numCache>
                <c:formatCode>0%</c:formatCode>
                <c:ptCount val="5"/>
                <c:pt idx="0">
                  <c:v>0.2</c:v>
                </c:pt>
                <c:pt idx="1">
                  <c:v>0.1111111111111111</c:v>
                </c:pt>
                <c:pt idx="2">
                  <c:v>0.18181818181818182</c:v>
                </c:pt>
                <c:pt idx="3">
                  <c:v>0.2</c:v>
                </c:pt>
                <c:pt idx="4">
                  <c:v>0.15909090909090909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50-4BAD-AFD5-41D7245FB6E6}"/>
            </c:ext>
          </c:extLst>
        </c:ser>
        <c:ser>
          <c:idx val="3"/>
          <c:order val="3"/>
          <c:tx>
            <c:strRef>
              <c:f>'Frequency Distribution'!$E$11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Distribution'!$A$12:$A$16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'Frequency Distribution'!$E$12:$E$16</c:f>
              <c:numCache>
                <c:formatCode>0%</c:formatCode>
                <c:ptCount val="5"/>
                <c:pt idx="0">
                  <c:v>0.37777777777777777</c:v>
                </c:pt>
                <c:pt idx="1">
                  <c:v>0.31111111111111112</c:v>
                </c:pt>
                <c:pt idx="2">
                  <c:v>0.27272727272727271</c:v>
                </c:pt>
                <c:pt idx="3">
                  <c:v>0.31111111111111112</c:v>
                </c:pt>
                <c:pt idx="4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50-4BAD-AFD5-41D7245FB6E6}"/>
            </c:ext>
          </c:extLst>
        </c:ser>
        <c:ser>
          <c:idx val="4"/>
          <c:order val="4"/>
          <c:tx>
            <c:strRef>
              <c:f>'Frequency Distribution'!$F$11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Distribution'!$A$12:$A$16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'Frequency Distribution'!$F$12:$F$16</c:f>
              <c:numCache>
                <c:formatCode>0%</c:formatCode>
                <c:ptCount val="5"/>
                <c:pt idx="0">
                  <c:v>0.26666666666666666</c:v>
                </c:pt>
                <c:pt idx="1">
                  <c:v>0.51111111111111107</c:v>
                </c:pt>
                <c:pt idx="2">
                  <c:v>0.31818181818181818</c:v>
                </c:pt>
                <c:pt idx="3">
                  <c:v>0.13333333333333333</c:v>
                </c:pt>
                <c:pt idx="4">
                  <c:v>0.47727272727272729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50-4BAD-AFD5-41D7245F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445268"/>
        <c:axId val="21274424"/>
      </c:barChart>
      <c:catAx>
        <c:axId val="874452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Survey 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74424"/>
        <c:crosses val="autoZero"/>
        <c:auto val="1"/>
        <c:lblAlgn val="ctr"/>
        <c:lblOffset val="100"/>
        <c:noMultiLvlLbl val="0"/>
      </c:catAx>
      <c:valAx>
        <c:axId val="21274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445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Mean Score by Question (1-5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'Descriptive Stats'!$C$3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'Descriptive Stats'!$A$4:$A$8</c:f>
              <c:strCache>
                <c:ptCount val="5"/>
                <c:pt idx="0">
                  <c:v>Q1: I am pleased with my whole experience with online learning.</c:v>
                </c:pt>
                <c:pt idx="1">
                  <c:v>Q2: Online classes allow me to balance my education and other obligations.</c:v>
                </c:pt>
                <c:pt idx="2">
                  <c:v>Q3: I feel engaged and involved in my online classes.</c:v>
                </c:pt>
                <c:pt idx="3">
                  <c:v>Q4: I feel like I learn just as much online as I would in a real classroom.</c:v>
                </c:pt>
                <c:pt idx="4">
                  <c:v>Q5: I would recommend online learning to other students.</c:v>
                </c:pt>
              </c:strCache>
            </c:strRef>
          </c:cat>
          <c:val>
            <c:numRef>
              <c:f>'Descriptive Stats'!$C$4:$C$8</c:f>
              <c:numCache>
                <c:formatCode>0.00</c:formatCode>
                <c:ptCount val="5"/>
                <c:pt idx="0">
                  <c:v>3.7111111111111112</c:v>
                </c:pt>
                <c:pt idx="1">
                  <c:v>4.2444444444444445</c:v>
                </c:pt>
                <c:pt idx="2">
                  <c:v>3.6136363636363638</c:v>
                </c:pt>
                <c:pt idx="3">
                  <c:v>3.1111111111111112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8-464C-8BC9-6D5C63904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28719"/>
        <c:axId val="23576069"/>
      </c:barChart>
      <c:catAx>
        <c:axId val="4392871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Mean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576069"/>
        <c:crosses val="autoZero"/>
        <c:auto val="1"/>
        <c:lblAlgn val="ctr"/>
        <c:lblOffset val="100"/>
        <c:noMultiLvlLbl val="0"/>
      </c:catAx>
      <c:valAx>
        <c:axId val="235760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Survey 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9287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% Agree or Strongly Agree by Question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Distribution'!$B$19</c:f>
              <c:strCache>
                <c:ptCount val="1"/>
                <c:pt idx="0">
                  <c:v>% Agree/Strongly Agree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Distribution'!$C$20:$C$24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'Frequency Distribution'!$B$20:$B$24</c:f>
              <c:numCache>
                <c:formatCode>0%</c:formatCode>
                <c:ptCount val="5"/>
                <c:pt idx="0">
                  <c:v>0.64444444444444438</c:v>
                </c:pt>
                <c:pt idx="1">
                  <c:v>0.82222222222222219</c:v>
                </c:pt>
                <c:pt idx="2">
                  <c:v>0.59090909090909083</c:v>
                </c:pt>
                <c:pt idx="3">
                  <c:v>0.44444444444444442</c:v>
                </c:pt>
                <c:pt idx="4">
                  <c:v>0.70454545454545459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0-4400-984B-FAE47D42D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02640"/>
        <c:axId val="80605344"/>
      </c:barChart>
      <c:catAx>
        <c:axId val="231026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Survey 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05344"/>
        <c:crosses val="autoZero"/>
        <c:auto val="1"/>
        <c:lblAlgn val="ctr"/>
        <c:lblOffset val="100"/>
        <c:noMultiLvlLbl val="0"/>
      </c:catAx>
      <c:valAx>
        <c:axId val="8060534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Agree/Strongly Agree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026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581400</xdr:colOff>
      <xdr:row>20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12</xdr:col>
      <xdr:colOff>581400</xdr:colOff>
      <xdr:row>39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12</xdr:col>
      <xdr:colOff>581400</xdr:colOff>
      <xdr:row>58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showGridLines="0" zoomScaleNormal="100" workbookViewId="0">
      <pane ySplit="14" topLeftCell="A15" activePane="bottomLeft" state="frozen"/>
      <selection pane="bottomLeft" sqref="A1:G1"/>
    </sheetView>
  </sheetViews>
  <sheetFormatPr defaultColWidth="8.6328125" defaultRowHeight="14.5" x14ac:dyDescent="0.35"/>
  <cols>
    <col min="1" max="1" width="14" customWidth="1"/>
    <col min="2" max="6" width="8" customWidth="1"/>
    <col min="7" max="7" width="11" customWidth="1"/>
  </cols>
  <sheetData>
    <row r="1" spans="1:7" ht="21.75" customHeight="1" x14ac:dyDescent="0.35">
      <c r="A1" s="7" t="s">
        <v>0</v>
      </c>
      <c r="B1" s="7"/>
      <c r="C1" s="7"/>
      <c r="D1" s="7"/>
      <c r="E1" s="7"/>
      <c r="F1" s="7"/>
      <c r="G1" s="7"/>
    </row>
    <row r="3" spans="1:7" x14ac:dyDescent="0.35">
      <c r="A3" s="8" t="s">
        <v>1</v>
      </c>
      <c r="B3" s="6" t="s">
        <v>2</v>
      </c>
      <c r="C3" s="6"/>
      <c r="D3" s="6"/>
      <c r="E3" s="6"/>
      <c r="F3" s="6"/>
      <c r="G3" s="6"/>
    </row>
    <row r="5" spans="1:7" x14ac:dyDescent="0.35">
      <c r="A5" s="9" t="s">
        <v>3</v>
      </c>
    </row>
    <row r="6" spans="1:7" x14ac:dyDescent="0.35">
      <c r="A6" s="8" t="s">
        <v>4</v>
      </c>
      <c r="B6" s="6" t="s">
        <v>5</v>
      </c>
      <c r="C6" s="6"/>
      <c r="D6" s="6"/>
      <c r="E6" s="6"/>
      <c r="F6" s="6"/>
      <c r="G6" s="6"/>
    </row>
    <row r="7" spans="1:7" x14ac:dyDescent="0.35">
      <c r="A7" s="8" t="s">
        <v>6</v>
      </c>
      <c r="B7" s="6" t="s">
        <v>7</v>
      </c>
      <c r="C7" s="6"/>
      <c r="D7" s="6"/>
      <c r="E7" s="6"/>
      <c r="F7" s="6"/>
      <c r="G7" s="6"/>
    </row>
    <row r="8" spans="1:7" x14ac:dyDescent="0.35">
      <c r="A8" s="8" t="s">
        <v>8</v>
      </c>
      <c r="B8" s="6" t="s">
        <v>9</v>
      </c>
      <c r="C8" s="6"/>
      <c r="D8" s="6"/>
      <c r="E8" s="6"/>
      <c r="F8" s="6"/>
      <c r="G8" s="6"/>
    </row>
    <row r="9" spans="1:7" x14ac:dyDescent="0.35">
      <c r="A9" s="8" t="s">
        <v>10</v>
      </c>
      <c r="B9" s="6" t="s">
        <v>11</v>
      </c>
      <c r="C9" s="6"/>
      <c r="D9" s="6"/>
      <c r="E9" s="6"/>
      <c r="F9" s="6"/>
      <c r="G9" s="6"/>
    </row>
    <row r="10" spans="1:7" x14ac:dyDescent="0.35">
      <c r="A10" s="8" t="s">
        <v>12</v>
      </c>
      <c r="B10" s="6" t="s">
        <v>13</v>
      </c>
      <c r="C10" s="6"/>
      <c r="D10" s="6"/>
      <c r="E10" s="6"/>
      <c r="F10" s="6"/>
      <c r="G10" s="6"/>
    </row>
    <row r="12" spans="1:7" ht="30" customHeight="1" x14ac:dyDescent="0.35">
      <c r="A12" s="10" t="s">
        <v>14</v>
      </c>
      <c r="B12" s="5" t="s">
        <v>15</v>
      </c>
      <c r="C12" s="5"/>
      <c r="D12" s="5"/>
      <c r="E12" s="5"/>
      <c r="F12" s="5"/>
      <c r="G12" s="5"/>
    </row>
    <row r="14" spans="1:7" x14ac:dyDescent="0.35">
      <c r="A14" s="11" t="s">
        <v>16</v>
      </c>
      <c r="B14" s="11" t="s">
        <v>4</v>
      </c>
      <c r="C14" s="11" t="s">
        <v>6</v>
      </c>
      <c r="D14" s="11" t="s">
        <v>8</v>
      </c>
      <c r="E14" s="11" t="s">
        <v>10</v>
      </c>
      <c r="F14" s="11" t="s">
        <v>12</v>
      </c>
      <c r="G14" s="11" t="s">
        <v>17</v>
      </c>
    </row>
    <row r="15" spans="1:7" x14ac:dyDescent="0.35">
      <c r="A15" s="12" t="s">
        <v>18</v>
      </c>
      <c r="B15" s="13">
        <v>4</v>
      </c>
      <c r="C15" s="13">
        <v>5</v>
      </c>
      <c r="D15" s="13">
        <v>2</v>
      </c>
      <c r="E15" s="13">
        <v>3</v>
      </c>
      <c r="F15" s="13">
        <v>4</v>
      </c>
      <c r="G15" s="14">
        <f t="shared" ref="G15:G59" si="0">IFERROR(AVERAGE(B15:F15),"")</f>
        <v>3.6</v>
      </c>
    </row>
    <row r="16" spans="1:7" x14ac:dyDescent="0.35">
      <c r="A16" s="12" t="s">
        <v>19</v>
      </c>
      <c r="B16" s="13">
        <v>5</v>
      </c>
      <c r="C16" s="13">
        <v>4</v>
      </c>
      <c r="D16" s="13">
        <v>4</v>
      </c>
      <c r="E16" s="13">
        <v>4</v>
      </c>
      <c r="F16" s="13">
        <v>2</v>
      </c>
      <c r="G16" s="14">
        <f t="shared" si="0"/>
        <v>3.8</v>
      </c>
    </row>
    <row r="17" spans="1:7" x14ac:dyDescent="0.35">
      <c r="A17" s="12" t="s">
        <v>20</v>
      </c>
      <c r="B17" s="13">
        <v>5</v>
      </c>
      <c r="C17" s="13">
        <v>5</v>
      </c>
      <c r="D17" s="13">
        <v>5</v>
      </c>
      <c r="E17" s="13">
        <v>4</v>
      </c>
      <c r="F17" s="13">
        <v>5</v>
      </c>
      <c r="G17" s="14">
        <f t="shared" si="0"/>
        <v>4.8</v>
      </c>
    </row>
    <row r="18" spans="1:7" x14ac:dyDescent="0.35">
      <c r="A18" s="12" t="s">
        <v>21</v>
      </c>
      <c r="B18" s="13">
        <v>4</v>
      </c>
      <c r="C18" s="13">
        <v>5</v>
      </c>
      <c r="D18" s="13">
        <v>4</v>
      </c>
      <c r="E18" s="13">
        <v>3</v>
      </c>
      <c r="F18" s="13">
        <v>5</v>
      </c>
      <c r="G18" s="14">
        <f t="shared" si="0"/>
        <v>4.2</v>
      </c>
    </row>
    <row r="19" spans="1:7" x14ac:dyDescent="0.35">
      <c r="A19" s="12" t="s">
        <v>22</v>
      </c>
      <c r="B19" s="13">
        <v>3</v>
      </c>
      <c r="C19" s="13">
        <v>4</v>
      </c>
      <c r="D19" s="13">
        <v>5</v>
      </c>
      <c r="E19" s="13">
        <v>5</v>
      </c>
      <c r="F19" s="13">
        <v>3</v>
      </c>
      <c r="G19" s="14">
        <f t="shared" si="0"/>
        <v>4</v>
      </c>
    </row>
    <row r="20" spans="1:7" x14ac:dyDescent="0.35">
      <c r="A20" s="12" t="s">
        <v>23</v>
      </c>
      <c r="B20" s="13">
        <v>3</v>
      </c>
      <c r="C20" s="13">
        <v>5</v>
      </c>
      <c r="D20" s="13">
        <v>4</v>
      </c>
      <c r="E20" s="13">
        <v>5</v>
      </c>
      <c r="F20" s="13">
        <v>5</v>
      </c>
      <c r="G20" s="14">
        <f t="shared" si="0"/>
        <v>4.4000000000000004</v>
      </c>
    </row>
    <row r="21" spans="1:7" x14ac:dyDescent="0.35">
      <c r="A21" s="12" t="s">
        <v>24</v>
      </c>
      <c r="B21" s="13">
        <v>2</v>
      </c>
      <c r="C21" s="13">
        <v>5</v>
      </c>
      <c r="D21" s="13">
        <v>4</v>
      </c>
      <c r="E21" s="13">
        <v>2</v>
      </c>
      <c r="F21" s="13">
        <v>5</v>
      </c>
      <c r="G21" s="14">
        <f t="shared" si="0"/>
        <v>3.6</v>
      </c>
    </row>
    <row r="22" spans="1:7" x14ac:dyDescent="0.35">
      <c r="A22" s="12" t="s">
        <v>25</v>
      </c>
      <c r="B22" s="13">
        <v>5</v>
      </c>
      <c r="C22" s="13">
        <v>5</v>
      </c>
      <c r="D22" s="13">
        <v>4</v>
      </c>
      <c r="E22" s="13">
        <v>3</v>
      </c>
      <c r="F22" s="13">
        <v>4</v>
      </c>
      <c r="G22" s="14">
        <f t="shared" si="0"/>
        <v>4.2</v>
      </c>
    </row>
    <row r="23" spans="1:7" x14ac:dyDescent="0.35">
      <c r="A23" s="12" t="s">
        <v>26</v>
      </c>
      <c r="B23" s="13">
        <v>4</v>
      </c>
      <c r="C23" s="13">
        <v>5</v>
      </c>
      <c r="D23" s="13">
        <v>1</v>
      </c>
      <c r="E23" s="13">
        <v>3</v>
      </c>
      <c r="F23" s="13">
        <v>4</v>
      </c>
      <c r="G23" s="14">
        <f t="shared" si="0"/>
        <v>3.4</v>
      </c>
    </row>
    <row r="24" spans="1:7" x14ac:dyDescent="0.35">
      <c r="A24" s="12" t="s">
        <v>27</v>
      </c>
      <c r="B24" s="13">
        <v>5</v>
      </c>
      <c r="C24" s="13">
        <v>5</v>
      </c>
      <c r="D24" s="13">
        <v>2</v>
      </c>
      <c r="E24" s="13">
        <v>2</v>
      </c>
      <c r="F24" s="13">
        <v>3</v>
      </c>
      <c r="G24" s="14">
        <f t="shared" si="0"/>
        <v>3.4</v>
      </c>
    </row>
    <row r="25" spans="1:7" x14ac:dyDescent="0.35">
      <c r="A25" s="12" t="s">
        <v>28</v>
      </c>
      <c r="B25" s="13">
        <v>1</v>
      </c>
      <c r="C25" s="13">
        <v>5</v>
      </c>
      <c r="D25" s="13">
        <v>1</v>
      </c>
      <c r="E25" s="13">
        <v>1</v>
      </c>
      <c r="F25" s="13">
        <v>2</v>
      </c>
      <c r="G25" s="14">
        <f t="shared" si="0"/>
        <v>2</v>
      </c>
    </row>
    <row r="26" spans="1:7" x14ac:dyDescent="0.35">
      <c r="A26" s="12" t="s">
        <v>29</v>
      </c>
      <c r="B26" s="13">
        <v>5</v>
      </c>
      <c r="C26" s="13">
        <v>3</v>
      </c>
      <c r="D26" s="13"/>
      <c r="E26" s="13">
        <v>4</v>
      </c>
      <c r="F26" s="13">
        <v>5</v>
      </c>
      <c r="G26" s="14">
        <f t="shared" si="0"/>
        <v>4.25</v>
      </c>
    </row>
    <row r="27" spans="1:7" x14ac:dyDescent="0.35">
      <c r="A27" s="12" t="s">
        <v>30</v>
      </c>
      <c r="B27" s="13">
        <v>5</v>
      </c>
      <c r="C27" s="13">
        <v>4</v>
      </c>
      <c r="D27" s="13">
        <v>3</v>
      </c>
      <c r="E27" s="13">
        <v>3</v>
      </c>
      <c r="F27" s="13">
        <v>5</v>
      </c>
      <c r="G27" s="14">
        <f t="shared" si="0"/>
        <v>4</v>
      </c>
    </row>
    <row r="28" spans="1:7" x14ac:dyDescent="0.35">
      <c r="A28" s="12" t="s">
        <v>31</v>
      </c>
      <c r="B28" s="13">
        <v>3</v>
      </c>
      <c r="C28" s="13">
        <v>2</v>
      </c>
      <c r="D28" s="13">
        <v>4</v>
      </c>
      <c r="E28" s="13">
        <v>1</v>
      </c>
      <c r="F28" s="13">
        <v>5</v>
      </c>
      <c r="G28" s="14">
        <f t="shared" si="0"/>
        <v>3</v>
      </c>
    </row>
    <row r="29" spans="1:7" x14ac:dyDescent="0.35">
      <c r="A29" s="12" t="s">
        <v>32</v>
      </c>
      <c r="B29" s="13">
        <v>3</v>
      </c>
      <c r="C29" s="13">
        <v>4</v>
      </c>
      <c r="D29" s="13">
        <v>5</v>
      </c>
      <c r="E29" s="13">
        <v>2</v>
      </c>
      <c r="F29" s="13">
        <v>4</v>
      </c>
      <c r="G29" s="14">
        <f t="shared" si="0"/>
        <v>3.6</v>
      </c>
    </row>
    <row r="30" spans="1:7" x14ac:dyDescent="0.35">
      <c r="A30" s="12" t="s">
        <v>33</v>
      </c>
      <c r="B30" s="13">
        <v>3</v>
      </c>
      <c r="C30" s="13">
        <v>4</v>
      </c>
      <c r="D30" s="13">
        <v>3</v>
      </c>
      <c r="E30" s="13">
        <v>5</v>
      </c>
      <c r="F30" s="13">
        <v>4</v>
      </c>
      <c r="G30" s="14">
        <f t="shared" si="0"/>
        <v>3.8</v>
      </c>
    </row>
    <row r="31" spans="1:7" x14ac:dyDescent="0.35">
      <c r="A31" s="12" t="s">
        <v>34</v>
      </c>
      <c r="B31" s="13">
        <v>4</v>
      </c>
      <c r="C31" s="13">
        <v>4</v>
      </c>
      <c r="D31" s="13">
        <v>4</v>
      </c>
      <c r="E31" s="13">
        <v>2</v>
      </c>
      <c r="F31" s="13">
        <v>5</v>
      </c>
      <c r="G31" s="14">
        <f t="shared" si="0"/>
        <v>3.8</v>
      </c>
    </row>
    <row r="32" spans="1:7" x14ac:dyDescent="0.35">
      <c r="A32" s="12" t="s">
        <v>35</v>
      </c>
      <c r="B32" s="13">
        <v>4</v>
      </c>
      <c r="C32" s="13">
        <v>5</v>
      </c>
      <c r="D32" s="13">
        <v>5</v>
      </c>
      <c r="E32" s="13">
        <v>2</v>
      </c>
      <c r="F32" s="13">
        <v>5</v>
      </c>
      <c r="G32" s="14">
        <f t="shared" si="0"/>
        <v>4.2</v>
      </c>
    </row>
    <row r="33" spans="1:7" x14ac:dyDescent="0.35">
      <c r="A33" s="12" t="s">
        <v>36</v>
      </c>
      <c r="B33" s="13">
        <v>4</v>
      </c>
      <c r="C33" s="13">
        <v>4</v>
      </c>
      <c r="D33" s="13">
        <v>3</v>
      </c>
      <c r="E33" s="13">
        <v>3</v>
      </c>
      <c r="F33" s="13">
        <v>5</v>
      </c>
      <c r="G33" s="14">
        <f t="shared" si="0"/>
        <v>3.8</v>
      </c>
    </row>
    <row r="34" spans="1:7" x14ac:dyDescent="0.35">
      <c r="A34" s="12" t="s">
        <v>37</v>
      </c>
      <c r="B34" s="13">
        <v>4</v>
      </c>
      <c r="C34" s="13">
        <v>4</v>
      </c>
      <c r="D34" s="13">
        <v>2</v>
      </c>
      <c r="E34" s="13">
        <v>5</v>
      </c>
      <c r="F34" s="13">
        <v>5</v>
      </c>
      <c r="G34" s="14">
        <f t="shared" si="0"/>
        <v>4</v>
      </c>
    </row>
    <row r="35" spans="1:7" x14ac:dyDescent="0.35">
      <c r="A35" s="12" t="s">
        <v>38</v>
      </c>
      <c r="B35" s="13">
        <v>4</v>
      </c>
      <c r="C35" s="13">
        <v>5</v>
      </c>
      <c r="D35" s="13">
        <v>3</v>
      </c>
      <c r="E35" s="13">
        <v>2</v>
      </c>
      <c r="F35" s="13">
        <v>5</v>
      </c>
      <c r="G35" s="14">
        <f t="shared" si="0"/>
        <v>3.8</v>
      </c>
    </row>
    <row r="36" spans="1:7" x14ac:dyDescent="0.35">
      <c r="A36" s="12" t="s">
        <v>39</v>
      </c>
      <c r="B36" s="13">
        <v>3</v>
      </c>
      <c r="C36" s="13">
        <v>3</v>
      </c>
      <c r="D36" s="13">
        <v>2</v>
      </c>
      <c r="E36" s="13">
        <v>4</v>
      </c>
      <c r="F36" s="13">
        <v>2</v>
      </c>
      <c r="G36" s="14">
        <f t="shared" si="0"/>
        <v>2.8</v>
      </c>
    </row>
    <row r="37" spans="1:7" x14ac:dyDescent="0.35">
      <c r="A37" s="12" t="s">
        <v>40</v>
      </c>
      <c r="B37" s="13">
        <v>4</v>
      </c>
      <c r="C37" s="13">
        <v>5</v>
      </c>
      <c r="D37" s="13">
        <v>5</v>
      </c>
      <c r="E37" s="13">
        <v>4</v>
      </c>
      <c r="F37" s="13">
        <v>3</v>
      </c>
      <c r="G37" s="14">
        <f t="shared" si="0"/>
        <v>4.2</v>
      </c>
    </row>
    <row r="38" spans="1:7" x14ac:dyDescent="0.35">
      <c r="A38" s="12" t="s">
        <v>41</v>
      </c>
      <c r="B38" s="13">
        <v>4</v>
      </c>
      <c r="C38" s="13">
        <v>3</v>
      </c>
      <c r="D38" s="13">
        <v>5</v>
      </c>
      <c r="E38" s="13">
        <v>2</v>
      </c>
      <c r="F38" s="13">
        <v>5</v>
      </c>
      <c r="G38" s="14">
        <f t="shared" si="0"/>
        <v>3.8</v>
      </c>
    </row>
    <row r="39" spans="1:7" x14ac:dyDescent="0.35">
      <c r="A39" s="12" t="s">
        <v>42</v>
      </c>
      <c r="B39" s="13">
        <v>4</v>
      </c>
      <c r="C39" s="13">
        <v>5</v>
      </c>
      <c r="D39" s="13">
        <v>4</v>
      </c>
      <c r="E39" s="13">
        <v>4</v>
      </c>
      <c r="F39" s="13">
        <v>4</v>
      </c>
      <c r="G39" s="14">
        <f t="shared" si="0"/>
        <v>4.2</v>
      </c>
    </row>
    <row r="40" spans="1:7" x14ac:dyDescent="0.35">
      <c r="A40" s="12" t="s">
        <v>43</v>
      </c>
      <c r="B40" s="13">
        <v>5</v>
      </c>
      <c r="C40" s="13">
        <v>5</v>
      </c>
      <c r="D40" s="13">
        <v>5</v>
      </c>
      <c r="E40" s="13">
        <v>3</v>
      </c>
      <c r="F40" s="13">
        <v>1</v>
      </c>
      <c r="G40" s="14">
        <f t="shared" si="0"/>
        <v>3.8</v>
      </c>
    </row>
    <row r="41" spans="1:7" x14ac:dyDescent="0.35">
      <c r="A41" s="12" t="s">
        <v>44</v>
      </c>
      <c r="B41" s="13">
        <v>3</v>
      </c>
      <c r="C41" s="13">
        <v>4</v>
      </c>
      <c r="D41" s="13">
        <v>5</v>
      </c>
      <c r="E41" s="13">
        <v>4</v>
      </c>
      <c r="F41" s="13"/>
      <c r="G41" s="14">
        <f t="shared" si="0"/>
        <v>4</v>
      </c>
    </row>
    <row r="42" spans="1:7" x14ac:dyDescent="0.35">
      <c r="A42" s="12" t="s">
        <v>45</v>
      </c>
      <c r="B42" s="13">
        <v>4</v>
      </c>
      <c r="C42" s="13">
        <v>1</v>
      </c>
      <c r="D42" s="13">
        <v>2</v>
      </c>
      <c r="E42" s="13">
        <v>4</v>
      </c>
      <c r="F42" s="13">
        <v>5</v>
      </c>
      <c r="G42" s="14">
        <f t="shared" si="0"/>
        <v>3.2</v>
      </c>
    </row>
    <row r="43" spans="1:7" x14ac:dyDescent="0.35">
      <c r="A43" s="12" t="s">
        <v>46</v>
      </c>
      <c r="B43" s="13">
        <v>4</v>
      </c>
      <c r="C43" s="13">
        <v>5</v>
      </c>
      <c r="D43" s="13">
        <v>5</v>
      </c>
      <c r="E43" s="13">
        <v>4</v>
      </c>
      <c r="F43" s="13">
        <v>1</v>
      </c>
      <c r="G43" s="14">
        <f t="shared" si="0"/>
        <v>3.8</v>
      </c>
    </row>
    <row r="44" spans="1:7" x14ac:dyDescent="0.35">
      <c r="A44" s="12" t="s">
        <v>47</v>
      </c>
      <c r="B44" s="13">
        <v>2</v>
      </c>
      <c r="C44" s="13">
        <v>5</v>
      </c>
      <c r="D44" s="13">
        <v>4</v>
      </c>
      <c r="E44" s="13">
        <v>1</v>
      </c>
      <c r="F44" s="13">
        <v>3</v>
      </c>
      <c r="G44" s="14">
        <f t="shared" si="0"/>
        <v>3</v>
      </c>
    </row>
    <row r="45" spans="1:7" x14ac:dyDescent="0.35">
      <c r="A45" s="12" t="s">
        <v>48</v>
      </c>
      <c r="B45" s="13">
        <v>4</v>
      </c>
      <c r="C45" s="13">
        <v>5</v>
      </c>
      <c r="D45" s="13">
        <v>5</v>
      </c>
      <c r="E45" s="13">
        <v>5</v>
      </c>
      <c r="F45" s="13">
        <v>4</v>
      </c>
      <c r="G45" s="14">
        <f t="shared" si="0"/>
        <v>4.5999999999999996</v>
      </c>
    </row>
    <row r="46" spans="1:7" x14ac:dyDescent="0.35">
      <c r="A46" s="12" t="s">
        <v>49</v>
      </c>
      <c r="B46" s="13">
        <v>3</v>
      </c>
      <c r="C46" s="13">
        <v>5</v>
      </c>
      <c r="D46" s="13">
        <v>5</v>
      </c>
      <c r="E46" s="13">
        <v>3</v>
      </c>
      <c r="F46" s="13">
        <v>5</v>
      </c>
      <c r="G46" s="14">
        <f t="shared" si="0"/>
        <v>4.2</v>
      </c>
    </row>
    <row r="47" spans="1:7" x14ac:dyDescent="0.35">
      <c r="A47" s="12" t="s">
        <v>50</v>
      </c>
      <c r="B47" s="13">
        <v>2</v>
      </c>
      <c r="C47" s="13">
        <v>3</v>
      </c>
      <c r="D47" s="13">
        <v>3</v>
      </c>
      <c r="E47" s="13">
        <v>2</v>
      </c>
      <c r="F47" s="13">
        <v>5</v>
      </c>
      <c r="G47" s="14">
        <f t="shared" si="0"/>
        <v>3</v>
      </c>
    </row>
    <row r="48" spans="1:7" x14ac:dyDescent="0.35">
      <c r="A48" s="12" t="s">
        <v>51</v>
      </c>
      <c r="B48" s="13">
        <v>5</v>
      </c>
      <c r="C48" s="13">
        <v>4</v>
      </c>
      <c r="D48" s="13">
        <v>2</v>
      </c>
      <c r="E48" s="13">
        <v>1</v>
      </c>
      <c r="F48" s="13">
        <v>3</v>
      </c>
      <c r="G48" s="14">
        <f t="shared" si="0"/>
        <v>3</v>
      </c>
    </row>
    <row r="49" spans="1:7" x14ac:dyDescent="0.35">
      <c r="A49" s="12" t="s">
        <v>52</v>
      </c>
      <c r="B49" s="13">
        <v>5</v>
      </c>
      <c r="C49" s="13">
        <v>3</v>
      </c>
      <c r="D49" s="13">
        <v>3</v>
      </c>
      <c r="E49" s="13">
        <v>4</v>
      </c>
      <c r="F49" s="13">
        <v>5</v>
      </c>
      <c r="G49" s="14">
        <f t="shared" si="0"/>
        <v>4</v>
      </c>
    </row>
    <row r="50" spans="1:7" x14ac:dyDescent="0.35">
      <c r="A50" s="12" t="s">
        <v>53</v>
      </c>
      <c r="B50" s="13">
        <v>5</v>
      </c>
      <c r="C50" s="13">
        <v>5</v>
      </c>
      <c r="D50" s="13">
        <v>4</v>
      </c>
      <c r="E50" s="13">
        <v>4</v>
      </c>
      <c r="F50" s="13">
        <v>3</v>
      </c>
      <c r="G50" s="14">
        <f t="shared" si="0"/>
        <v>4.2</v>
      </c>
    </row>
    <row r="51" spans="1:7" x14ac:dyDescent="0.35">
      <c r="A51" s="12" t="s">
        <v>54</v>
      </c>
      <c r="B51" s="13">
        <v>4</v>
      </c>
      <c r="C51" s="13">
        <v>5</v>
      </c>
      <c r="D51" s="13">
        <v>5</v>
      </c>
      <c r="E51" s="13">
        <v>1</v>
      </c>
      <c r="F51" s="13">
        <v>4</v>
      </c>
      <c r="G51" s="14">
        <f t="shared" si="0"/>
        <v>3.8</v>
      </c>
    </row>
    <row r="52" spans="1:7" x14ac:dyDescent="0.35">
      <c r="A52" s="12" t="s">
        <v>55</v>
      </c>
      <c r="B52" s="13">
        <v>2</v>
      </c>
      <c r="C52" s="13">
        <v>4</v>
      </c>
      <c r="D52" s="13">
        <v>5</v>
      </c>
      <c r="E52" s="13">
        <v>4</v>
      </c>
      <c r="F52" s="13">
        <v>5</v>
      </c>
      <c r="G52" s="14">
        <f t="shared" si="0"/>
        <v>4</v>
      </c>
    </row>
    <row r="53" spans="1:7" x14ac:dyDescent="0.35">
      <c r="A53" s="12" t="s">
        <v>56</v>
      </c>
      <c r="B53" s="13">
        <v>5</v>
      </c>
      <c r="C53" s="13">
        <v>2</v>
      </c>
      <c r="D53" s="13">
        <v>1</v>
      </c>
      <c r="E53" s="13">
        <v>2</v>
      </c>
      <c r="F53" s="13">
        <v>5</v>
      </c>
      <c r="G53" s="14">
        <f t="shared" si="0"/>
        <v>3</v>
      </c>
    </row>
    <row r="54" spans="1:7" x14ac:dyDescent="0.35">
      <c r="A54" s="12" t="s">
        <v>57</v>
      </c>
      <c r="B54" s="13">
        <v>4</v>
      </c>
      <c r="C54" s="13">
        <v>4</v>
      </c>
      <c r="D54" s="13">
        <v>4</v>
      </c>
      <c r="E54" s="13">
        <v>4</v>
      </c>
      <c r="F54" s="13">
        <v>5</v>
      </c>
      <c r="G54" s="14">
        <f t="shared" si="0"/>
        <v>4.2</v>
      </c>
    </row>
    <row r="55" spans="1:7" x14ac:dyDescent="0.35">
      <c r="A55" s="12" t="s">
        <v>58</v>
      </c>
      <c r="B55" s="13">
        <v>2</v>
      </c>
      <c r="C55" s="13">
        <v>4</v>
      </c>
      <c r="D55" s="13">
        <v>4</v>
      </c>
      <c r="E55" s="13">
        <v>2</v>
      </c>
      <c r="F55" s="13">
        <v>5</v>
      </c>
      <c r="G55" s="14">
        <f t="shared" si="0"/>
        <v>3.4</v>
      </c>
    </row>
    <row r="56" spans="1:7" x14ac:dyDescent="0.35">
      <c r="A56" s="12" t="s">
        <v>59</v>
      </c>
      <c r="B56" s="13">
        <v>4</v>
      </c>
      <c r="C56" s="13">
        <v>5</v>
      </c>
      <c r="D56" s="13">
        <v>3</v>
      </c>
      <c r="E56" s="13">
        <v>4</v>
      </c>
      <c r="F56" s="13">
        <v>4</v>
      </c>
      <c r="G56" s="14">
        <f t="shared" si="0"/>
        <v>4</v>
      </c>
    </row>
    <row r="57" spans="1:7" x14ac:dyDescent="0.35">
      <c r="A57" s="12" t="s">
        <v>60</v>
      </c>
      <c r="B57" s="13">
        <v>1</v>
      </c>
      <c r="C57" s="13">
        <v>5</v>
      </c>
      <c r="D57" s="13">
        <v>2</v>
      </c>
      <c r="E57" s="13">
        <v>3</v>
      </c>
      <c r="F57" s="13">
        <v>2</v>
      </c>
      <c r="G57" s="14">
        <f t="shared" si="0"/>
        <v>2.6</v>
      </c>
    </row>
    <row r="58" spans="1:7" x14ac:dyDescent="0.35">
      <c r="A58" s="12" t="s">
        <v>61</v>
      </c>
      <c r="B58" s="13">
        <v>5</v>
      </c>
      <c r="C58" s="13">
        <v>5</v>
      </c>
      <c r="D58" s="13">
        <v>3</v>
      </c>
      <c r="E58" s="13">
        <v>5</v>
      </c>
      <c r="F58" s="13">
        <v>4</v>
      </c>
      <c r="G58" s="14">
        <f t="shared" si="0"/>
        <v>4.4000000000000004</v>
      </c>
    </row>
    <row r="59" spans="1:7" x14ac:dyDescent="0.35">
      <c r="A59" s="12" t="s">
        <v>62</v>
      </c>
      <c r="B59" s="13">
        <v>3</v>
      </c>
      <c r="C59" s="13">
        <v>4</v>
      </c>
      <c r="D59" s="13">
        <v>5</v>
      </c>
      <c r="E59" s="13">
        <v>2</v>
      </c>
      <c r="F59" s="13">
        <v>3</v>
      </c>
      <c r="G59" s="14">
        <f t="shared" si="0"/>
        <v>3.4</v>
      </c>
    </row>
  </sheetData>
  <mergeCells count="8">
    <mergeCell ref="B9:G9"/>
    <mergeCell ref="B10:G10"/>
    <mergeCell ref="B12:G12"/>
    <mergeCell ref="A1:G1"/>
    <mergeCell ref="B3:G3"/>
    <mergeCell ref="B6:G6"/>
    <mergeCell ref="B7:G7"/>
    <mergeCell ref="B8:G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46" customWidth="1"/>
    <col min="2" max="2" width="16" customWidth="1"/>
    <col min="3" max="3" width="14" customWidth="1"/>
    <col min="4" max="5" width="10" customWidth="1"/>
  </cols>
  <sheetData>
    <row r="1" spans="1:5" ht="21.75" customHeight="1" x14ac:dyDescent="0.35">
      <c r="A1" s="7" t="s">
        <v>63</v>
      </c>
      <c r="B1" s="7"/>
      <c r="C1" s="7"/>
      <c r="D1" s="7"/>
      <c r="E1" s="7"/>
    </row>
    <row r="3" spans="1:5" ht="69.75" customHeight="1" x14ac:dyDescent="0.35">
      <c r="A3" s="10" t="s">
        <v>64</v>
      </c>
      <c r="B3" s="4" t="s">
        <v>65</v>
      </c>
      <c r="C3" s="4"/>
      <c r="D3" s="4"/>
      <c r="E3" s="4"/>
    </row>
    <row r="6" spans="1:5" ht="26" x14ac:dyDescent="0.35">
      <c r="A6" s="11" t="s">
        <v>66</v>
      </c>
      <c r="B6" s="11" t="s">
        <v>67</v>
      </c>
      <c r="C6" s="11" t="s">
        <v>68</v>
      </c>
      <c r="D6" s="11" t="s">
        <v>69</v>
      </c>
      <c r="E6" s="11" t="s">
        <v>70</v>
      </c>
    </row>
    <row r="7" spans="1:5" ht="27.75" customHeight="1" x14ac:dyDescent="0.35">
      <c r="A7" s="15" t="s">
        <v>71</v>
      </c>
      <c r="B7" s="13">
        <v>45</v>
      </c>
      <c r="C7" s="13">
        <f>COUNT('Raw Data'!B15:B59)</f>
        <v>45</v>
      </c>
      <c r="D7" s="13">
        <f>COUNTBLANK('Raw Data'!B15:B59)</f>
        <v>0</v>
      </c>
      <c r="E7" s="16">
        <f>D7/B7</f>
        <v>0</v>
      </c>
    </row>
    <row r="8" spans="1:5" ht="27.75" customHeight="1" x14ac:dyDescent="0.35">
      <c r="A8" s="15" t="s">
        <v>72</v>
      </c>
      <c r="B8" s="13">
        <v>45</v>
      </c>
      <c r="C8" s="13">
        <f>COUNT('Raw Data'!C15:C59)</f>
        <v>45</v>
      </c>
      <c r="D8" s="13">
        <f>COUNTBLANK('Raw Data'!C15:C59)</f>
        <v>0</v>
      </c>
      <c r="E8" s="16">
        <f>D8/B8</f>
        <v>0</v>
      </c>
    </row>
    <row r="9" spans="1:5" ht="27.75" customHeight="1" x14ac:dyDescent="0.35">
      <c r="A9" s="15" t="s">
        <v>73</v>
      </c>
      <c r="B9" s="13">
        <v>45</v>
      </c>
      <c r="C9" s="13">
        <f>COUNT('Raw Data'!D15:D59)</f>
        <v>44</v>
      </c>
      <c r="D9" s="13">
        <f>COUNTBLANK('Raw Data'!D15:D59)</f>
        <v>1</v>
      </c>
      <c r="E9" s="16">
        <f>D9/B9</f>
        <v>2.2222222222222223E-2</v>
      </c>
    </row>
    <row r="10" spans="1:5" ht="27.75" customHeight="1" x14ac:dyDescent="0.35">
      <c r="A10" s="15" t="s">
        <v>74</v>
      </c>
      <c r="B10" s="13">
        <v>45</v>
      </c>
      <c r="C10" s="13">
        <f>COUNT('Raw Data'!E15:E59)</f>
        <v>45</v>
      </c>
      <c r="D10" s="13">
        <f>COUNTBLANK('Raw Data'!E15:E59)</f>
        <v>0</v>
      </c>
      <c r="E10" s="16">
        <f>D10/B10</f>
        <v>0</v>
      </c>
    </row>
    <row r="11" spans="1:5" ht="27.75" customHeight="1" x14ac:dyDescent="0.35">
      <c r="A11" s="15" t="s">
        <v>75</v>
      </c>
      <c r="B11" s="13">
        <v>45</v>
      </c>
      <c r="C11" s="13">
        <f>COUNT('Raw Data'!F15:F59)</f>
        <v>44</v>
      </c>
      <c r="D11" s="13">
        <f>COUNTBLANK('Raw Data'!F15:F59)</f>
        <v>1</v>
      </c>
      <c r="E11" s="16">
        <f>D11/B11</f>
        <v>2.2222222222222223E-2</v>
      </c>
    </row>
    <row r="13" spans="1:5" x14ac:dyDescent="0.35">
      <c r="A13" s="3" t="s">
        <v>76</v>
      </c>
      <c r="B13" s="3"/>
      <c r="C13" s="3"/>
      <c r="D13" s="3"/>
      <c r="E13" s="3"/>
    </row>
  </sheetData>
  <mergeCells count="3">
    <mergeCell ref="A1:E1"/>
    <mergeCell ref="B3:E3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40" customWidth="1"/>
    <col min="2" max="2" width="10" customWidth="1"/>
    <col min="3" max="5" width="9" customWidth="1"/>
    <col min="6" max="6" width="10" customWidth="1"/>
    <col min="7" max="8" width="8" customWidth="1"/>
  </cols>
  <sheetData>
    <row r="1" spans="1:8" ht="21.75" customHeight="1" x14ac:dyDescent="0.35">
      <c r="A1" s="7" t="s">
        <v>77</v>
      </c>
      <c r="B1" s="7"/>
      <c r="C1" s="7"/>
      <c r="D1" s="7"/>
      <c r="E1" s="7"/>
      <c r="F1" s="7"/>
      <c r="G1" s="7"/>
      <c r="H1" s="7"/>
    </row>
    <row r="3" spans="1:8" x14ac:dyDescent="0.35">
      <c r="A3" s="11" t="s">
        <v>66</v>
      </c>
      <c r="B3" s="11" t="s">
        <v>78</v>
      </c>
      <c r="C3" s="11" t="s">
        <v>79</v>
      </c>
      <c r="D3" s="11" t="s">
        <v>80</v>
      </c>
      <c r="E3" s="11" t="s">
        <v>81</v>
      </c>
      <c r="F3" s="11" t="s">
        <v>82</v>
      </c>
      <c r="G3" s="11" t="s">
        <v>83</v>
      </c>
      <c r="H3" s="11" t="s">
        <v>84</v>
      </c>
    </row>
    <row r="4" spans="1:8" ht="27.75" customHeight="1" x14ac:dyDescent="0.35">
      <c r="A4" s="15" t="s">
        <v>71</v>
      </c>
      <c r="B4" s="13">
        <f>COUNT('Raw Data'!B15:B59)</f>
        <v>45</v>
      </c>
      <c r="C4" s="14">
        <f>AVERAGE('Raw Data'!B15:B59)</f>
        <v>3.7111111111111112</v>
      </c>
      <c r="D4" s="13">
        <f>MEDIAN('Raw Data'!B15:B59)</f>
        <v>4</v>
      </c>
      <c r="E4" s="13">
        <f>_xlfn.MODE.SNGL('Raw Data'!B15:B59)</f>
        <v>4</v>
      </c>
      <c r="F4" s="14">
        <f>_xlfn.STDEV.S('Raw Data'!B15:B59)</f>
        <v>1.1205157542647737</v>
      </c>
      <c r="G4" s="13">
        <f>MIN('Raw Data'!B15:B59)</f>
        <v>1</v>
      </c>
      <c r="H4" s="13">
        <f>MAX('Raw Data'!B15:B59)</f>
        <v>5</v>
      </c>
    </row>
    <row r="5" spans="1:8" ht="27.75" customHeight="1" x14ac:dyDescent="0.35">
      <c r="A5" s="15" t="s">
        <v>72</v>
      </c>
      <c r="B5" s="13">
        <f>COUNT('Raw Data'!C15:C59)</f>
        <v>45</v>
      </c>
      <c r="C5" s="14">
        <f>AVERAGE('Raw Data'!C15:C59)</f>
        <v>4.2444444444444445</v>
      </c>
      <c r="D5" s="13">
        <f>MEDIAN('Raw Data'!C15:C59)</f>
        <v>5</v>
      </c>
      <c r="E5" s="13">
        <f>_xlfn.MODE.SNGL('Raw Data'!C15:C59)</f>
        <v>5</v>
      </c>
      <c r="F5" s="14">
        <f>_xlfn.STDEV.S('Raw Data'!C15:C59)</f>
        <v>0.98062029431180042</v>
      </c>
      <c r="G5" s="13">
        <f>MIN('Raw Data'!C15:C59)</f>
        <v>1</v>
      </c>
      <c r="H5" s="13">
        <f>MAX('Raw Data'!C15:C59)</f>
        <v>5</v>
      </c>
    </row>
    <row r="6" spans="1:8" ht="27.75" customHeight="1" x14ac:dyDescent="0.35">
      <c r="A6" s="15" t="s">
        <v>73</v>
      </c>
      <c r="B6" s="13">
        <f>COUNT('Raw Data'!D15:D59)</f>
        <v>44</v>
      </c>
      <c r="C6" s="14">
        <f>AVERAGE('Raw Data'!D15:D59)</f>
        <v>3.6136363636363638</v>
      </c>
      <c r="D6" s="13">
        <f>MEDIAN('Raw Data'!D15:D59)</f>
        <v>4</v>
      </c>
      <c r="E6" s="13">
        <f>_xlfn.MODE.SNGL('Raw Data'!D15:D59)</f>
        <v>5</v>
      </c>
      <c r="F6" s="14">
        <f>_xlfn.STDEV.S('Raw Data'!D15:D59)</f>
        <v>1.2798239175926827</v>
      </c>
      <c r="G6" s="13">
        <f>MIN('Raw Data'!D15:D59)</f>
        <v>1</v>
      </c>
      <c r="H6" s="13">
        <f>MAX('Raw Data'!D15:D59)</f>
        <v>5</v>
      </c>
    </row>
    <row r="7" spans="1:8" ht="27.75" customHeight="1" x14ac:dyDescent="0.35">
      <c r="A7" s="15" t="s">
        <v>74</v>
      </c>
      <c r="B7" s="13">
        <f>COUNT('Raw Data'!E15:E59)</f>
        <v>45</v>
      </c>
      <c r="C7" s="14">
        <f>AVERAGE('Raw Data'!E15:E59)</f>
        <v>3.1111111111111112</v>
      </c>
      <c r="D7" s="13">
        <f>MEDIAN('Raw Data'!E15:E59)</f>
        <v>3</v>
      </c>
      <c r="E7" s="13">
        <f>_xlfn.MODE.SNGL('Raw Data'!E15:E59)</f>
        <v>4</v>
      </c>
      <c r="F7" s="14">
        <f>_xlfn.STDEV.S('Raw Data'!E15:E59)</f>
        <v>1.2472191289246473</v>
      </c>
      <c r="G7" s="13">
        <f>MIN('Raw Data'!E15:E59)</f>
        <v>1</v>
      </c>
      <c r="H7" s="13">
        <f>MAX('Raw Data'!E15:E59)</f>
        <v>5</v>
      </c>
    </row>
    <row r="8" spans="1:8" ht="27.75" customHeight="1" x14ac:dyDescent="0.35">
      <c r="A8" s="15" t="s">
        <v>75</v>
      </c>
      <c r="B8" s="13">
        <f>COUNT('Raw Data'!F15:F59)</f>
        <v>44</v>
      </c>
      <c r="C8" s="14">
        <f>AVERAGE('Raw Data'!F15:F59)</f>
        <v>4</v>
      </c>
      <c r="D8" s="13">
        <f>MEDIAN('Raw Data'!F15:F59)</f>
        <v>4</v>
      </c>
      <c r="E8" s="13">
        <f>_xlfn.MODE.SNGL('Raw Data'!F15:F59)</f>
        <v>5</v>
      </c>
      <c r="F8" s="14">
        <f>_xlfn.STDEV.S('Raw Data'!F15:F59)</f>
        <v>1.200774943574473</v>
      </c>
      <c r="G8" s="13">
        <f>MIN('Raw Data'!F15:F59)</f>
        <v>1</v>
      </c>
      <c r="H8" s="13">
        <f>MAX('Raw Data'!F15:F59)</f>
        <v>5</v>
      </c>
    </row>
    <row r="9" spans="1:8" ht="19.5" customHeight="1" x14ac:dyDescent="0.35">
      <c r="A9" s="17" t="s">
        <v>85</v>
      </c>
      <c r="B9" s="13">
        <f>COUNT('Raw Data'!G15:G59)</f>
        <v>45</v>
      </c>
      <c r="C9" s="14">
        <f>AVERAGE('Raw Data'!G15:G59)</f>
        <v>3.7388888888888889</v>
      </c>
      <c r="D9" s="14">
        <f>MEDIAN('Raw Data'!G15:G59)</f>
        <v>3.8</v>
      </c>
      <c r="E9" s="13"/>
      <c r="F9" s="14">
        <f>_xlfn.STDEV.S('Raw Data'!G15:G59)</f>
        <v>0.56315758420397932</v>
      </c>
      <c r="G9" s="13"/>
      <c r="H9" s="1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30" customWidth="1"/>
    <col min="2" max="2" width="15" customWidth="1"/>
    <col min="3" max="3" width="12" customWidth="1"/>
    <col min="4" max="4" width="22" customWidth="1"/>
    <col min="5" max="5" width="12" customWidth="1"/>
    <col min="6" max="6" width="15" customWidth="1"/>
  </cols>
  <sheetData>
    <row r="1" spans="1:8" ht="21.75" customHeight="1" x14ac:dyDescent="0.35">
      <c r="A1" s="7" t="s">
        <v>86</v>
      </c>
      <c r="B1" s="7"/>
      <c r="C1" s="7"/>
      <c r="D1" s="7"/>
      <c r="E1" s="7"/>
      <c r="F1" s="7"/>
      <c r="G1" s="7"/>
      <c r="H1" s="7"/>
    </row>
    <row r="3" spans="1:8" ht="31.5" customHeight="1" x14ac:dyDescent="0.35">
      <c r="A3" s="11" t="s">
        <v>66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</row>
    <row r="4" spans="1:8" x14ac:dyDescent="0.35">
      <c r="A4" s="18" t="s">
        <v>4</v>
      </c>
      <c r="B4" s="13">
        <f>COUNTIF('Raw Data'!B15:B59,1)</f>
        <v>2</v>
      </c>
      <c r="C4" s="13">
        <f>COUNTIF('Raw Data'!B15:B59,2)</f>
        <v>5</v>
      </c>
      <c r="D4" s="13">
        <f>COUNTIF('Raw Data'!B15:B59,3)</f>
        <v>9</v>
      </c>
      <c r="E4" s="13">
        <f>COUNTIF('Raw Data'!B15:B59,4)</f>
        <v>17</v>
      </c>
      <c r="F4" s="13">
        <f>COUNTIF('Raw Data'!B15:B59,5)</f>
        <v>12</v>
      </c>
    </row>
    <row r="5" spans="1:8" x14ac:dyDescent="0.35">
      <c r="A5" s="18" t="s">
        <v>6</v>
      </c>
      <c r="B5" s="13">
        <f>COUNTIF('Raw Data'!C15:C59,1)</f>
        <v>1</v>
      </c>
      <c r="C5" s="13">
        <f>COUNTIF('Raw Data'!C15:C59,2)</f>
        <v>2</v>
      </c>
      <c r="D5" s="13">
        <f>COUNTIF('Raw Data'!C15:C59,3)</f>
        <v>5</v>
      </c>
      <c r="E5" s="13">
        <f>COUNTIF('Raw Data'!C15:C59,4)</f>
        <v>14</v>
      </c>
      <c r="F5" s="13">
        <f>COUNTIF('Raw Data'!C15:C59,5)</f>
        <v>23</v>
      </c>
    </row>
    <row r="6" spans="1:8" x14ac:dyDescent="0.35">
      <c r="A6" s="18" t="s">
        <v>8</v>
      </c>
      <c r="B6" s="13">
        <f>COUNTIF('Raw Data'!D15:D59,1)</f>
        <v>3</v>
      </c>
      <c r="C6" s="13">
        <f>COUNTIF('Raw Data'!D15:D59,2)</f>
        <v>7</v>
      </c>
      <c r="D6" s="13">
        <f>COUNTIF('Raw Data'!D15:D59,3)</f>
        <v>8</v>
      </c>
      <c r="E6" s="13">
        <f>COUNTIF('Raw Data'!D15:D59,4)</f>
        <v>12</v>
      </c>
      <c r="F6" s="13">
        <f>COUNTIF('Raw Data'!D15:D59,5)</f>
        <v>14</v>
      </c>
    </row>
    <row r="7" spans="1:8" x14ac:dyDescent="0.35">
      <c r="A7" s="18" t="s">
        <v>10</v>
      </c>
      <c r="B7" s="13">
        <f>COUNTIF('Raw Data'!E15:E59,1)</f>
        <v>5</v>
      </c>
      <c r="C7" s="13">
        <f>COUNTIF('Raw Data'!E15:E59,2)</f>
        <v>11</v>
      </c>
      <c r="D7" s="13">
        <f>COUNTIF('Raw Data'!E15:E59,3)</f>
        <v>9</v>
      </c>
      <c r="E7" s="13">
        <f>COUNTIF('Raw Data'!E15:E59,4)</f>
        <v>14</v>
      </c>
      <c r="F7" s="13">
        <f>COUNTIF('Raw Data'!E15:E59,5)</f>
        <v>6</v>
      </c>
    </row>
    <row r="8" spans="1:8" x14ac:dyDescent="0.35">
      <c r="A8" s="18" t="s">
        <v>12</v>
      </c>
      <c r="B8" s="13">
        <f>COUNTIF('Raw Data'!F15:F59,1)</f>
        <v>2</v>
      </c>
      <c r="C8" s="13">
        <f>COUNTIF('Raw Data'!F15:F59,2)</f>
        <v>4</v>
      </c>
      <c r="D8" s="13">
        <f>COUNTIF('Raw Data'!F15:F59,3)</f>
        <v>7</v>
      </c>
      <c r="E8" s="13">
        <f>COUNTIF('Raw Data'!F15:F59,4)</f>
        <v>10</v>
      </c>
      <c r="F8" s="13">
        <f>COUNTIF('Raw Data'!F15:F59,5)</f>
        <v>21</v>
      </c>
    </row>
    <row r="10" spans="1:8" x14ac:dyDescent="0.35">
      <c r="A10" s="9" t="s">
        <v>92</v>
      </c>
    </row>
    <row r="11" spans="1:8" ht="26" x14ac:dyDescent="0.35">
      <c r="A11" s="11" t="s">
        <v>66</v>
      </c>
      <c r="B11" s="11" t="s">
        <v>87</v>
      </c>
      <c r="C11" s="11" t="s">
        <v>88</v>
      </c>
      <c r="D11" s="11" t="s">
        <v>89</v>
      </c>
      <c r="E11" s="11" t="s">
        <v>90</v>
      </c>
      <c r="F11" s="11" t="s">
        <v>91</v>
      </c>
    </row>
    <row r="12" spans="1:8" x14ac:dyDescent="0.35">
      <c r="A12" s="18" t="s">
        <v>4</v>
      </c>
      <c r="B12" s="19">
        <f t="shared" ref="B12:F16" si="0">B4/SUM($B4:$F4)</f>
        <v>4.4444444444444446E-2</v>
      </c>
      <c r="C12" s="19">
        <f t="shared" si="0"/>
        <v>0.1111111111111111</v>
      </c>
      <c r="D12" s="19">
        <f t="shared" si="0"/>
        <v>0.2</v>
      </c>
      <c r="E12" s="19">
        <f t="shared" si="0"/>
        <v>0.37777777777777777</v>
      </c>
      <c r="F12" s="19">
        <f t="shared" si="0"/>
        <v>0.26666666666666666</v>
      </c>
    </row>
    <row r="13" spans="1:8" x14ac:dyDescent="0.35">
      <c r="A13" s="18" t="s">
        <v>6</v>
      </c>
      <c r="B13" s="19">
        <f t="shared" si="0"/>
        <v>2.2222222222222223E-2</v>
      </c>
      <c r="C13" s="19">
        <f t="shared" si="0"/>
        <v>4.4444444444444446E-2</v>
      </c>
      <c r="D13" s="19">
        <f t="shared" si="0"/>
        <v>0.1111111111111111</v>
      </c>
      <c r="E13" s="19">
        <f t="shared" si="0"/>
        <v>0.31111111111111112</v>
      </c>
      <c r="F13" s="19">
        <f t="shared" si="0"/>
        <v>0.51111111111111107</v>
      </c>
    </row>
    <row r="14" spans="1:8" x14ac:dyDescent="0.35">
      <c r="A14" s="18" t="s">
        <v>8</v>
      </c>
      <c r="B14" s="19">
        <f t="shared" si="0"/>
        <v>6.8181818181818177E-2</v>
      </c>
      <c r="C14" s="19">
        <f t="shared" si="0"/>
        <v>0.15909090909090909</v>
      </c>
      <c r="D14" s="19">
        <f t="shared" si="0"/>
        <v>0.18181818181818182</v>
      </c>
      <c r="E14" s="19">
        <f t="shared" si="0"/>
        <v>0.27272727272727271</v>
      </c>
      <c r="F14" s="19">
        <f t="shared" si="0"/>
        <v>0.31818181818181818</v>
      </c>
    </row>
    <row r="15" spans="1:8" x14ac:dyDescent="0.35">
      <c r="A15" s="18" t="s">
        <v>10</v>
      </c>
      <c r="B15" s="19">
        <f t="shared" si="0"/>
        <v>0.1111111111111111</v>
      </c>
      <c r="C15" s="19">
        <f t="shared" si="0"/>
        <v>0.24444444444444444</v>
      </c>
      <c r="D15" s="19">
        <f t="shared" si="0"/>
        <v>0.2</v>
      </c>
      <c r="E15" s="19">
        <f t="shared" si="0"/>
        <v>0.31111111111111112</v>
      </c>
      <c r="F15" s="19">
        <f t="shared" si="0"/>
        <v>0.13333333333333333</v>
      </c>
    </row>
    <row r="16" spans="1:8" x14ac:dyDescent="0.35">
      <c r="A16" s="18" t="s">
        <v>12</v>
      </c>
      <c r="B16" s="19">
        <f t="shared" si="0"/>
        <v>4.5454545454545456E-2</v>
      </c>
      <c r="C16" s="19">
        <f t="shared" si="0"/>
        <v>9.0909090909090912E-2</v>
      </c>
      <c r="D16" s="19">
        <f t="shared" si="0"/>
        <v>0.15909090909090909</v>
      </c>
      <c r="E16" s="19">
        <f t="shared" si="0"/>
        <v>0.22727272727272727</v>
      </c>
      <c r="F16" s="19">
        <f t="shared" si="0"/>
        <v>0.47727272727272729</v>
      </c>
    </row>
    <row r="18" spans="1:3" x14ac:dyDescent="0.35">
      <c r="A18" s="9" t="s">
        <v>93</v>
      </c>
    </row>
    <row r="19" spans="1:3" ht="39" x14ac:dyDescent="0.35">
      <c r="A19" s="11" t="s">
        <v>66</v>
      </c>
      <c r="B19" s="11" t="s">
        <v>94</v>
      </c>
    </row>
    <row r="20" spans="1:3" ht="25.5" customHeight="1" x14ac:dyDescent="0.35">
      <c r="A20" s="15" t="s">
        <v>71</v>
      </c>
      <c r="B20" s="19">
        <f>E12+F12</f>
        <v>0.64444444444444438</v>
      </c>
      <c r="C20" t="s">
        <v>4</v>
      </c>
    </row>
    <row r="21" spans="1:3" ht="25.5" customHeight="1" x14ac:dyDescent="0.35">
      <c r="A21" s="15" t="s">
        <v>72</v>
      </c>
      <c r="B21" s="19">
        <f>E13+F13</f>
        <v>0.82222222222222219</v>
      </c>
      <c r="C21" t="s">
        <v>6</v>
      </c>
    </row>
    <row r="22" spans="1:3" ht="25.5" customHeight="1" x14ac:dyDescent="0.35">
      <c r="A22" s="15" t="s">
        <v>73</v>
      </c>
      <c r="B22" s="19">
        <f>E14+F14</f>
        <v>0.59090909090909083</v>
      </c>
      <c r="C22" t="s">
        <v>8</v>
      </c>
    </row>
    <row r="23" spans="1:3" ht="25.5" customHeight="1" x14ac:dyDescent="0.35">
      <c r="A23" s="15" t="s">
        <v>74</v>
      </c>
      <c r="B23" s="19">
        <f>E15+F15</f>
        <v>0.44444444444444442</v>
      </c>
      <c r="C23" t="s">
        <v>10</v>
      </c>
    </row>
    <row r="24" spans="1:3" ht="25.5" customHeight="1" x14ac:dyDescent="0.35">
      <c r="A24" s="15" t="s">
        <v>75</v>
      </c>
      <c r="B24" s="19">
        <f>E16+F16</f>
        <v>0.70454545454545459</v>
      </c>
      <c r="C24" t="s">
        <v>12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"/>
  <sheetViews>
    <sheetView showGridLines="0" topLeftCell="A23" zoomScaleNormal="100" workbookViewId="0">
      <selection sqref="A1:P1"/>
    </sheetView>
  </sheetViews>
  <sheetFormatPr defaultColWidth="8.6328125" defaultRowHeight="14.5" x14ac:dyDescent="0.35"/>
  <sheetData>
    <row r="1" spans="1:16" ht="21.75" customHeight="1" x14ac:dyDescent="0.35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4"/>
  <sheetViews>
    <sheetView showGridLines="0" tabSelected="1" zoomScaleNormal="100" workbookViewId="0">
      <selection activeCell="K1" sqref="K1"/>
    </sheetView>
  </sheetViews>
  <sheetFormatPr defaultColWidth="8.6328125" defaultRowHeight="14.5" x14ac:dyDescent="0.35"/>
  <cols>
    <col min="1" max="1" width="42" customWidth="1"/>
    <col min="2" max="2" width="10" customWidth="1"/>
    <col min="3" max="3" width="20" customWidth="1"/>
    <col min="4" max="4" width="10" customWidth="1"/>
  </cols>
  <sheetData>
    <row r="1" spans="1:4" ht="21.75" customHeight="1" x14ac:dyDescent="0.35">
      <c r="A1" s="7" t="s">
        <v>96</v>
      </c>
      <c r="B1" s="7"/>
      <c r="C1" s="7"/>
      <c r="D1" s="7"/>
    </row>
    <row r="3" spans="1:4" ht="31.5" customHeight="1" x14ac:dyDescent="0.35">
      <c r="A3" s="10" t="s">
        <v>97</v>
      </c>
      <c r="B3" s="4" t="s">
        <v>98</v>
      </c>
      <c r="C3" s="4"/>
      <c r="D3" s="4"/>
    </row>
    <row r="6" spans="1:4" x14ac:dyDescent="0.35">
      <c r="A6" s="9" t="s">
        <v>99</v>
      </c>
    </row>
    <row r="7" spans="1:4" ht="26" x14ac:dyDescent="0.35">
      <c r="A7" s="11" t="s">
        <v>66</v>
      </c>
      <c r="B7" s="11" t="s">
        <v>79</v>
      </c>
      <c r="C7" s="11" t="s">
        <v>94</v>
      </c>
    </row>
    <row r="8" spans="1:4" ht="25.5" customHeight="1" x14ac:dyDescent="0.35">
      <c r="A8" s="15" t="s">
        <v>71</v>
      </c>
      <c r="B8" s="14">
        <f>'Descriptive Stats'!C4</f>
        <v>3.7111111111111112</v>
      </c>
      <c r="C8" s="19">
        <f>'Frequency Distribution'!B20</f>
        <v>0.64444444444444438</v>
      </c>
    </row>
    <row r="9" spans="1:4" ht="25.5" customHeight="1" x14ac:dyDescent="0.35">
      <c r="A9" s="15" t="s">
        <v>72</v>
      </c>
      <c r="B9" s="14">
        <f>'Descriptive Stats'!C5</f>
        <v>4.2444444444444445</v>
      </c>
      <c r="C9" s="19">
        <f>'Frequency Distribution'!B21</f>
        <v>0.82222222222222219</v>
      </c>
    </row>
    <row r="10" spans="1:4" ht="25.5" customHeight="1" x14ac:dyDescent="0.35">
      <c r="A10" s="15" t="s">
        <v>73</v>
      </c>
      <c r="B10" s="14">
        <f>'Descriptive Stats'!C6</f>
        <v>3.6136363636363638</v>
      </c>
      <c r="C10" s="19">
        <f>'Frequency Distribution'!B22</f>
        <v>0.59090909090909083</v>
      </c>
    </row>
    <row r="11" spans="1:4" ht="25.5" customHeight="1" x14ac:dyDescent="0.35">
      <c r="A11" s="15" t="s">
        <v>74</v>
      </c>
      <c r="B11" s="14">
        <f>'Descriptive Stats'!C7</f>
        <v>3.1111111111111112</v>
      </c>
      <c r="C11" s="19">
        <f>'Frequency Distribution'!B23</f>
        <v>0.44444444444444442</v>
      </c>
    </row>
    <row r="12" spans="1:4" ht="25.5" customHeight="1" x14ac:dyDescent="0.35">
      <c r="A12" s="15" t="s">
        <v>75</v>
      </c>
      <c r="B12" s="14">
        <f>'Descriptive Stats'!C8</f>
        <v>4</v>
      </c>
      <c r="C12" s="19">
        <f>'Frequency Distribution'!B24</f>
        <v>0.70454545454545459</v>
      </c>
    </row>
    <row r="15" spans="1:4" x14ac:dyDescent="0.35">
      <c r="A15" s="9" t="s">
        <v>100</v>
      </c>
    </row>
    <row r="16" spans="1:4" ht="15" customHeight="1" x14ac:dyDescent="0.35">
      <c r="A16" s="2" t="s">
        <v>101</v>
      </c>
      <c r="B16" s="2"/>
      <c r="C16" s="2"/>
      <c r="D16" s="2"/>
    </row>
    <row r="17" spans="1:4" ht="42" customHeight="1" x14ac:dyDescent="0.35">
      <c r="A17" s="1" t="s">
        <v>102</v>
      </c>
      <c r="B17" s="1"/>
      <c r="C17" s="1"/>
      <c r="D17" s="1"/>
    </row>
    <row r="19" spans="1:4" ht="15" customHeight="1" x14ac:dyDescent="0.35">
      <c r="A19" s="2" t="s">
        <v>103</v>
      </c>
      <c r="B19" s="2"/>
      <c r="C19" s="2"/>
      <c r="D19" s="2"/>
    </row>
    <row r="20" spans="1:4" ht="42" customHeight="1" x14ac:dyDescent="0.35">
      <c r="A20" s="1" t="s">
        <v>104</v>
      </c>
      <c r="B20" s="1"/>
      <c r="C20" s="1"/>
      <c r="D20" s="1"/>
    </row>
    <row r="22" spans="1:4" ht="15" customHeight="1" x14ac:dyDescent="0.35">
      <c r="A22" s="2" t="s">
        <v>105</v>
      </c>
      <c r="B22" s="2"/>
      <c r="C22" s="2"/>
      <c r="D22" s="2"/>
    </row>
    <row r="23" spans="1:4" ht="42" customHeight="1" x14ac:dyDescent="0.35">
      <c r="A23" s="1" t="s">
        <v>106</v>
      </c>
      <c r="B23" s="1"/>
      <c r="C23" s="1"/>
      <c r="D23" s="1"/>
    </row>
    <row r="25" spans="1:4" ht="15" customHeight="1" x14ac:dyDescent="0.35">
      <c r="A25" s="2" t="s">
        <v>107</v>
      </c>
      <c r="B25" s="2"/>
      <c r="C25" s="2"/>
      <c r="D25" s="2"/>
    </row>
    <row r="26" spans="1:4" ht="42" customHeight="1" x14ac:dyDescent="0.35">
      <c r="A26" s="1" t="s">
        <v>108</v>
      </c>
      <c r="B26" s="1"/>
      <c r="C26" s="1"/>
      <c r="D26" s="1"/>
    </row>
    <row r="28" spans="1:4" ht="15" customHeight="1" x14ac:dyDescent="0.35">
      <c r="A28" s="2" t="s">
        <v>109</v>
      </c>
      <c r="B28" s="2"/>
      <c r="C28" s="2"/>
      <c r="D28" s="2"/>
    </row>
    <row r="29" spans="1:4" ht="42" customHeight="1" x14ac:dyDescent="0.35">
      <c r="A29" s="1" t="s">
        <v>110</v>
      </c>
      <c r="B29" s="1"/>
      <c r="C29" s="1"/>
      <c r="D29" s="1"/>
    </row>
    <row r="31" spans="1:4" x14ac:dyDescent="0.35">
      <c r="A31" s="9" t="s">
        <v>111</v>
      </c>
    </row>
    <row r="32" spans="1:4" ht="30" customHeight="1" x14ac:dyDescent="0.35">
      <c r="A32" s="1" t="s">
        <v>112</v>
      </c>
      <c r="B32" s="1"/>
      <c r="C32" s="1"/>
      <c r="D32" s="1"/>
    </row>
    <row r="33" spans="1:4" ht="30" customHeight="1" x14ac:dyDescent="0.35">
      <c r="A33" s="1" t="s">
        <v>113</v>
      </c>
      <c r="B33" s="1"/>
      <c r="C33" s="1"/>
      <c r="D33" s="1"/>
    </row>
    <row r="34" spans="1:4" ht="30" customHeight="1" x14ac:dyDescent="0.35">
      <c r="A34" s="1" t="s">
        <v>114</v>
      </c>
      <c r="B34" s="1"/>
      <c r="C34" s="1"/>
      <c r="D34" s="1"/>
    </row>
  </sheetData>
  <mergeCells count="15">
    <mergeCell ref="A28:D28"/>
    <mergeCell ref="A29:D29"/>
    <mergeCell ref="A32:D32"/>
    <mergeCell ref="A33:D33"/>
    <mergeCell ref="A34:D34"/>
    <mergeCell ref="A20:D20"/>
    <mergeCell ref="A22:D22"/>
    <mergeCell ref="A23:D23"/>
    <mergeCell ref="A25:D25"/>
    <mergeCell ref="A26:D26"/>
    <mergeCell ref="A1:D1"/>
    <mergeCell ref="B3:D3"/>
    <mergeCell ref="A16:D16"/>
    <mergeCell ref="A17:D17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Data Cleaning</vt:lpstr>
      <vt:lpstr>Descriptive Stats</vt:lpstr>
      <vt:lpstr>Frequency Distribution</vt:lpstr>
      <vt:lpstr>Charts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2026-08-20T22:55:54Z</dcterms:created>
  <dcterms:modified xsi:type="dcterms:W3CDTF">2026-10-23T17:25:15Z</dcterms:modified>
  <dc:language>en-US</dc:language>
</cp:coreProperties>
</file>