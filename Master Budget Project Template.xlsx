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701D46-CCD4-49A2-8D6D-5941E32BAB6F}" xr6:coauthVersionLast="47" xr6:coauthVersionMax="47" xr10:uidLastSave="{00000000-0000-0000-0000-000000000000}"/>
  <bookViews>
    <workbookView xWindow="-110" yWindow="-110" windowWidth="19420" windowHeight="11020" tabRatio="500" firstSheet="5" activeTab="8" xr2:uid="{00000000-000D-0000-FFFF-FFFF00000000}"/>
  </bookViews>
  <sheets>
    <sheet name="Sales Budget" sheetId="1" r:id="rId1"/>
    <sheet name="Cash Collections" sheetId="2" r:id="rId2"/>
    <sheet name="Production" sheetId="3" r:id="rId3"/>
    <sheet name="Direct Materials" sheetId="4" r:id="rId4"/>
    <sheet name="Cash Payments" sheetId="5" r:id="rId5"/>
    <sheet name="Direct Labor" sheetId="6" r:id="rId6"/>
    <sheet name="Mfg OH" sheetId="7" r:id="rId7"/>
    <sheet name="Selling &amp; Admin" sheetId="8" r:id="rId8"/>
    <sheet name="Cash Budget" sheetId="9" r:id="rId9"/>
    <sheet name="Income Statement" sheetId="10" r:id="rId10"/>
    <sheet name="Balance Shee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9" l="1"/>
  <c r="E12" i="9"/>
  <c r="B27" i="11" s="1"/>
  <c r="E11" i="9"/>
  <c r="B21" i="11" s="1"/>
  <c r="E3" i="9"/>
  <c r="D8" i="8"/>
  <c r="C8" i="8"/>
  <c r="E8" i="8" s="1"/>
  <c r="E6" i="8"/>
  <c r="D6" i="8"/>
  <c r="C6" i="8"/>
  <c r="E4" i="8"/>
  <c r="D4" i="8"/>
  <c r="D5" i="8" s="1"/>
  <c r="D7" i="8" s="1"/>
  <c r="D9" i="8" s="1"/>
  <c r="D10" i="9" s="1"/>
  <c r="C4" i="8"/>
  <c r="D3" i="8"/>
  <c r="C3" i="8"/>
  <c r="C5" i="8" s="1"/>
  <c r="C7" i="8" s="1"/>
  <c r="C9" i="8" s="1"/>
  <c r="C10" i="9" s="1"/>
  <c r="B3" i="8"/>
  <c r="B5" i="8" s="1"/>
  <c r="B7" i="8" s="1"/>
  <c r="B9" i="8" s="1"/>
  <c r="B10" i="9" s="1"/>
  <c r="E10" i="9" s="1"/>
  <c r="B20" i="7"/>
  <c r="C19" i="7"/>
  <c r="B19" i="7"/>
  <c r="D19" i="7" s="1"/>
  <c r="D18" i="7"/>
  <c r="C18" i="7"/>
  <c r="B18" i="7"/>
  <c r="D8" i="7"/>
  <c r="E8" i="7" s="1"/>
  <c r="B22" i="11" s="1"/>
  <c r="C8" i="7"/>
  <c r="D6" i="7"/>
  <c r="C6" i="7"/>
  <c r="E6" i="7" s="1"/>
  <c r="E4" i="7"/>
  <c r="D4" i="7"/>
  <c r="C4" i="7"/>
  <c r="E6" i="6"/>
  <c r="D6" i="6"/>
  <c r="C6" i="6"/>
  <c r="E4" i="6"/>
  <c r="D4" i="6"/>
  <c r="C4" i="6"/>
  <c r="E3" i="5"/>
  <c r="B8" i="4"/>
  <c r="E8" i="4" s="1"/>
  <c r="F4" i="4"/>
  <c r="E4" i="4"/>
  <c r="D4" i="4"/>
  <c r="C4" i="4"/>
  <c r="C6" i="3"/>
  <c r="B6" i="3"/>
  <c r="E6" i="3" s="1"/>
  <c r="F4" i="3"/>
  <c r="F5" i="3" s="1"/>
  <c r="D4" i="3"/>
  <c r="D23" i="7" s="1"/>
  <c r="B4" i="3"/>
  <c r="D3" i="3"/>
  <c r="C4" i="3" s="1"/>
  <c r="C3" i="3"/>
  <c r="B3" i="3"/>
  <c r="B5" i="3" s="1"/>
  <c r="B7" i="3" s="1"/>
  <c r="C6" i="2"/>
  <c r="C3" i="2"/>
  <c r="B3" i="2"/>
  <c r="B5" i="1"/>
  <c r="B5" i="2" s="1"/>
  <c r="E4" i="1"/>
  <c r="E5" i="1" s="1"/>
  <c r="B3" i="10" s="1"/>
  <c r="D4" i="1"/>
  <c r="D5" i="1" s="1"/>
  <c r="D13" i="2" s="1"/>
  <c r="C4" i="1"/>
  <c r="C5" i="1" s="1"/>
  <c r="E3" i="1"/>
  <c r="B3" i="6" l="1"/>
  <c r="B3" i="4"/>
  <c r="D10" i="2"/>
  <c r="C9" i="2"/>
  <c r="B18" i="2"/>
  <c r="B4" i="11" s="1"/>
  <c r="B16" i="2"/>
  <c r="F7" i="3"/>
  <c r="F3" i="4" s="1"/>
  <c r="F5" i="4" s="1"/>
  <c r="D6" i="4" s="1"/>
  <c r="B23" i="11"/>
  <c r="B8" i="11" s="1"/>
  <c r="C16" i="2"/>
  <c r="C4" i="9" s="1"/>
  <c r="D6" i="3"/>
  <c r="C5" i="3"/>
  <c r="C7" i="3" s="1"/>
  <c r="F6" i="3"/>
  <c r="D7" i="2"/>
  <c r="E3" i="3"/>
  <c r="E5" i="3" s="1"/>
  <c r="E7" i="3" s="1"/>
  <c r="E4" i="3"/>
  <c r="D5" i="3"/>
  <c r="D7" i="3" s="1"/>
  <c r="E3" i="8"/>
  <c r="E5" i="8" s="1"/>
  <c r="E7" i="8" s="1"/>
  <c r="B6" i="10" l="1"/>
  <c r="E9" i="8"/>
  <c r="D16" i="2"/>
  <c r="D4" i="9" s="1"/>
  <c r="C3" i="4"/>
  <c r="C5" i="4" s="1"/>
  <c r="C3" i="6"/>
  <c r="C5" i="6" s="1"/>
  <c r="B4" i="9"/>
  <c r="D3" i="4"/>
  <c r="D5" i="4" s="1"/>
  <c r="D3" i="6"/>
  <c r="D5" i="6" s="1"/>
  <c r="B5" i="4"/>
  <c r="E3" i="4"/>
  <c r="E5" i="4" s="1"/>
  <c r="E7" i="4" s="1"/>
  <c r="E9" i="4" s="1"/>
  <c r="E6" i="4"/>
  <c r="B5" i="11"/>
  <c r="B5" i="6"/>
  <c r="E3" i="6"/>
  <c r="E5" i="6" s="1"/>
  <c r="E7" i="6" s="1"/>
  <c r="B3" i="7" l="1"/>
  <c r="B7" i="6"/>
  <c r="B8" i="9" s="1"/>
  <c r="D3" i="7"/>
  <c r="D5" i="7" s="1"/>
  <c r="D7" i="7" s="1"/>
  <c r="D9" i="7" s="1"/>
  <c r="D9" i="9" s="1"/>
  <c r="D7" i="6"/>
  <c r="D8" i="9" s="1"/>
  <c r="C3" i="7"/>
  <c r="C5" i="7" s="1"/>
  <c r="C7" i="7" s="1"/>
  <c r="C9" i="7" s="1"/>
  <c r="C9" i="9" s="1"/>
  <c r="C7" i="6"/>
  <c r="C8" i="9" s="1"/>
  <c r="E16" i="2"/>
  <c r="B7" i="4"/>
  <c r="B9" i="4" s="1"/>
  <c r="B5" i="9"/>
  <c r="E4" i="9"/>
  <c r="E5" i="9" s="1"/>
  <c r="D7" i="4"/>
  <c r="C6" i="4"/>
  <c r="D8" i="4" s="1"/>
  <c r="B6" i="4"/>
  <c r="C8" i="4" s="1"/>
  <c r="C6" i="5" l="1"/>
  <c r="B5" i="5"/>
  <c r="B13" i="5" s="1"/>
  <c r="C7" i="4"/>
  <c r="C9" i="4" s="1"/>
  <c r="E8" i="9"/>
  <c r="D9" i="4"/>
  <c r="E3" i="7"/>
  <c r="E5" i="7" s="1"/>
  <c r="E7" i="7" s="1"/>
  <c r="B5" i="7"/>
  <c r="B7" i="7" s="1"/>
  <c r="B9" i="7" s="1"/>
  <c r="B9" i="9" s="1"/>
  <c r="E9" i="9" s="1"/>
  <c r="C8" i="5" l="1"/>
  <c r="D9" i="5"/>
  <c r="C20" i="7"/>
  <c r="D20" i="7" s="1"/>
  <c r="D21" i="7" s="1"/>
  <c r="E9" i="7"/>
  <c r="B18" i="5"/>
  <c r="B11" i="11" s="1"/>
  <c r="B12" i="11" s="1"/>
  <c r="D11" i="5"/>
  <c r="B7" i="9"/>
  <c r="C13" i="5"/>
  <c r="C7" i="9" s="1"/>
  <c r="C13" i="9" s="1"/>
  <c r="B13" i="9" l="1"/>
  <c r="B14" i="9" s="1"/>
  <c r="D24" i="7"/>
  <c r="D25" i="7" s="1"/>
  <c r="B15" i="10"/>
  <c r="B16" i="10" s="1"/>
  <c r="D13" i="5"/>
  <c r="B16" i="9" l="1"/>
  <c r="B17" i="10"/>
  <c r="B18" i="10" s="1"/>
  <c r="B4" i="10" s="1"/>
  <c r="B5" i="10" s="1"/>
  <c r="B6" i="11"/>
  <c r="D7" i="9"/>
  <c r="E13" i="5"/>
  <c r="B19" i="9" l="1"/>
  <c r="D13" i="9"/>
  <c r="E7" i="9"/>
  <c r="E13" i="9" s="1"/>
  <c r="E14" i="9" s="1"/>
  <c r="B20" i="9" l="1"/>
  <c r="C3" i="9" s="1"/>
  <c r="C5" i="9" s="1"/>
  <c r="C14" i="9" s="1"/>
  <c r="C16" i="9" l="1"/>
  <c r="C17" i="9"/>
  <c r="C18" i="9" l="1"/>
  <c r="C19" i="9"/>
  <c r="C20" i="9" l="1"/>
  <c r="D3" i="9" s="1"/>
  <c r="D5" i="9" s="1"/>
  <c r="D14" i="9" s="1"/>
  <c r="D16" i="9" l="1"/>
  <c r="D17" i="9"/>
  <c r="D18" i="9" l="1"/>
  <c r="E18" i="9" s="1"/>
  <c r="B7" i="10" s="1"/>
  <c r="B8" i="10" s="1"/>
  <c r="B26" i="11" s="1"/>
  <c r="B28" i="11" s="1"/>
  <c r="B14" i="11" s="1"/>
  <c r="B15" i="11" s="1"/>
  <c r="E17" i="9"/>
  <c r="D19" i="9"/>
  <c r="E16" i="9"/>
  <c r="E19" i="9" l="1"/>
  <c r="D20" i="9"/>
  <c r="E20" i="9" l="1"/>
  <c r="B3" i="11"/>
  <c r="B7" i="11" s="1"/>
  <c r="B9" i="11" s="1"/>
  <c r="B16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000-000001000000}">
      <text>
        <r>
          <rPr>
            <sz val="10"/>
            <rFont val="Arial"/>
            <family val="2"/>
          </rPr>
          <t>Given: Jan 2023 budgeted sales in units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</rPr>
          <t>Given: Feb 2023 budgeted sales in units</t>
        </r>
      </text>
    </comment>
    <comment ref="D3" authorId="0" shapeId="0" xr:uid="{00000000-0006-0000-0000-000004000000}">
      <text>
        <r>
          <rPr>
            <sz val="10"/>
            <rFont val="Arial"/>
            <family val="2"/>
          </rPr>
          <t>Given: Mar 2023 budgeted sales in units</t>
        </r>
      </text>
    </comment>
    <comment ref="B4" authorId="0" shapeId="0" xr:uid="{00000000-0006-0000-0000-000002000000}">
      <text>
        <r>
          <rPr>
            <sz val="10"/>
            <rFont val="Arial"/>
            <family val="2"/>
          </rPr>
          <t>Given: budgeted selling price per unit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100-000001000000}">
      <text>
        <r>
          <rPr>
            <sz val="10"/>
            <rFont val="Arial"/>
            <family val="2"/>
          </rPr>
          <t>Nov sales $1,500,000 x 20% (2nd month after sale) + Dec sales $2,100,000 x 50% (1st month after sale) = collected in Jan</t>
        </r>
      </text>
    </comment>
    <comment ref="C3" authorId="0" shapeId="0" xr:uid="{00000000-0006-0000-0100-000002000000}">
      <text>
        <r>
          <rPr>
            <sz val="10"/>
            <rFont val="Arial"/>
            <family val="2"/>
          </rPr>
          <t>Dec sales $2,100,000 x 20% (2nd month after sale) = collected in Feb</t>
        </r>
      </text>
    </comment>
    <comment ref="D3" authorId="0" shapeId="0" xr:uid="{00000000-0006-0000-0100-000003000000}">
      <text>
        <r>
          <rPr>
            <sz val="10"/>
            <rFont val="Arial"/>
            <family val="2"/>
          </rPr>
          <t>No remaining beginning AR collected in March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3" authorId="0" shapeId="0" xr:uid="{00000000-0006-0000-0200-000003000000}">
      <text>
        <r>
          <rPr>
            <sz val="10"/>
            <rFont val="Arial"/>
            <family val="2"/>
          </rPr>
          <t>Given: April 2023 budgeted sales in units (needed for March's desired ending inventory)</t>
        </r>
      </text>
    </comment>
    <comment ref="G3" authorId="0" shapeId="0" xr:uid="{00000000-0006-0000-0200-000004000000}">
      <text>
        <r>
          <rPr>
            <sz val="10"/>
            <rFont val="Arial"/>
            <family val="2"/>
          </rPr>
          <t>Given: May 2023 budgeted sales in units (needed for April's desired ending inventory)</t>
        </r>
      </text>
    </comment>
    <comment ref="B4" authorId="0" shapeId="0" xr:uid="{00000000-0006-0000-0200-000001000000}">
      <text>
        <r>
          <rPr>
            <sz val="10"/>
            <rFont val="Arial"/>
            <family val="2"/>
          </rPr>
          <t>Desired ending FG inventory = 40% of next month's budgeted sales units</t>
        </r>
      </text>
    </comment>
    <comment ref="B6" authorId="0" shapeId="0" xr:uid="{00000000-0006-0000-0200-000002000000}">
      <text>
        <r>
          <rPr>
            <sz val="10"/>
            <rFont val="Arial"/>
            <family val="2"/>
          </rPr>
          <t>Beginning FG inventory Jan = 40% of Jan sales (Dec 2022 ending inventory policy)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300-000001000000}">
      <text>
        <r>
          <rPr>
            <sz val="10"/>
            <rFont val="Arial"/>
            <family val="2"/>
          </rPr>
          <t>Given: 3 kg of materials required per unit produced</t>
        </r>
      </text>
    </comment>
    <comment ref="B6" authorId="0" shapeId="0" xr:uid="{00000000-0006-0000-0300-000002000000}">
      <text>
        <r>
          <rPr>
            <sz val="10"/>
            <rFont val="Arial"/>
            <family val="2"/>
          </rPr>
          <t>Desired ending raw materials inventory = 20% of next month's production needs (kg)</t>
        </r>
      </text>
    </comment>
    <comment ref="B8" authorId="0" shapeId="0" xr:uid="{00000000-0006-0000-0300-000003000000}">
      <text>
        <r>
          <rPr>
            <sz val="10"/>
            <rFont val="Arial"/>
            <family val="2"/>
          </rPr>
          <t>Beginning raw materials inventory = 12/31/2022 balance sheet value $163,200 / $8 per kg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400-000001000000}">
      <text>
        <r>
          <rPr>
            <sz val="10"/>
            <rFont val="Arial"/>
            <family val="2"/>
          </rPr>
          <t>Given: 12/31/2022 balance sheet Accounts Payable, paid in full in January</t>
        </r>
      </text>
    </comment>
    <comment ref="B16" authorId="0" shapeId="0" xr:uid="{00000000-0006-0000-0400-000002000000}">
      <text>
        <r>
          <rPr>
            <sz val="10"/>
            <rFont val="Arial"/>
            <family val="2"/>
          </rPr>
          <t>Given: budgeted raw materials purchase price per kg</t>
        </r>
      </text>
    </comment>
    <comment ref="B18" authorId="0" shapeId="0" xr:uid="{00000000-0006-0000-0400-000003000000}">
      <text>
        <r>
          <rPr>
            <sz val="10"/>
            <rFont val="Arial"/>
            <family val="2"/>
          </rPr>
          <t>AP at end of Q1 = March purchases x 70% (paid in April)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500-000001000000}">
      <text>
        <r>
          <rPr>
            <sz val="10"/>
            <rFont val="Arial"/>
            <family val="2"/>
          </rPr>
          <t>Given: 2 direct labor hours required per unit produced</t>
        </r>
      </text>
    </comment>
    <comment ref="B6" authorId="0" shapeId="0" xr:uid="{00000000-0006-0000-0500-000002000000}">
      <text>
        <r>
          <rPr>
            <sz val="10"/>
            <rFont val="Arial"/>
            <family val="2"/>
          </rPr>
          <t>Given: direct labor rate per hour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600-000001000000}">
      <text>
        <r>
          <rPr>
            <sz val="10"/>
            <rFont val="Arial"/>
            <family val="2"/>
          </rPr>
          <t>Given: variable Mfg. OH rate per direct labor hour</t>
        </r>
      </text>
    </comment>
    <comment ref="B6" authorId="0" shapeId="0" xr:uid="{00000000-0006-0000-0600-000002000000}">
      <text>
        <r>
          <rPr>
            <sz val="10"/>
            <rFont val="Arial"/>
            <family val="2"/>
          </rPr>
          <t>Given: budgeted monthly fixed Mfg. OH</t>
        </r>
      </text>
    </comment>
    <comment ref="B8" authorId="0" shapeId="0" xr:uid="{00000000-0006-0000-0600-000003000000}">
      <text>
        <r>
          <rPr>
            <sz val="10"/>
            <rFont val="Arial"/>
            <family val="2"/>
          </rPr>
          <t>Given: monthly depreciation included in fixed Mfg. OH (noncash)</t>
        </r>
      </text>
    </comment>
    <comment ref="B18" authorId="0" shapeId="0" xr:uid="{00000000-0006-0000-0600-000004000000}">
      <text>
        <r>
          <rPr>
            <sz val="10"/>
            <rFont val="Arial"/>
            <family val="2"/>
          </rPr>
          <t>Qty = 3 kg materials per unit</t>
        </r>
      </text>
    </comment>
    <comment ref="C18" authorId="0" shapeId="0" xr:uid="{00000000-0006-0000-0600-000007000000}">
      <text>
        <r>
          <rPr>
            <sz val="10"/>
            <rFont val="Arial"/>
            <family val="2"/>
          </rPr>
          <t>Cost = $8 per kg</t>
        </r>
      </text>
    </comment>
    <comment ref="B19" authorId="0" shapeId="0" xr:uid="{00000000-0006-0000-0600-000005000000}">
      <text>
        <r>
          <rPr>
            <sz val="10"/>
            <rFont val="Arial"/>
            <family val="2"/>
          </rPr>
          <t>Qty = 2 direct labor hours per unit</t>
        </r>
      </text>
    </comment>
    <comment ref="C19" authorId="0" shapeId="0" xr:uid="{00000000-0006-0000-0600-000008000000}">
      <text>
        <r>
          <rPr>
            <sz val="10"/>
            <rFont val="Arial"/>
            <family val="2"/>
          </rPr>
          <t>Cost = $6 per direct labor hour</t>
        </r>
      </text>
    </comment>
    <comment ref="B20" authorId="0" shapeId="0" xr:uid="{00000000-0006-0000-0600-000006000000}">
      <text>
        <r>
          <rPr>
            <sz val="10"/>
            <rFont val="Arial"/>
            <family val="2"/>
          </rPr>
          <t>Qty = 2 direct labor hours per unit (OH applied on DLH base)</t>
        </r>
      </text>
    </comment>
    <comment ref="C20" authorId="0" shapeId="0" xr:uid="{00000000-0006-0000-0600-000009000000}">
      <text>
        <r>
          <rPr>
            <sz val="10"/>
            <rFont val="Arial"/>
            <family val="2"/>
          </rPr>
          <t>Predetermined OH rate per DLH = total quarterly Mfg. OH cost / total quarterly DLH</t>
        </r>
      </text>
    </comment>
    <comment ref="D23" authorId="0" shapeId="0" xr:uid="{00000000-0006-0000-0600-00000A000000}">
      <text>
        <r>
          <rPr>
            <sz val="10"/>
            <rFont val="Arial"/>
            <family val="2"/>
          </rPr>
          <t>March desired ending FG inventory in units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700-000001000000}">
      <text>
        <r>
          <rPr>
            <sz val="10"/>
            <rFont val="Arial"/>
            <family val="2"/>
          </rPr>
          <t>Given: variable selling expense per unit sold</t>
        </r>
      </text>
    </comment>
    <comment ref="B6" authorId="0" shapeId="0" xr:uid="{00000000-0006-0000-0700-000002000000}">
      <text>
        <r>
          <rPr>
            <sz val="10"/>
            <rFont val="Arial"/>
            <family val="2"/>
          </rPr>
          <t>Given: budgeted monthly fixed S&amp;A expenses</t>
        </r>
      </text>
    </comment>
    <comment ref="B8" authorId="0" shapeId="0" xr:uid="{00000000-0006-0000-0700-000003000000}">
      <text>
        <r>
          <rPr>
            <sz val="10"/>
            <rFont val="Arial"/>
            <family val="2"/>
          </rPr>
          <t>Given: monthly depreciation included in fixed S&amp;A expenses (noncash)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800-000001000000}">
      <text>
        <r>
          <rPr>
            <sz val="10"/>
            <rFont val="Arial"/>
            <family val="2"/>
          </rPr>
          <t>Given: 12/31/2022 balance sheet cash balance</t>
        </r>
      </text>
    </comment>
    <comment ref="B11" authorId="0" shapeId="0" xr:uid="{00000000-0006-0000-0800-000002000000}">
      <text>
        <r>
          <rPr>
            <sz val="10"/>
            <rFont val="Arial"/>
            <family val="2"/>
          </rPr>
          <t>Given: equipment purchase paid in cash in January</t>
        </r>
      </text>
    </comment>
    <comment ref="D12" authorId="0" shapeId="0" xr:uid="{00000000-0006-0000-0800-000007000000}">
      <text>
        <r>
          <rPr>
            <sz val="10"/>
            <rFont val="Arial"/>
            <family val="2"/>
          </rPr>
          <t>Given: dividends paid in March</t>
        </r>
      </text>
    </comment>
    <comment ref="B16" authorId="0" shapeId="0" xr:uid="{00000000-0006-0000-0800-000003000000}">
      <text>
        <r>
          <rPr>
            <sz val="10"/>
            <rFont val="Arial"/>
            <family val="2"/>
          </rPr>
          <t>Borrow enough (rounded up to nearest $5,000) to reach the $50,000 minimum cash balance</t>
        </r>
      </text>
    </comment>
    <comment ref="B17" authorId="0" shapeId="0" xr:uid="{00000000-0006-0000-0800-000004000000}">
      <text>
        <r>
          <rPr>
            <sz val="10"/>
            <rFont val="Arial"/>
            <family val="2"/>
          </rPr>
          <t>No prior borrowing exists in January to repay</t>
        </r>
      </text>
    </comment>
    <comment ref="C17" authorId="0" shapeId="0" xr:uid="{00000000-0006-0000-0800-000006000000}">
      <text>
        <r>
          <rPr>
            <sz val="10"/>
            <rFont val="Arial"/>
            <family val="2"/>
          </rPr>
          <t>Repay in $5,000 increments, limited to outstanding loan balance and to cash available above the $50,000 minimum (net of interest)</t>
        </r>
      </text>
    </comment>
    <comment ref="B18" authorId="0" shapeId="0" xr:uid="{00000000-0006-0000-0800-000005000000}">
      <text>
        <r>
          <rPr>
            <sz val="10"/>
            <rFont val="Arial"/>
            <family val="2"/>
          </rPr>
          <t>Interest = repayment amount x (12% annual / 12 months)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4" authorId="0" shapeId="0" xr:uid="{00000000-0006-0000-0900-000001000000}">
      <text>
        <r>
          <rPr>
            <sz val="10"/>
            <rFont val="Arial"/>
            <family val="2"/>
          </rPr>
          <t>Given: 12/31/2022 balance sheet finished goods inventory</t>
        </r>
      </text>
    </comment>
    <comment ref="B15" authorId="0" shapeId="0" xr:uid="{00000000-0006-0000-0900-000002000000}">
      <text>
        <r>
          <rPr>
            <sz val="10"/>
            <rFont val="Arial"/>
            <family val="2"/>
          </rPr>
          <t>Quarterly required production units x unit product cost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A00-000001000000}">
      <text>
        <r>
          <rPr>
            <sz val="10"/>
            <rFont val="Arial"/>
            <family val="2"/>
          </rPr>
          <t>Ending raw materials inventory (kg) x price per kg</t>
        </r>
      </text>
    </comment>
    <comment ref="B13" authorId="0" shapeId="0" xr:uid="{00000000-0006-0000-0A00-000002000000}">
      <text>
        <r>
          <rPr>
            <sz val="10"/>
            <rFont val="Arial"/>
            <family val="2"/>
          </rPr>
          <t>Given: 12/31/2022 balance sheet common stock (no new issuance assumed)</t>
        </r>
      </text>
    </comment>
    <comment ref="B20" authorId="0" shapeId="0" xr:uid="{00000000-0006-0000-0A00-000003000000}">
      <text>
        <r>
          <rPr>
            <sz val="10"/>
            <rFont val="Arial"/>
            <family val="2"/>
          </rPr>
          <t>Given: 12/31/2022 balance sheet net PP&amp;E</t>
        </r>
      </text>
    </comment>
    <comment ref="B21" authorId="0" shapeId="0" xr:uid="{00000000-0006-0000-0A00-000004000000}">
      <text>
        <r>
          <rPr>
            <sz val="10"/>
            <rFont val="Arial"/>
            <family val="2"/>
          </rPr>
          <t>Equipment purchased during Q1</t>
        </r>
      </text>
    </comment>
    <comment ref="B22" authorId="0" shapeId="0" xr:uid="{00000000-0006-0000-0A00-000005000000}">
      <text>
        <r>
          <rPr>
            <sz val="10"/>
            <rFont val="Arial"/>
            <family val="2"/>
          </rPr>
          <t>Total Q1 depreciation (Mfg. OH + S&amp;A)</t>
        </r>
      </text>
    </comment>
    <comment ref="B25" authorId="0" shapeId="0" xr:uid="{00000000-0006-0000-0A00-000006000000}">
      <text>
        <r>
          <rPr>
            <sz val="10"/>
            <rFont val="Arial"/>
            <family val="2"/>
          </rPr>
          <t>Given: 12/31/2022 balance sheet retained earnings</t>
        </r>
      </text>
    </comment>
  </commentList>
</comments>
</file>

<file path=xl/sharedStrings.xml><?xml version="1.0" encoding="utf-8"?>
<sst xmlns="http://schemas.openxmlformats.org/spreadsheetml/2006/main" count="175" uniqueCount="136">
  <si>
    <t>January</t>
  </si>
  <si>
    <t>February</t>
  </si>
  <si>
    <t>March</t>
  </si>
  <si>
    <t>Q1</t>
  </si>
  <si>
    <t>Budgeted Sales in Units</t>
  </si>
  <si>
    <t>Selling Price per Unit</t>
  </si>
  <si>
    <t>Total Budgeted Sales</t>
  </si>
  <si>
    <t>AR Balance $1,770,000</t>
  </si>
  <si>
    <t>Remember to spread the AR balance according to collection pattern</t>
  </si>
  <si>
    <t>Jan Sales</t>
  </si>
  <si>
    <t>Feb Sales</t>
  </si>
  <si>
    <t>March Sales</t>
  </si>
  <si>
    <t>Totals</t>
  </si>
  <si>
    <t>AR at end of Q1</t>
  </si>
  <si>
    <t>This will be used in your ending balance sheet</t>
  </si>
  <si>
    <t>April</t>
  </si>
  <si>
    <t>May</t>
  </si>
  <si>
    <t>You will need to calculate April as it is needed for other budgets</t>
  </si>
  <si>
    <t>Add: Desired Ending Inventory</t>
  </si>
  <si>
    <t>Remember: this is 40% of the following month</t>
  </si>
  <si>
    <t>Total Needs</t>
  </si>
  <si>
    <t>Less: Beginning Inventory</t>
  </si>
  <si>
    <t>Beginning is previous month's ending</t>
  </si>
  <si>
    <t>Required Production</t>
  </si>
  <si>
    <t>Production</t>
  </si>
  <si>
    <t>Materials per pound (kg)</t>
  </si>
  <si>
    <t>Production Needs</t>
  </si>
  <si>
    <t>Remember: this is 20% of the following month</t>
  </si>
  <si>
    <t>Total Needed</t>
  </si>
  <si>
    <t>Materials to be Purchased</t>
  </si>
  <si>
    <t>AP Opening Balance</t>
  </si>
  <si>
    <t>Remember to pay your opening balance sheet AP</t>
  </si>
  <si>
    <t>January Purchases</t>
  </si>
  <si>
    <t>February Purchases</t>
  </si>
  <si>
    <t>March Purchases</t>
  </si>
  <si>
    <t>Total Cash Payments</t>
  </si>
  <si>
    <t>Price per kg</t>
  </si>
  <si>
    <t>AP at end of Q1</t>
  </si>
  <si>
    <t>You will use this in your ending balance sheet</t>
  </si>
  <si>
    <t>Units of Production</t>
  </si>
  <si>
    <t>Direct Labor Time per Unit</t>
  </si>
  <si>
    <t>Labor Hours Required</t>
  </si>
  <si>
    <t>Hourly Wage Rate</t>
  </si>
  <si>
    <t>Total Direct Labor Costs</t>
  </si>
  <si>
    <t>Budgeted Direct Labor Hours</t>
  </si>
  <si>
    <t>Variable Mfg. OH Rate</t>
  </si>
  <si>
    <t>Variable Mfg. OH Costs</t>
  </si>
  <si>
    <t>Fixed Mfg. OH Costs</t>
  </si>
  <si>
    <t>Total Mfg. OH Costs</t>
  </si>
  <si>
    <t>Less: Noncash Costs</t>
  </si>
  <si>
    <t>Cash Disbursements for Mfg. OH</t>
  </si>
  <si>
    <t>Qty</t>
  </si>
  <si>
    <t>Cost</t>
  </si>
  <si>
    <t>Total</t>
  </si>
  <si>
    <t>Finished Goods Inventory:</t>
  </si>
  <si>
    <t>Direct Materials (kg)</t>
  </si>
  <si>
    <t>Remember to let Excel do your calculations</t>
  </si>
  <si>
    <t>Direct Labor</t>
  </si>
  <si>
    <t>Mfg. OH</t>
  </si>
  <si>
    <t xml:space="preserve">  Unit Product Cost</t>
  </si>
  <si>
    <t>Ending Inventory in Units</t>
  </si>
  <si>
    <t>Unit Product Cost</t>
  </si>
  <si>
    <t>Do NOT hard key numbers; use Excel</t>
  </si>
  <si>
    <t>Ending Finished Goods Inventory</t>
  </si>
  <si>
    <t>Budgeted Sales</t>
  </si>
  <si>
    <t>Variable S&amp;A Rate</t>
  </si>
  <si>
    <t>Variable Expenses</t>
  </si>
  <si>
    <t>Fixed S&amp;A Expenses</t>
  </si>
  <si>
    <t>Total S&amp;A Expenses</t>
  </si>
  <si>
    <t>Less: Noncash Expenses</t>
  </si>
  <si>
    <t>Cash S&amp;A Expenses</t>
  </si>
  <si>
    <t>Beginning Cash Balance</t>
  </si>
  <si>
    <t>January beginning balance comes from your opening balance sheet</t>
  </si>
  <si>
    <t>Add: Cash Collections</t>
  </si>
  <si>
    <t>Total Cash Available</t>
  </si>
  <si>
    <t>Less: Cash Disbursements</t>
  </si>
  <si>
    <t xml:space="preserve"> Materials</t>
  </si>
  <si>
    <t xml:space="preserve"> Labor</t>
  </si>
  <si>
    <t xml:space="preserve"> Mfg. OH</t>
  </si>
  <si>
    <t xml:space="preserve"> S&amp;A</t>
  </si>
  <si>
    <t xml:space="preserve"> Equipment Purchase</t>
  </si>
  <si>
    <t xml:space="preserve"> Dividend</t>
  </si>
  <si>
    <t>Total Disbursements</t>
  </si>
  <si>
    <t>Excess/(Deficiency)</t>
  </si>
  <si>
    <t>Financing:</t>
  </si>
  <si>
    <t xml:space="preserve"> Borrowing</t>
  </si>
  <si>
    <t>Remember: this has to be in $5,000 increments</t>
  </si>
  <si>
    <t xml:space="preserve"> Repayment</t>
  </si>
  <si>
    <t>You have enough cash in February to pay back a large portion of your borrowing from January</t>
  </si>
  <si>
    <t xml:space="preserve"> Interest</t>
  </si>
  <si>
    <t>Remember: interest is calculated on the amount you pay back; we are using a 12% ANNUAL rate</t>
  </si>
  <si>
    <t>Total Financing</t>
  </si>
  <si>
    <t>Ending Cash Balance</t>
  </si>
  <si>
    <t>Traditional Format</t>
  </si>
  <si>
    <t>Sales</t>
  </si>
  <si>
    <t>Less: Cost of Goods Sold</t>
  </si>
  <si>
    <t>Gross Margin</t>
  </si>
  <si>
    <t>Less: SG&amp;A Expenses</t>
  </si>
  <si>
    <t>Less: Interest Expense</t>
  </si>
  <si>
    <t>Net Income</t>
  </si>
  <si>
    <t>Supplemental Calculation:</t>
  </si>
  <si>
    <t>Remember to let Excel do the calculations; do not hard key numbers</t>
  </si>
  <si>
    <t>Cost of Beg. Finished Goods</t>
  </si>
  <si>
    <t>Comes from opening balance sheet</t>
  </si>
  <si>
    <t>Add: Cost of units produced</t>
  </si>
  <si>
    <t>This is your production needs x finished goods rate</t>
  </si>
  <si>
    <t>Equals: Cost of Goods Available for Sale</t>
  </si>
  <si>
    <t>Less: Cost of Ending FG Inventory</t>
  </si>
  <si>
    <t>You calculated your ending finished goods on the OH tab</t>
  </si>
  <si>
    <t>Equals: COGS</t>
  </si>
  <si>
    <t>This is your COGS for your income statement above</t>
  </si>
  <si>
    <t>Assets:</t>
  </si>
  <si>
    <t xml:space="preserve"> Cash</t>
  </si>
  <si>
    <t xml:space="preserve"> AR</t>
  </si>
  <si>
    <t xml:space="preserve"> Raw Materials Inventory</t>
  </si>
  <si>
    <t>Remember: this is your direct materials ending inventory x raw material rate</t>
  </si>
  <si>
    <t xml:space="preserve"> Finished Goods Inventory</t>
  </si>
  <si>
    <t>Total Current Assets</t>
  </si>
  <si>
    <t xml:space="preserve"> Net PP&amp;E</t>
  </si>
  <si>
    <t>See supplemental calculation below</t>
  </si>
  <si>
    <t xml:space="preserve">     Total Assets</t>
  </si>
  <si>
    <t>Liabilities &amp; Stockholder's Equity</t>
  </si>
  <si>
    <t xml:space="preserve"> Accounts Payable</t>
  </si>
  <si>
    <t xml:space="preserve">    Total Liabilities</t>
  </si>
  <si>
    <t xml:space="preserve"> Common Stock</t>
  </si>
  <si>
    <t xml:space="preserve"> Retained Earnings</t>
  </si>
  <si>
    <t xml:space="preserve">     Total Liabilities &amp; Stockholder's Equity</t>
  </si>
  <si>
    <t>check figure - Assets = Liabilities + Stockholders Equity</t>
  </si>
  <si>
    <t>Supplemental Calculations:</t>
  </si>
  <si>
    <t>PP&amp;E Beginning Balance</t>
  </si>
  <si>
    <t>Additions for the year</t>
  </si>
  <si>
    <t>Less: Current Year Depreciation</t>
  </si>
  <si>
    <t>Beg. Retained Earnings</t>
  </si>
  <si>
    <t>Add: Net Income</t>
  </si>
  <si>
    <t>Less: Dividends</t>
  </si>
  <si>
    <t>Ending Retained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</si>
</sst>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\-??_);_(@_)"/>
    <numFmt numFmtId="165" formatCode="_(\$* #,##0_);_(\$* \(#,##0\);_(\$* \-??_);_(@_)"/>
  </numFmts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89013336588644"/>
        <bgColor rgb="FFFFFFCC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/>
    <xf numFmtId="164" fontId="3" fillId="3" borderId="6" xfId="0" applyNumberFormat="1" applyFont="1" applyFill="1" applyBorder="1"/>
    <xf numFmtId="164" fontId="3" fillId="3" borderId="0" xfId="0" applyNumberFormat="1" applyFont="1" applyFill="1"/>
    <xf numFmtId="164" fontId="4" fillId="3" borderId="7" xfId="0" applyNumberFormat="1" applyFont="1" applyFill="1" applyBorder="1"/>
    <xf numFmtId="165" fontId="3" fillId="3" borderId="8" xfId="0" applyNumberFormat="1" applyFont="1" applyFill="1" applyBorder="1"/>
    <xf numFmtId="165" fontId="4" fillId="3" borderId="9" xfId="0" applyNumberFormat="1" applyFont="1" applyFill="1" applyBorder="1"/>
    <xf numFmtId="165" fontId="4" fillId="3" borderId="8" xfId="0" applyNumberFormat="1" applyFont="1" applyFill="1" applyBorder="1"/>
    <xf numFmtId="165" fontId="0" fillId="0" borderId="10" xfId="0" applyNumberFormat="1" applyBorder="1"/>
    <xf numFmtId="165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4" fillId="3" borderId="0" xfId="0" applyNumberFormat="1" applyFont="1" applyFill="1"/>
    <xf numFmtId="164" fontId="0" fillId="3" borderId="0" xfId="0" applyNumberFormat="1" applyFill="1"/>
    <xf numFmtId="9" fontId="0" fillId="0" borderId="0" xfId="0" applyNumberFormat="1"/>
    <xf numFmtId="164" fontId="5" fillId="3" borderId="0" xfId="0" applyNumberFormat="1" applyFont="1" applyFill="1"/>
    <xf numFmtId="164" fontId="0" fillId="0" borderId="11" xfId="0" applyNumberFormat="1" applyBorder="1"/>
    <xf numFmtId="0" fontId="2" fillId="0" borderId="0" xfId="0" applyFont="1"/>
    <xf numFmtId="164" fontId="0" fillId="0" borderId="0" xfId="0" applyNumberFormat="1"/>
    <xf numFmtId="164" fontId="4" fillId="3" borderId="9" xfId="0" applyNumberFormat="1" applyFont="1" applyFill="1" applyBorder="1"/>
    <xf numFmtId="164" fontId="4" fillId="3" borderId="11" xfId="0" applyNumberFormat="1" applyFont="1" applyFill="1" applyBorder="1"/>
    <xf numFmtId="164" fontId="3" fillId="3" borderId="9" xfId="0" applyNumberFormat="1" applyFont="1" applyFill="1" applyBorder="1"/>
    <xf numFmtId="164" fontId="0" fillId="3" borderId="9" xfId="0" applyNumberFormat="1" applyFill="1" applyBorder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6" fillId="0" borderId="0" xfId="0" applyFont="1"/>
    <xf numFmtId="165" fontId="3" fillId="3" borderId="0" xfId="0" applyNumberFormat="1" applyFont="1" applyFill="1"/>
    <xf numFmtId="0" fontId="5" fillId="3" borderId="0" xfId="0" applyFont="1" applyFill="1"/>
    <xf numFmtId="2" fontId="5" fillId="3" borderId="0" xfId="0" applyNumberFormat="1" applyFont="1" applyFill="1"/>
    <xf numFmtId="2" fontId="4" fillId="3" borderId="0" xfId="0" applyNumberFormat="1" applyFont="1" applyFill="1"/>
    <xf numFmtId="0" fontId="0" fillId="3" borderId="0" xfId="0" applyFill="1"/>
    <xf numFmtId="2" fontId="4" fillId="3" borderId="11" xfId="0" applyNumberFormat="1" applyFont="1" applyFill="1" applyBorder="1"/>
    <xf numFmtId="165" fontId="4" fillId="3" borderId="11" xfId="0" applyNumberFormat="1" applyFont="1" applyFill="1" applyBorder="1"/>
    <xf numFmtId="164" fontId="4" fillId="0" borderId="0" xfId="0" applyNumberFormat="1" applyFont="1"/>
    <xf numFmtId="164" fontId="4" fillId="3" borderId="16" xfId="0" applyNumberFormat="1" applyFont="1" applyFill="1" applyBorder="1"/>
    <xf numFmtId="165" fontId="5" fillId="3" borderId="0" xfId="0" applyNumberFormat="1" applyFont="1" applyFill="1"/>
    <xf numFmtId="164" fontId="5" fillId="3" borderId="9" xfId="0" applyNumberFormat="1" applyFont="1" applyFill="1" applyBorder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107" zoomScaleNormal="107" workbookViewId="0"/>
  </sheetViews>
  <sheetFormatPr defaultColWidth="8.6328125" defaultRowHeight="14.5" x14ac:dyDescent="0.35"/>
  <cols>
    <col min="1" max="1" width="23.453125" customWidth="1"/>
    <col min="2" max="5" width="11.81640625" customWidth="1"/>
  </cols>
  <sheetData>
    <row r="1" spans="1:5" ht="15" customHeight="1" x14ac:dyDescent="0.35"/>
    <row r="2" spans="1:5" ht="15" customHeight="1" x14ac:dyDescent="0.35">
      <c r="A2" s="1"/>
      <c r="B2" s="2" t="s">
        <v>0</v>
      </c>
      <c r="C2" s="3" t="s">
        <v>1</v>
      </c>
      <c r="D2" s="2" t="s">
        <v>2</v>
      </c>
      <c r="E2" s="4" t="s">
        <v>3</v>
      </c>
    </row>
    <row r="3" spans="1:5" ht="14.25" customHeight="1" x14ac:dyDescent="0.35">
      <c r="A3" s="5" t="s">
        <v>4</v>
      </c>
      <c r="B3" s="6">
        <v>30000</v>
      </c>
      <c r="C3" s="7">
        <v>40000</v>
      </c>
      <c r="D3" s="6">
        <v>50000</v>
      </c>
      <c r="E3" s="8">
        <f>SUM(B3:D3)</f>
        <v>120000</v>
      </c>
    </row>
    <row r="4" spans="1:5" ht="14.25" customHeight="1" x14ac:dyDescent="0.35">
      <c r="A4" s="5" t="s">
        <v>5</v>
      </c>
      <c r="B4" s="9">
        <v>60</v>
      </c>
      <c r="C4" s="10">
        <f>B4</f>
        <v>60</v>
      </c>
      <c r="D4" s="11">
        <f>B4</f>
        <v>60</v>
      </c>
      <c r="E4" s="11">
        <f>B4</f>
        <v>60</v>
      </c>
    </row>
    <row r="5" spans="1:5" ht="15" customHeight="1" x14ac:dyDescent="0.35">
      <c r="A5" s="5" t="s">
        <v>6</v>
      </c>
      <c r="B5" s="12">
        <f>B3*B4</f>
        <v>1800000</v>
      </c>
      <c r="C5" s="13">
        <f>C3*C4</f>
        <v>2400000</v>
      </c>
      <c r="D5" s="12">
        <f>D3*D4</f>
        <v>3000000</v>
      </c>
      <c r="E5" s="12">
        <f>E3*E4</f>
        <v>7200000</v>
      </c>
    </row>
    <row r="6" spans="1:5" ht="15" customHeight="1" x14ac:dyDescent="0.35">
      <c r="A6" s="14"/>
      <c r="B6" s="15"/>
      <c r="C6" s="16"/>
      <c r="D6" s="15"/>
      <c r="E6" s="17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zoomScaleNormal="100" workbookViewId="0"/>
  </sheetViews>
  <sheetFormatPr defaultColWidth="8.6328125" defaultRowHeight="14.5" x14ac:dyDescent="0.35"/>
  <cols>
    <col min="1" max="1" width="29.08984375" customWidth="1"/>
    <col min="2" max="5" width="11.08984375" customWidth="1"/>
  </cols>
  <sheetData>
    <row r="1" spans="1:6" ht="15" customHeight="1" x14ac:dyDescent="0.35"/>
    <row r="2" spans="1:6" ht="15" customHeight="1" x14ac:dyDescent="0.35">
      <c r="A2" s="1"/>
      <c r="B2" s="2" t="s">
        <v>0</v>
      </c>
      <c r="C2" s="3" t="s">
        <v>1</v>
      </c>
      <c r="D2" s="2" t="s">
        <v>2</v>
      </c>
      <c r="E2" s="4" t="s">
        <v>3</v>
      </c>
    </row>
    <row r="3" spans="1:6" ht="14.25" customHeight="1" x14ac:dyDescent="0.35">
      <c r="A3" t="s">
        <v>7</v>
      </c>
      <c r="B3" s="18">
        <f>1500000*0.2+2100000*0.5</f>
        <v>1350000</v>
      </c>
      <c r="C3" s="18">
        <f>2100000*0.2</f>
        <v>420000</v>
      </c>
      <c r="D3" s="7">
        <v>0</v>
      </c>
      <c r="E3" s="19"/>
      <c r="F3" t="s">
        <v>8</v>
      </c>
    </row>
    <row r="4" spans="1:6" ht="14.25" customHeight="1" x14ac:dyDescent="0.35">
      <c r="A4" t="s">
        <v>9</v>
      </c>
      <c r="B4" s="19"/>
      <c r="C4" s="19"/>
      <c r="D4" s="19"/>
      <c r="E4" s="19"/>
    </row>
    <row r="5" spans="1:6" ht="14.25" customHeight="1" x14ac:dyDescent="0.35">
      <c r="A5" s="20">
        <v>0.3</v>
      </c>
      <c r="B5" s="21">
        <f>'Sales Budget'!$B$5*A5</f>
        <v>540000</v>
      </c>
      <c r="C5" s="19"/>
      <c r="D5" s="19"/>
      <c r="E5" s="19"/>
    </row>
    <row r="6" spans="1:6" ht="14.25" customHeight="1" x14ac:dyDescent="0.35">
      <c r="A6" s="20">
        <v>0.5</v>
      </c>
      <c r="B6" s="19"/>
      <c r="C6" s="21">
        <f>'Sales Budget'!$B$5*A6</f>
        <v>900000</v>
      </c>
      <c r="D6" s="19"/>
      <c r="E6" s="19"/>
    </row>
    <row r="7" spans="1:6" ht="14.25" customHeight="1" x14ac:dyDescent="0.35">
      <c r="A7" s="20">
        <v>0.2</v>
      </c>
      <c r="B7" s="19"/>
      <c r="C7" s="19"/>
      <c r="D7" s="21">
        <f>'Sales Budget'!$B$5*A7</f>
        <v>360000</v>
      </c>
      <c r="E7" s="19"/>
    </row>
    <row r="8" spans="1:6" ht="14.25" customHeight="1" x14ac:dyDescent="0.35">
      <c r="A8" t="s">
        <v>10</v>
      </c>
      <c r="B8" s="19"/>
      <c r="C8" s="19"/>
      <c r="D8" s="19"/>
      <c r="E8" s="19"/>
    </row>
    <row r="9" spans="1:6" ht="14.25" customHeight="1" x14ac:dyDescent="0.35">
      <c r="A9" s="20">
        <v>0.3</v>
      </c>
      <c r="B9" s="19"/>
      <c r="C9" s="21">
        <f>'Sales Budget'!$C$5*A9</f>
        <v>720000</v>
      </c>
      <c r="D9" s="19"/>
      <c r="E9" s="19"/>
    </row>
    <row r="10" spans="1:6" ht="14.25" customHeight="1" x14ac:dyDescent="0.35">
      <c r="A10" s="20">
        <v>0.5</v>
      </c>
      <c r="B10" s="19"/>
      <c r="C10" s="19"/>
      <c r="D10" s="21">
        <f>'Sales Budget'!$C$5*A10</f>
        <v>1200000</v>
      </c>
      <c r="E10" s="19"/>
    </row>
    <row r="11" spans="1:6" ht="14.25" customHeight="1" x14ac:dyDescent="0.35">
      <c r="A11" s="20">
        <v>0.2</v>
      </c>
      <c r="B11" s="19"/>
      <c r="C11" s="19"/>
      <c r="D11" s="19"/>
      <c r="E11" s="19"/>
    </row>
    <row r="12" spans="1:6" ht="14.25" customHeight="1" x14ac:dyDescent="0.35">
      <c r="A12" t="s">
        <v>11</v>
      </c>
      <c r="B12" s="19"/>
      <c r="C12" s="19"/>
      <c r="D12" s="19"/>
      <c r="E12" s="19"/>
    </row>
    <row r="13" spans="1:6" ht="14.25" customHeight="1" x14ac:dyDescent="0.35">
      <c r="A13" s="20">
        <v>0.3</v>
      </c>
      <c r="B13" s="19"/>
      <c r="C13" s="19"/>
      <c r="D13" s="21">
        <f>'Sales Budget'!$D$5*A13</f>
        <v>900000</v>
      </c>
      <c r="E13" s="19"/>
    </row>
    <row r="14" spans="1:6" ht="14.25" customHeight="1" x14ac:dyDescent="0.35">
      <c r="A14" s="20">
        <v>0.5</v>
      </c>
      <c r="B14" s="19"/>
      <c r="C14" s="19"/>
      <c r="D14" s="19"/>
      <c r="E14" s="19"/>
    </row>
    <row r="15" spans="1:6" ht="14.25" customHeight="1" x14ac:dyDescent="0.35">
      <c r="A15" s="20">
        <v>0.2</v>
      </c>
      <c r="B15" s="19"/>
      <c r="C15" s="19"/>
      <c r="D15" s="19"/>
      <c r="E15" s="19"/>
    </row>
    <row r="16" spans="1:6" ht="15" customHeight="1" x14ac:dyDescent="0.35">
      <c r="A16" t="s">
        <v>12</v>
      </c>
      <c r="B16" s="22">
        <f>SUM(B3:B15)</f>
        <v>1890000</v>
      </c>
      <c r="C16" s="22">
        <f>SUM(C3:C15)</f>
        <v>2040000</v>
      </c>
      <c r="D16" s="22">
        <f>SUM(D3:D15)</f>
        <v>2460000</v>
      </c>
      <c r="E16" s="22">
        <f>SUM(B16:D16)</f>
        <v>6390000</v>
      </c>
    </row>
    <row r="17" spans="1:6" ht="15" customHeight="1" x14ac:dyDescent="0.35"/>
    <row r="18" spans="1:6" ht="14.25" customHeight="1" x14ac:dyDescent="0.35">
      <c r="A18" s="23" t="s">
        <v>13</v>
      </c>
      <c r="B18" s="21">
        <f>'Sales Budget'!C5*A11+'Sales Budget'!D5*(A14+A15)</f>
        <v>2580000</v>
      </c>
      <c r="F18" t="s">
        <v>14</v>
      </c>
    </row>
    <row r="21" spans="1:6" ht="14.25" customHeight="1" x14ac:dyDescent="0.35">
      <c r="B21" s="24"/>
    </row>
    <row r="22" spans="1:6" ht="14.25" customHeight="1" x14ac:dyDescent="0.35">
      <c r="B22" s="24"/>
    </row>
    <row r="23" spans="1:6" ht="14.25" customHeight="1" x14ac:dyDescent="0.35">
      <c r="B23" s="24"/>
      <c r="C23" s="20"/>
    </row>
    <row r="24" spans="1:6" ht="14.25" customHeight="1" x14ac:dyDescent="0.35">
      <c r="B24" s="24"/>
    </row>
    <row r="25" spans="1:6" ht="14.25" customHeight="1" x14ac:dyDescent="0.35">
      <c r="B25" s="24"/>
    </row>
    <row r="26" spans="1:6" ht="14.25" customHeight="1" x14ac:dyDescent="0.35">
      <c r="B26" s="24"/>
      <c r="C26" s="20"/>
    </row>
    <row r="27" spans="1:6" ht="14.25" customHeight="1" x14ac:dyDescent="0.35">
      <c r="B27" s="24"/>
      <c r="C27" s="20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zoomScaleNormal="100" workbookViewId="0"/>
  </sheetViews>
  <sheetFormatPr defaultColWidth="8.6328125" defaultRowHeight="14.5" x14ac:dyDescent="0.35"/>
  <cols>
    <col min="1" max="1" width="38.54296875" customWidth="1"/>
    <col min="2" max="7" width="10.54296875" customWidth="1"/>
  </cols>
  <sheetData>
    <row r="1" spans="1:8" ht="15" customHeight="1" x14ac:dyDescent="0.35"/>
    <row r="2" spans="1:8" ht="15" customHeight="1" x14ac:dyDescent="0.35">
      <c r="A2" s="1"/>
      <c r="B2" s="2" t="s">
        <v>0</v>
      </c>
      <c r="C2" s="3" t="s">
        <v>1</v>
      </c>
      <c r="D2" s="2" t="s">
        <v>2</v>
      </c>
      <c r="E2" s="4" t="s">
        <v>3</v>
      </c>
      <c r="F2" s="4" t="s">
        <v>15</v>
      </c>
      <c r="G2" s="4" t="s">
        <v>16</v>
      </c>
    </row>
    <row r="3" spans="1:8" ht="14.25" customHeight="1" x14ac:dyDescent="0.35">
      <c r="A3" t="s">
        <v>4</v>
      </c>
      <c r="B3" s="21">
        <f>'Sales Budget'!B3</f>
        <v>30000</v>
      </c>
      <c r="C3" s="21">
        <f>'Sales Budget'!C3</f>
        <v>40000</v>
      </c>
      <c r="D3" s="21">
        <f>'Sales Budget'!D3</f>
        <v>50000</v>
      </c>
      <c r="E3" s="18">
        <f>SUM(B3:D3)</f>
        <v>120000</v>
      </c>
      <c r="F3" s="7">
        <v>45000</v>
      </c>
      <c r="G3" s="7">
        <v>35000</v>
      </c>
      <c r="H3" t="s">
        <v>17</v>
      </c>
    </row>
    <row r="4" spans="1:8" ht="14.25" customHeight="1" x14ac:dyDescent="0.35">
      <c r="A4" t="s">
        <v>18</v>
      </c>
      <c r="B4" s="25">
        <f>0.4*C3</f>
        <v>16000</v>
      </c>
      <c r="C4" s="25">
        <f>0.4*D3</f>
        <v>20000</v>
      </c>
      <c r="D4" s="25">
        <f>0.4*F3</f>
        <v>18000</v>
      </c>
      <c r="E4" s="25">
        <f>D4</f>
        <v>18000</v>
      </c>
      <c r="F4" s="25">
        <f>0.4*G3</f>
        <v>14000</v>
      </c>
      <c r="G4" s="24"/>
      <c r="H4" t="s">
        <v>19</v>
      </c>
    </row>
    <row r="5" spans="1:8" ht="14.25" customHeight="1" x14ac:dyDescent="0.35">
      <c r="A5" t="s">
        <v>20</v>
      </c>
      <c r="B5" s="18">
        <f>B3+B4</f>
        <v>46000</v>
      </c>
      <c r="C5" s="18">
        <f>C3+C4</f>
        <v>60000</v>
      </c>
      <c r="D5" s="18">
        <f>D3+D4</f>
        <v>68000</v>
      </c>
      <c r="E5" s="18">
        <f>E3+E4</f>
        <v>138000</v>
      </c>
      <c r="F5" s="18">
        <f>F3+F4</f>
        <v>59000</v>
      </c>
      <c r="G5" s="24"/>
    </row>
    <row r="6" spans="1:8" ht="14.25" customHeight="1" x14ac:dyDescent="0.35">
      <c r="A6" t="s">
        <v>21</v>
      </c>
      <c r="B6" s="18">
        <f>0.4*B3</f>
        <v>12000</v>
      </c>
      <c r="C6" s="18">
        <f>B4</f>
        <v>16000</v>
      </c>
      <c r="D6" s="18">
        <f>C4</f>
        <v>20000</v>
      </c>
      <c r="E6" s="18">
        <f>B6</f>
        <v>12000</v>
      </c>
      <c r="F6" s="18">
        <f>D4</f>
        <v>18000</v>
      </c>
      <c r="G6" s="24"/>
      <c r="H6" t="s">
        <v>22</v>
      </c>
    </row>
    <row r="7" spans="1:8" ht="15" customHeight="1" x14ac:dyDescent="0.35">
      <c r="A7" t="s">
        <v>23</v>
      </c>
      <c r="B7" s="26">
        <f>B5-B6</f>
        <v>34000</v>
      </c>
      <c r="C7" s="26">
        <f>C5-C6</f>
        <v>44000</v>
      </c>
      <c r="D7" s="26">
        <f>D5-D6</f>
        <v>48000</v>
      </c>
      <c r="E7" s="26">
        <f>E5-E6</f>
        <v>126000</v>
      </c>
      <c r="F7" s="26">
        <f>F5-F6</f>
        <v>41000</v>
      </c>
      <c r="G7" s="24"/>
    </row>
    <row r="8" spans="1:8" ht="15" customHeight="1" x14ac:dyDescent="0.35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zoomScaleNormal="100" workbookViewId="0"/>
  </sheetViews>
  <sheetFormatPr defaultColWidth="8.6328125" defaultRowHeight="14.5" x14ac:dyDescent="0.35"/>
  <cols>
    <col min="1" max="1" width="30.26953125" customWidth="1"/>
    <col min="2" max="7" width="10.54296875" customWidth="1"/>
  </cols>
  <sheetData>
    <row r="1" spans="1:7" ht="15" customHeight="1" x14ac:dyDescent="0.35"/>
    <row r="2" spans="1:7" ht="15" customHeight="1" x14ac:dyDescent="0.35">
      <c r="A2" s="1"/>
      <c r="B2" s="2" t="s">
        <v>0</v>
      </c>
      <c r="C2" s="3" t="s">
        <v>1</v>
      </c>
      <c r="D2" s="2" t="s">
        <v>2</v>
      </c>
      <c r="E2" s="4" t="s">
        <v>3</v>
      </c>
      <c r="F2" s="4" t="s">
        <v>15</v>
      </c>
    </row>
    <row r="3" spans="1:7" ht="14.25" customHeight="1" x14ac:dyDescent="0.35">
      <c r="A3" t="s">
        <v>24</v>
      </c>
      <c r="B3" s="21">
        <f>Production!B7</f>
        <v>34000</v>
      </c>
      <c r="C3" s="21">
        <f>Production!C7</f>
        <v>44000</v>
      </c>
      <c r="D3" s="21">
        <f>Production!D7</f>
        <v>48000</v>
      </c>
      <c r="E3" s="18">
        <f>SUM(B3:D3)</f>
        <v>126000</v>
      </c>
      <c r="F3" s="21">
        <f>Production!F7</f>
        <v>41000</v>
      </c>
      <c r="G3" t="s">
        <v>17</v>
      </c>
    </row>
    <row r="4" spans="1:7" ht="14.25" customHeight="1" x14ac:dyDescent="0.35">
      <c r="A4" t="s">
        <v>25</v>
      </c>
      <c r="B4" s="27">
        <v>3</v>
      </c>
      <c r="C4" s="25">
        <f>B4</f>
        <v>3</v>
      </c>
      <c r="D4" s="25">
        <f>B4</f>
        <v>3</v>
      </c>
      <c r="E4" s="25">
        <f>B4</f>
        <v>3</v>
      </c>
      <c r="F4" s="25">
        <f>B4</f>
        <v>3</v>
      </c>
    </row>
    <row r="5" spans="1:7" ht="14.25" customHeight="1" x14ac:dyDescent="0.35">
      <c r="A5" t="s">
        <v>26</v>
      </c>
      <c r="B5" s="18">
        <f>B3*B4</f>
        <v>102000</v>
      </c>
      <c r="C5" s="18">
        <f>C3*C4</f>
        <v>132000</v>
      </c>
      <c r="D5" s="18">
        <f>D3*D4</f>
        <v>144000</v>
      </c>
      <c r="E5" s="18">
        <f>E3*E4</f>
        <v>378000</v>
      </c>
      <c r="F5" s="18">
        <f>F3*F4</f>
        <v>123000</v>
      </c>
    </row>
    <row r="6" spans="1:7" ht="14.25" customHeight="1" x14ac:dyDescent="0.35">
      <c r="A6" t="s">
        <v>18</v>
      </c>
      <c r="B6" s="25">
        <f>0.2*C5</f>
        <v>26400</v>
      </c>
      <c r="C6" s="25">
        <f>0.2*D5</f>
        <v>28800</v>
      </c>
      <c r="D6" s="25">
        <f>0.2*F5</f>
        <v>24600</v>
      </c>
      <c r="E6" s="25">
        <f>D6</f>
        <v>24600</v>
      </c>
      <c r="F6" s="28"/>
      <c r="G6" t="s">
        <v>27</v>
      </c>
    </row>
    <row r="7" spans="1:7" ht="14.25" customHeight="1" x14ac:dyDescent="0.35">
      <c r="A7" t="s">
        <v>28</v>
      </c>
      <c r="B7" s="18">
        <f>B5+B6</f>
        <v>128400</v>
      </c>
      <c r="C7" s="18">
        <f>C5+C6</f>
        <v>160800</v>
      </c>
      <c r="D7" s="18">
        <f>D5+D6</f>
        <v>168600</v>
      </c>
      <c r="E7" s="18">
        <f>E5+E6</f>
        <v>402600</v>
      </c>
      <c r="F7" s="19"/>
    </row>
    <row r="8" spans="1:7" ht="14.25" customHeight="1" x14ac:dyDescent="0.35">
      <c r="A8" t="s">
        <v>21</v>
      </c>
      <c r="B8" s="25">
        <f>163200/8</f>
        <v>20400</v>
      </c>
      <c r="C8" s="25">
        <f>B6</f>
        <v>26400</v>
      </c>
      <c r="D8" s="25">
        <f>C6</f>
        <v>28800</v>
      </c>
      <c r="E8" s="25">
        <f>B8</f>
        <v>20400</v>
      </c>
      <c r="F8" s="28"/>
      <c r="G8" t="s">
        <v>22</v>
      </c>
    </row>
    <row r="9" spans="1:7" ht="14.25" customHeight="1" x14ac:dyDescent="0.35">
      <c r="A9" t="s">
        <v>29</v>
      </c>
      <c r="B9" s="18">
        <f>B7-B8</f>
        <v>108000</v>
      </c>
      <c r="C9" s="18">
        <f>C7-C8</f>
        <v>134400</v>
      </c>
      <c r="D9" s="18">
        <f>D7-D8</f>
        <v>139800</v>
      </c>
      <c r="E9" s="18">
        <f>E7-E8</f>
        <v>382200</v>
      </c>
      <c r="F9" s="19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8"/>
  <sheetViews>
    <sheetView zoomScaleNormal="100" workbookViewId="0"/>
  </sheetViews>
  <sheetFormatPr defaultColWidth="8.6328125" defaultRowHeight="14.5" x14ac:dyDescent="0.35"/>
  <cols>
    <col min="1" max="1" width="30.54296875" customWidth="1"/>
    <col min="2" max="15" width="10.54296875" customWidth="1"/>
  </cols>
  <sheetData>
    <row r="1" spans="1:15" ht="15" customHeight="1" x14ac:dyDescent="0.35"/>
    <row r="2" spans="1:15" ht="15" customHeight="1" x14ac:dyDescent="0.35">
      <c r="A2" s="1"/>
      <c r="B2" s="2" t="s">
        <v>0</v>
      </c>
      <c r="C2" s="3" t="s">
        <v>1</v>
      </c>
      <c r="D2" s="2" t="s">
        <v>2</v>
      </c>
      <c r="E2" s="2" t="s">
        <v>3</v>
      </c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4.25" customHeight="1" x14ac:dyDescent="0.35">
      <c r="A3" t="s">
        <v>30</v>
      </c>
      <c r="B3" s="7">
        <v>571200</v>
      </c>
      <c r="C3" s="7">
        <v>0</v>
      </c>
      <c r="D3" s="7">
        <v>0</v>
      </c>
      <c r="E3" s="18">
        <f>SUM(B3:D3)</f>
        <v>571200</v>
      </c>
      <c r="F3" s="24" t="s">
        <v>31</v>
      </c>
    </row>
    <row r="4" spans="1:15" ht="14.25" customHeight="1" x14ac:dyDescent="0.35">
      <c r="A4" t="s">
        <v>32</v>
      </c>
      <c r="B4" s="19"/>
      <c r="C4" s="19"/>
      <c r="D4" s="19"/>
      <c r="E4" s="19"/>
      <c r="F4" s="24"/>
    </row>
    <row r="5" spans="1:15" ht="14.25" customHeight="1" x14ac:dyDescent="0.35">
      <c r="A5" s="20">
        <v>0.3</v>
      </c>
      <c r="B5" s="21">
        <f>'Direct Materials'!B9*$B$16*A5</f>
        <v>259200</v>
      </c>
      <c r="C5" s="19"/>
      <c r="D5" s="19"/>
      <c r="E5" s="19"/>
      <c r="F5" s="24"/>
    </row>
    <row r="6" spans="1:15" ht="14.25" customHeight="1" x14ac:dyDescent="0.35">
      <c r="A6" s="20">
        <v>0.7</v>
      </c>
      <c r="B6" s="19"/>
      <c r="C6" s="21">
        <f>'Direct Materials'!B9*$B$16*A6</f>
        <v>604800</v>
      </c>
      <c r="D6" s="19"/>
      <c r="E6" s="19"/>
      <c r="F6" s="24"/>
    </row>
    <row r="7" spans="1:15" ht="14.25" customHeight="1" x14ac:dyDescent="0.35">
      <c r="A7" t="s">
        <v>33</v>
      </c>
      <c r="B7" s="19"/>
      <c r="C7" s="19"/>
      <c r="D7" s="19"/>
      <c r="E7" s="19"/>
      <c r="F7" s="24"/>
    </row>
    <row r="8" spans="1:15" ht="14.25" customHeight="1" x14ac:dyDescent="0.35">
      <c r="A8" s="20">
        <v>0.3</v>
      </c>
      <c r="B8" s="19"/>
      <c r="C8" s="21">
        <f>'Direct Materials'!C9*$B$16*A8</f>
        <v>322560</v>
      </c>
      <c r="D8" s="19"/>
      <c r="E8" s="19"/>
      <c r="F8" s="24"/>
    </row>
    <row r="9" spans="1:15" ht="14.25" customHeight="1" x14ac:dyDescent="0.35">
      <c r="A9" s="20">
        <v>0.7</v>
      </c>
      <c r="B9" s="19"/>
      <c r="C9" s="19"/>
      <c r="D9" s="21">
        <f>'Direct Materials'!C9*$B$16*A9</f>
        <v>752640</v>
      </c>
      <c r="E9" s="19"/>
      <c r="F9" s="24"/>
    </row>
    <row r="10" spans="1:15" ht="14.25" customHeight="1" x14ac:dyDescent="0.35">
      <c r="A10" t="s">
        <v>34</v>
      </c>
      <c r="B10" s="19"/>
      <c r="C10" s="19"/>
      <c r="D10" s="19"/>
      <c r="E10" s="19"/>
      <c r="F10" s="24"/>
    </row>
    <row r="11" spans="1:15" ht="14.25" customHeight="1" x14ac:dyDescent="0.35">
      <c r="A11" s="20">
        <v>0.3</v>
      </c>
      <c r="B11" s="19"/>
      <c r="C11" s="19"/>
      <c r="D11" s="21">
        <f>'Direct Materials'!D9*$B$16*A11</f>
        <v>335520</v>
      </c>
      <c r="E11" s="19"/>
      <c r="F11" s="24"/>
    </row>
    <row r="12" spans="1:15" ht="14.25" customHeight="1" x14ac:dyDescent="0.35">
      <c r="A12" s="20">
        <v>0.7</v>
      </c>
      <c r="B12" s="19"/>
      <c r="C12" s="19"/>
      <c r="D12" s="19"/>
      <c r="E12" s="19"/>
      <c r="F12" s="30"/>
      <c r="G12" s="23"/>
    </row>
    <row r="13" spans="1:15" ht="15" customHeight="1" x14ac:dyDescent="0.35">
      <c r="A13" s="31" t="s">
        <v>35</v>
      </c>
      <c r="B13" s="26">
        <f>SUM(B3:B12)</f>
        <v>830400</v>
      </c>
      <c r="C13" s="26">
        <f>SUM(C3:C12)</f>
        <v>927360</v>
      </c>
      <c r="D13" s="26">
        <f>SUM(D3:D12)</f>
        <v>1088160</v>
      </c>
      <c r="E13" s="26">
        <f>SUM(B13:D13)</f>
        <v>2845920</v>
      </c>
      <c r="F13" s="24"/>
    </row>
    <row r="14" spans="1:15" ht="15" customHeight="1" x14ac:dyDescent="0.35"/>
    <row r="16" spans="1:15" ht="14.25" customHeight="1" x14ac:dyDescent="0.35">
      <c r="A16" s="23" t="s">
        <v>36</v>
      </c>
      <c r="B16" s="32">
        <v>8</v>
      </c>
    </row>
    <row r="18" spans="1:6" ht="14.25" customHeight="1" x14ac:dyDescent="0.35">
      <c r="A18" s="23" t="s">
        <v>37</v>
      </c>
      <c r="B18" s="33">
        <f>'Direct Materials'!D9*$B$16*A12</f>
        <v>782880</v>
      </c>
      <c r="F18" t="s">
        <v>38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zoomScaleNormal="100" workbookViewId="0"/>
  </sheetViews>
  <sheetFormatPr defaultColWidth="8.6328125" defaultRowHeight="14.5" x14ac:dyDescent="0.35"/>
  <cols>
    <col min="1" max="1" width="29.81640625" customWidth="1"/>
    <col min="2" max="5" width="10.54296875" customWidth="1"/>
  </cols>
  <sheetData>
    <row r="1" spans="1:5" ht="15" customHeight="1" x14ac:dyDescent="0.35"/>
    <row r="2" spans="1:5" ht="15" customHeight="1" x14ac:dyDescent="0.35">
      <c r="A2" s="1"/>
      <c r="B2" s="2" t="s">
        <v>0</v>
      </c>
      <c r="C2" s="3" t="s">
        <v>1</v>
      </c>
      <c r="D2" s="2" t="s">
        <v>2</v>
      </c>
      <c r="E2" s="4" t="s">
        <v>3</v>
      </c>
    </row>
    <row r="3" spans="1:5" ht="14.25" customHeight="1" x14ac:dyDescent="0.35">
      <c r="A3" t="s">
        <v>39</v>
      </c>
      <c r="B3" s="21">
        <f>Production!B7</f>
        <v>34000</v>
      </c>
      <c r="C3" s="21">
        <f>Production!C7</f>
        <v>44000</v>
      </c>
      <c r="D3" s="21">
        <f>Production!D7</f>
        <v>48000</v>
      </c>
      <c r="E3" s="18">
        <f>SUM(B3:D3)</f>
        <v>126000</v>
      </c>
    </row>
    <row r="4" spans="1:5" ht="14.25" customHeight="1" x14ac:dyDescent="0.35">
      <c r="A4" t="s">
        <v>40</v>
      </c>
      <c r="B4" s="27">
        <v>2</v>
      </c>
      <c r="C4" s="25">
        <f>B4</f>
        <v>2</v>
      </c>
      <c r="D4" s="25">
        <f>B4</f>
        <v>2</v>
      </c>
      <c r="E4" s="25">
        <f>B4</f>
        <v>2</v>
      </c>
    </row>
    <row r="5" spans="1:5" ht="14.25" customHeight="1" x14ac:dyDescent="0.35">
      <c r="A5" t="s">
        <v>41</v>
      </c>
      <c r="B5" s="18">
        <f>B3*B4</f>
        <v>68000</v>
      </c>
      <c r="C5" s="18">
        <f>C3*C4</f>
        <v>88000</v>
      </c>
      <c r="D5" s="18">
        <f>D3*D4</f>
        <v>96000</v>
      </c>
      <c r="E5" s="18">
        <f>E3*E4</f>
        <v>252000</v>
      </c>
    </row>
    <row r="6" spans="1:5" ht="14.25" customHeight="1" x14ac:dyDescent="0.35">
      <c r="A6" t="s">
        <v>42</v>
      </c>
      <c r="B6" s="7">
        <v>6</v>
      </c>
      <c r="C6" s="18">
        <f>B6</f>
        <v>6</v>
      </c>
      <c r="D6" s="18">
        <f>B6</f>
        <v>6</v>
      </c>
      <c r="E6" s="18">
        <f>B6</f>
        <v>6</v>
      </c>
    </row>
    <row r="7" spans="1:5" ht="15" customHeight="1" x14ac:dyDescent="0.35">
      <c r="A7" t="s">
        <v>43</v>
      </c>
      <c r="B7" s="26">
        <f>B5*B6</f>
        <v>408000</v>
      </c>
      <c r="C7" s="26">
        <f>C5*C6</f>
        <v>528000</v>
      </c>
      <c r="D7" s="26">
        <f>D5*D6</f>
        <v>576000</v>
      </c>
      <c r="E7" s="26">
        <f>E5*E6</f>
        <v>1512000</v>
      </c>
    </row>
    <row r="8" spans="1:5" ht="15" customHeight="1" x14ac:dyDescent="0.35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topLeftCell="A13" zoomScaleNormal="100" workbookViewId="0">
      <selection activeCell="G28" sqref="G28"/>
    </sheetView>
  </sheetViews>
  <sheetFormatPr defaultColWidth="8.6328125" defaultRowHeight="14.5" x14ac:dyDescent="0.35"/>
  <cols>
    <col min="1" max="1" width="29.81640625" customWidth="1"/>
    <col min="2" max="3" width="10.54296875" customWidth="1"/>
    <col min="4" max="4" width="12.26953125" customWidth="1"/>
    <col min="5" max="5" width="10.54296875" customWidth="1"/>
  </cols>
  <sheetData>
    <row r="1" spans="1:5" ht="15" customHeight="1" x14ac:dyDescent="0.35"/>
    <row r="2" spans="1:5" ht="15" customHeight="1" x14ac:dyDescent="0.35">
      <c r="A2" s="1"/>
      <c r="B2" s="2" t="s">
        <v>0</v>
      </c>
      <c r="C2" s="3" t="s">
        <v>1</v>
      </c>
      <c r="D2" s="2" t="s">
        <v>2</v>
      </c>
      <c r="E2" s="4" t="s">
        <v>3</v>
      </c>
    </row>
    <row r="3" spans="1:5" ht="14.25" customHeight="1" x14ac:dyDescent="0.35">
      <c r="A3" t="s">
        <v>44</v>
      </c>
      <c r="B3" s="21">
        <f>'Direct Labor'!B5</f>
        <v>68000</v>
      </c>
      <c r="C3" s="21">
        <f>'Direct Labor'!C5</f>
        <v>88000</v>
      </c>
      <c r="D3" s="21">
        <f>'Direct Labor'!D5</f>
        <v>96000</v>
      </c>
      <c r="E3" s="18">
        <f>SUM(B3:D3)</f>
        <v>252000</v>
      </c>
    </row>
    <row r="4" spans="1:5" ht="14.25" customHeight="1" x14ac:dyDescent="0.35">
      <c r="A4" t="s">
        <v>45</v>
      </c>
      <c r="B4" s="27">
        <v>2</v>
      </c>
      <c r="C4" s="25">
        <f>B4</f>
        <v>2</v>
      </c>
      <c r="D4" s="25">
        <f>B4</f>
        <v>2</v>
      </c>
      <c r="E4" s="25">
        <f>B4</f>
        <v>2</v>
      </c>
    </row>
    <row r="5" spans="1:5" ht="14.25" customHeight="1" x14ac:dyDescent="0.35">
      <c r="A5" t="s">
        <v>46</v>
      </c>
      <c r="B5" s="18">
        <f>B3*B4</f>
        <v>136000</v>
      </c>
      <c r="C5" s="18">
        <f>C3*C4</f>
        <v>176000</v>
      </c>
      <c r="D5" s="18">
        <f>D3*D4</f>
        <v>192000</v>
      </c>
      <c r="E5" s="18">
        <f>E3*E4</f>
        <v>504000</v>
      </c>
    </row>
    <row r="6" spans="1:5" ht="14.25" customHeight="1" x14ac:dyDescent="0.35">
      <c r="A6" t="s">
        <v>47</v>
      </c>
      <c r="B6" s="27">
        <v>225000</v>
      </c>
      <c r="C6" s="25">
        <f>B6</f>
        <v>225000</v>
      </c>
      <c r="D6" s="25">
        <f>B6</f>
        <v>225000</v>
      </c>
      <c r="E6" s="25">
        <f>SUM(B6:D6)</f>
        <v>675000</v>
      </c>
    </row>
    <row r="7" spans="1:5" ht="14.25" customHeight="1" x14ac:dyDescent="0.35">
      <c r="A7" t="s">
        <v>48</v>
      </c>
      <c r="B7" s="18">
        <f>B5+B6</f>
        <v>361000</v>
      </c>
      <c r="C7" s="18">
        <f>C5+C6</f>
        <v>401000</v>
      </c>
      <c r="D7" s="18">
        <f>D5+D6</f>
        <v>417000</v>
      </c>
      <c r="E7" s="18">
        <f>E5+E6</f>
        <v>1179000</v>
      </c>
    </row>
    <row r="8" spans="1:5" ht="14.25" customHeight="1" x14ac:dyDescent="0.35">
      <c r="A8" t="s">
        <v>49</v>
      </c>
      <c r="B8" s="7">
        <v>35000</v>
      </c>
      <c r="C8" s="18">
        <f>B8</f>
        <v>35000</v>
      </c>
      <c r="D8" s="18">
        <f>B8</f>
        <v>35000</v>
      </c>
      <c r="E8" s="25">
        <f>SUM(B8:D8)</f>
        <v>105000</v>
      </c>
    </row>
    <row r="9" spans="1:5" ht="15" customHeight="1" x14ac:dyDescent="0.35">
      <c r="A9" t="s">
        <v>50</v>
      </c>
      <c r="B9" s="26">
        <f>B7-B8</f>
        <v>326000</v>
      </c>
      <c r="C9" s="26">
        <f>C7-C8</f>
        <v>366000</v>
      </c>
      <c r="D9" s="26">
        <f>D7-D8</f>
        <v>382000</v>
      </c>
      <c r="E9" s="26">
        <f>E7-E8</f>
        <v>1074000</v>
      </c>
    </row>
    <row r="10" spans="1:5" ht="15" customHeight="1" x14ac:dyDescent="0.35"/>
    <row r="16" spans="1:5" ht="14.25" customHeight="1" x14ac:dyDescent="0.35">
      <c r="B16" t="s">
        <v>51</v>
      </c>
      <c r="C16" t="s">
        <v>52</v>
      </c>
      <c r="D16" t="s">
        <v>53</v>
      </c>
    </row>
    <row r="17" spans="1:6" ht="14.25" customHeight="1" x14ac:dyDescent="0.35">
      <c r="A17" t="s">
        <v>54</v>
      </c>
    </row>
    <row r="18" spans="1:6" ht="14.25" customHeight="1" x14ac:dyDescent="0.35">
      <c r="A18" t="s">
        <v>55</v>
      </c>
      <c r="B18" s="34">
        <f>'Direct Materials'!B4</f>
        <v>3</v>
      </c>
      <c r="C18" s="34">
        <f>'Cash Payments'!B16</f>
        <v>8</v>
      </c>
      <c r="D18" s="35">
        <f>B18*C18</f>
        <v>24</v>
      </c>
      <c r="F18" t="s">
        <v>56</v>
      </c>
    </row>
    <row r="19" spans="1:6" ht="14.25" customHeight="1" x14ac:dyDescent="0.35">
      <c r="A19" t="s">
        <v>57</v>
      </c>
      <c r="B19" s="34">
        <f>'Direct Labor'!B4</f>
        <v>2</v>
      </c>
      <c r="C19" s="34">
        <f>'Direct Labor'!B6</f>
        <v>6</v>
      </c>
      <c r="D19" s="35">
        <f>B19*C19</f>
        <v>12</v>
      </c>
    </row>
    <row r="20" spans="1:6" ht="14.25" customHeight="1" x14ac:dyDescent="0.35">
      <c r="A20" t="s">
        <v>58</v>
      </c>
      <c r="B20" s="34">
        <f>'Direct Labor'!B4</f>
        <v>2</v>
      </c>
      <c r="C20" s="35">
        <f>E7/E3</f>
        <v>4.6785714285714288</v>
      </c>
      <c r="D20" s="35">
        <f>B20*C20</f>
        <v>9.3571428571428577</v>
      </c>
    </row>
    <row r="21" spans="1:6" ht="15" customHeight="1" x14ac:dyDescent="0.35">
      <c r="A21" t="s">
        <v>59</v>
      </c>
      <c r="B21" s="36"/>
      <c r="C21" s="36"/>
      <c r="D21" s="37">
        <f>SUM(D18:D20)</f>
        <v>45.357142857142861</v>
      </c>
    </row>
    <row r="22" spans="1:6" ht="15" customHeight="1" x14ac:dyDescent="0.35"/>
    <row r="23" spans="1:6" ht="14.25" customHeight="1" x14ac:dyDescent="0.35">
      <c r="A23" t="s">
        <v>60</v>
      </c>
      <c r="D23" s="21">
        <f>Production!D4</f>
        <v>18000</v>
      </c>
    </row>
    <row r="24" spans="1:6" ht="14.25" customHeight="1" x14ac:dyDescent="0.35">
      <c r="A24" t="s">
        <v>61</v>
      </c>
      <c r="D24" s="35">
        <f>D21</f>
        <v>45.357142857142861</v>
      </c>
      <c r="F24" t="s">
        <v>62</v>
      </c>
    </row>
    <row r="25" spans="1:6" ht="15" customHeight="1" x14ac:dyDescent="0.35">
      <c r="A25" s="23" t="s">
        <v>63</v>
      </c>
      <c r="B25" s="23"/>
      <c r="C25" s="23"/>
      <c r="D25" s="38">
        <f>D23*D24</f>
        <v>816428.57142857148</v>
      </c>
    </row>
    <row r="26" spans="1:6" ht="15" customHeight="1" x14ac:dyDescent="0.35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zoomScaleNormal="100" workbookViewId="0">
      <selection activeCell="A19" sqref="A19"/>
    </sheetView>
  </sheetViews>
  <sheetFormatPr defaultColWidth="8.6328125" defaultRowHeight="14.5" x14ac:dyDescent="0.35"/>
  <cols>
    <col min="1" max="1" width="29.7265625" customWidth="1"/>
    <col min="2" max="5" width="10.54296875" customWidth="1"/>
  </cols>
  <sheetData>
    <row r="1" spans="1:5" ht="15" customHeight="1" x14ac:dyDescent="0.35"/>
    <row r="2" spans="1:5" ht="15" customHeight="1" x14ac:dyDescent="0.35">
      <c r="A2" s="1"/>
      <c r="B2" s="2" t="s">
        <v>0</v>
      </c>
      <c r="C2" s="3" t="s">
        <v>1</v>
      </c>
      <c r="D2" s="2" t="s">
        <v>2</v>
      </c>
      <c r="E2" s="4" t="s">
        <v>3</v>
      </c>
    </row>
    <row r="3" spans="1:5" ht="14.25" customHeight="1" x14ac:dyDescent="0.35">
      <c r="A3" t="s">
        <v>64</v>
      </c>
      <c r="B3" s="21">
        <f>'Sales Budget'!B3</f>
        <v>30000</v>
      </c>
      <c r="C3" s="21">
        <f>'Sales Budget'!C3</f>
        <v>40000</v>
      </c>
      <c r="D3" s="21">
        <f>'Sales Budget'!D3</f>
        <v>50000</v>
      </c>
      <c r="E3" s="18">
        <f>SUM(B3:D3)</f>
        <v>120000</v>
      </c>
    </row>
    <row r="4" spans="1:5" ht="14.25" customHeight="1" x14ac:dyDescent="0.35">
      <c r="A4" t="s">
        <v>65</v>
      </c>
      <c r="B4" s="27">
        <v>2</v>
      </c>
      <c r="C4" s="25">
        <f>B4</f>
        <v>2</v>
      </c>
      <c r="D4" s="25">
        <f>B4</f>
        <v>2</v>
      </c>
      <c r="E4" s="25">
        <f>B4</f>
        <v>2</v>
      </c>
    </row>
    <row r="5" spans="1:5" ht="14.25" customHeight="1" x14ac:dyDescent="0.35">
      <c r="A5" t="s">
        <v>66</v>
      </c>
      <c r="B5" s="18">
        <f>B3*B4</f>
        <v>60000</v>
      </c>
      <c r="C5" s="18">
        <f>C3*C4</f>
        <v>80000</v>
      </c>
      <c r="D5" s="18">
        <f>D3*D4</f>
        <v>100000</v>
      </c>
      <c r="E5" s="18">
        <f>E3*E4</f>
        <v>240000</v>
      </c>
    </row>
    <row r="6" spans="1:5" ht="14.25" customHeight="1" x14ac:dyDescent="0.35">
      <c r="A6" t="s">
        <v>67</v>
      </c>
      <c r="B6" s="27">
        <v>100000</v>
      </c>
      <c r="C6" s="25">
        <f>B6</f>
        <v>100000</v>
      </c>
      <c r="D6" s="25">
        <f>B6</f>
        <v>100000</v>
      </c>
      <c r="E6" s="25">
        <f>SUM(B6:D6)</f>
        <v>300000</v>
      </c>
    </row>
    <row r="7" spans="1:5" ht="14.25" customHeight="1" x14ac:dyDescent="0.35">
      <c r="A7" t="s">
        <v>68</v>
      </c>
      <c r="B7" s="18">
        <f>B5+B6</f>
        <v>160000</v>
      </c>
      <c r="C7" s="18">
        <f>C5+C6</f>
        <v>180000</v>
      </c>
      <c r="D7" s="18">
        <f>D5+D6</f>
        <v>200000</v>
      </c>
      <c r="E7" s="18">
        <f>E5+E6</f>
        <v>540000</v>
      </c>
    </row>
    <row r="8" spans="1:5" ht="14.25" customHeight="1" x14ac:dyDescent="0.35">
      <c r="A8" t="s">
        <v>69</v>
      </c>
      <c r="B8" s="7">
        <v>25000</v>
      </c>
      <c r="C8" s="18">
        <f>B8</f>
        <v>25000</v>
      </c>
      <c r="D8" s="18">
        <f>B8</f>
        <v>25000</v>
      </c>
      <c r="E8" s="18">
        <f>SUM(B8:D8)</f>
        <v>75000</v>
      </c>
    </row>
    <row r="9" spans="1:5" ht="15" customHeight="1" x14ac:dyDescent="0.35">
      <c r="A9" t="s">
        <v>70</v>
      </c>
      <c r="B9" s="26">
        <f>B7-B8</f>
        <v>135000</v>
      </c>
      <c r="C9" s="26">
        <f>C7-C8</f>
        <v>155000</v>
      </c>
      <c r="D9" s="26">
        <f>D7-D8</f>
        <v>175000</v>
      </c>
      <c r="E9" s="26">
        <f>E7-E8</f>
        <v>465000</v>
      </c>
    </row>
    <row r="10" spans="1:5" ht="15" customHeight="1" x14ac:dyDescent="0.35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tabSelected="1" zoomScaleNormal="100" workbookViewId="0">
      <selection activeCell="H22" sqref="H22"/>
    </sheetView>
  </sheetViews>
  <sheetFormatPr defaultColWidth="8.6328125" defaultRowHeight="14.5" x14ac:dyDescent="0.35"/>
  <cols>
    <col min="1" max="1" width="30.08984375" customWidth="1"/>
    <col min="2" max="5" width="10.54296875" customWidth="1"/>
  </cols>
  <sheetData>
    <row r="1" spans="1:6" ht="15" customHeight="1" x14ac:dyDescent="0.35"/>
    <row r="2" spans="1:6" ht="15" customHeight="1" x14ac:dyDescent="0.35">
      <c r="A2" s="1"/>
      <c r="B2" s="2" t="s">
        <v>0</v>
      </c>
      <c r="C2" s="3" t="s">
        <v>1</v>
      </c>
      <c r="D2" s="2" t="s">
        <v>2</v>
      </c>
      <c r="E2" s="4" t="s">
        <v>3</v>
      </c>
    </row>
    <row r="3" spans="1:6" ht="14.25" customHeight="1" x14ac:dyDescent="0.35">
      <c r="A3" t="s">
        <v>71</v>
      </c>
      <c r="B3" s="7">
        <v>110000</v>
      </c>
      <c r="C3" s="18">
        <f>B20</f>
        <v>50600</v>
      </c>
      <c r="D3" s="18">
        <f>C20</f>
        <v>63740</v>
      </c>
      <c r="E3" s="18">
        <f>B3</f>
        <v>110000</v>
      </c>
      <c r="F3" t="s">
        <v>72</v>
      </c>
    </row>
    <row r="4" spans="1:6" ht="14.25" customHeight="1" x14ac:dyDescent="0.35">
      <c r="A4" t="s">
        <v>73</v>
      </c>
      <c r="B4" s="21">
        <f>'Cash Collections'!B16</f>
        <v>1890000</v>
      </c>
      <c r="C4" s="21">
        <f>'Cash Collections'!C16</f>
        <v>2040000</v>
      </c>
      <c r="D4" s="21">
        <f>'Cash Collections'!D16</f>
        <v>2460000</v>
      </c>
      <c r="E4" s="18">
        <f>SUM(B4:D4)</f>
        <v>6390000</v>
      </c>
    </row>
    <row r="5" spans="1:6" ht="15" customHeight="1" x14ac:dyDescent="0.35">
      <c r="A5" t="s">
        <v>74</v>
      </c>
      <c r="B5" s="26">
        <f>B3+B4</f>
        <v>2000000</v>
      </c>
      <c r="C5" s="26">
        <f>C3+C4</f>
        <v>2090600</v>
      </c>
      <c r="D5" s="26">
        <f>D3+D4</f>
        <v>2523740</v>
      </c>
      <c r="E5" s="26">
        <f>E3+E4</f>
        <v>6500000</v>
      </c>
    </row>
    <row r="6" spans="1:6" ht="15" customHeight="1" x14ac:dyDescent="0.35">
      <c r="A6" t="s">
        <v>75</v>
      </c>
      <c r="B6" s="24"/>
      <c r="C6" s="24"/>
      <c r="D6" s="24"/>
      <c r="E6" s="24"/>
    </row>
    <row r="7" spans="1:6" ht="14.25" customHeight="1" x14ac:dyDescent="0.35">
      <c r="A7" t="s">
        <v>76</v>
      </c>
      <c r="B7" s="21">
        <f>'Cash Payments'!B13</f>
        <v>830400</v>
      </c>
      <c r="C7" s="21">
        <f>'Cash Payments'!C13</f>
        <v>927360</v>
      </c>
      <c r="D7" s="21">
        <f>'Cash Payments'!D13</f>
        <v>1088160</v>
      </c>
      <c r="E7" s="18">
        <f t="shared" ref="E7:E12" si="0">SUM(B7:D7)</f>
        <v>2845920</v>
      </c>
    </row>
    <row r="8" spans="1:6" ht="14.25" customHeight="1" x14ac:dyDescent="0.35">
      <c r="A8" t="s">
        <v>77</v>
      </c>
      <c r="B8" s="21">
        <f>'Direct Labor'!B7</f>
        <v>408000</v>
      </c>
      <c r="C8" s="21">
        <f>'Direct Labor'!C7</f>
        <v>528000</v>
      </c>
      <c r="D8" s="21">
        <f>'Direct Labor'!D7</f>
        <v>576000</v>
      </c>
      <c r="E8" s="18">
        <f t="shared" si="0"/>
        <v>1512000</v>
      </c>
    </row>
    <row r="9" spans="1:6" ht="14.25" customHeight="1" x14ac:dyDescent="0.35">
      <c r="A9" t="s">
        <v>78</v>
      </c>
      <c r="B9" s="21">
        <f>'Mfg OH'!B9</f>
        <v>326000</v>
      </c>
      <c r="C9" s="21">
        <f>'Mfg OH'!C9</f>
        <v>366000</v>
      </c>
      <c r="D9" s="21">
        <f>'Mfg OH'!D9</f>
        <v>382000</v>
      </c>
      <c r="E9" s="18">
        <f t="shared" si="0"/>
        <v>1074000</v>
      </c>
    </row>
    <row r="10" spans="1:6" ht="14.25" customHeight="1" x14ac:dyDescent="0.35">
      <c r="A10" t="s">
        <v>79</v>
      </c>
      <c r="B10" s="21">
        <f>'Selling &amp; Admin'!B9</f>
        <v>135000</v>
      </c>
      <c r="C10" s="21">
        <f>'Selling &amp; Admin'!C9</f>
        <v>155000</v>
      </c>
      <c r="D10" s="21">
        <f>'Selling &amp; Admin'!D9</f>
        <v>175000</v>
      </c>
      <c r="E10" s="18">
        <f t="shared" si="0"/>
        <v>465000</v>
      </c>
    </row>
    <row r="11" spans="1:6" ht="14.25" customHeight="1" x14ac:dyDescent="0.35">
      <c r="A11" t="s">
        <v>80</v>
      </c>
      <c r="B11" s="7">
        <v>300000</v>
      </c>
      <c r="C11" s="7">
        <v>0</v>
      </c>
      <c r="D11" s="7">
        <v>0</v>
      </c>
      <c r="E11" s="18">
        <f t="shared" si="0"/>
        <v>300000</v>
      </c>
    </row>
    <row r="12" spans="1:6" ht="14.25" customHeight="1" x14ac:dyDescent="0.35">
      <c r="A12" t="s">
        <v>81</v>
      </c>
      <c r="B12" s="7">
        <v>0</v>
      </c>
      <c r="C12" s="7">
        <v>0</v>
      </c>
      <c r="D12" s="7">
        <v>150000</v>
      </c>
      <c r="E12" s="18">
        <f t="shared" si="0"/>
        <v>150000</v>
      </c>
    </row>
    <row r="13" spans="1:6" ht="15" customHeight="1" x14ac:dyDescent="0.35">
      <c r="A13" t="s">
        <v>82</v>
      </c>
      <c r="B13" s="26">
        <f>SUM(B7:B12)</f>
        <v>1999400</v>
      </c>
      <c r="C13" s="26">
        <f>SUM(C7:C12)</f>
        <v>1976360</v>
      </c>
      <c r="D13" s="26">
        <f>SUM(D7:D12)</f>
        <v>2371160</v>
      </c>
      <c r="E13" s="26">
        <f>SUM(E7:E12)</f>
        <v>6346920</v>
      </c>
    </row>
    <row r="14" spans="1:6" ht="15" customHeight="1" x14ac:dyDescent="0.35">
      <c r="A14" t="s">
        <v>83</v>
      </c>
      <c r="B14" s="39">
        <f>B5-B13</f>
        <v>600</v>
      </c>
      <c r="C14" s="39">
        <f>C5-C13</f>
        <v>114240</v>
      </c>
      <c r="D14" s="39">
        <f>D5-D13</f>
        <v>152580</v>
      </c>
      <c r="E14" s="39">
        <f>E5-E13</f>
        <v>153080</v>
      </c>
    </row>
    <row r="15" spans="1:6" ht="14.25" customHeight="1" x14ac:dyDescent="0.35">
      <c r="A15" t="s">
        <v>84</v>
      </c>
      <c r="B15" s="24"/>
      <c r="C15" s="24"/>
      <c r="D15" s="24"/>
      <c r="E15" s="24"/>
    </row>
    <row r="16" spans="1:6" ht="14.25" customHeight="1" x14ac:dyDescent="0.35">
      <c r="A16" t="s">
        <v>85</v>
      </c>
      <c r="B16" s="18">
        <f>IF(B14&lt;50000,CEILING(50000-B14,5000),0)</f>
        <v>50000</v>
      </c>
      <c r="C16" s="18">
        <f>IF(C14&lt;50000,CEILING(50000-C14,5000),0)</f>
        <v>0</v>
      </c>
      <c r="D16" s="18">
        <f>IF(D14&lt;50000,CEILING(50000-D14,5000),0)</f>
        <v>0</v>
      </c>
      <c r="E16" s="18">
        <f>SUM(B16:D16)</f>
        <v>50000</v>
      </c>
      <c r="F16" t="s">
        <v>86</v>
      </c>
    </row>
    <row r="17" spans="1:6" ht="14.25" customHeight="1" x14ac:dyDescent="0.35">
      <c r="A17" t="s">
        <v>87</v>
      </c>
      <c r="B17" s="7">
        <v>0</v>
      </c>
      <c r="C17" s="18">
        <f>IF(C14&gt;=50000,MIN(B16-B17,FLOOR(MAX(C14-50000,0)/1.01,5000)),0)</f>
        <v>50000</v>
      </c>
      <c r="D17" s="18">
        <f>IF(D14&gt;=50000,MIN(B16-B17+C16-C17,FLOOR(MAX(D14-50000,0)/1.01,5000)),0)</f>
        <v>0</v>
      </c>
      <c r="E17" s="18">
        <f>SUM(B17:D17)</f>
        <v>50000</v>
      </c>
      <c r="F17" t="s">
        <v>88</v>
      </c>
    </row>
    <row r="18" spans="1:6" ht="14.25" customHeight="1" x14ac:dyDescent="0.35">
      <c r="A18" t="s">
        <v>89</v>
      </c>
      <c r="B18" s="18">
        <f>B17*0.01</f>
        <v>0</v>
      </c>
      <c r="C18" s="18">
        <f>C17*0.01</f>
        <v>500</v>
      </c>
      <c r="D18" s="18">
        <f>D17*0.01</f>
        <v>0</v>
      </c>
      <c r="E18" s="18">
        <f>SUM(B18:D18)</f>
        <v>500</v>
      </c>
      <c r="F18" t="s">
        <v>90</v>
      </c>
    </row>
    <row r="19" spans="1:6" ht="14.25" customHeight="1" x14ac:dyDescent="0.35">
      <c r="A19" t="s">
        <v>91</v>
      </c>
      <c r="B19" s="40">
        <f>B16-B17-B18</f>
        <v>50000</v>
      </c>
      <c r="C19" s="40">
        <f>C16-C17-C18</f>
        <v>-50500</v>
      </c>
      <c r="D19" s="40">
        <f>D16-D17-D18</f>
        <v>0</v>
      </c>
      <c r="E19" s="40">
        <f>SUM(B19:D19)</f>
        <v>-500</v>
      </c>
    </row>
    <row r="20" spans="1:6" ht="15" customHeight="1" x14ac:dyDescent="0.35">
      <c r="A20" t="s">
        <v>92</v>
      </c>
      <c r="B20" s="26">
        <f>B14+B19</f>
        <v>50600</v>
      </c>
      <c r="C20" s="26">
        <f>C14+C19</f>
        <v>63740</v>
      </c>
      <c r="D20" s="26">
        <f>D14+D19</f>
        <v>152580</v>
      </c>
      <c r="E20" s="26">
        <f>D20</f>
        <v>152580</v>
      </c>
    </row>
    <row r="21" spans="1:6" ht="15" customHeight="1" x14ac:dyDescent="0.35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zoomScaleNormal="100" workbookViewId="0">
      <selection activeCell="A2" sqref="A2"/>
    </sheetView>
  </sheetViews>
  <sheetFormatPr defaultColWidth="8.6328125" defaultRowHeight="14.5" x14ac:dyDescent="0.35"/>
  <cols>
    <col min="1" max="1" width="34.7265625" customWidth="1"/>
    <col min="2" max="2" width="13.54296875" customWidth="1"/>
  </cols>
  <sheetData>
    <row r="1" spans="1:3" ht="14.25" customHeight="1" x14ac:dyDescent="0.35">
      <c r="A1" s="23" t="s">
        <v>93</v>
      </c>
    </row>
    <row r="3" spans="1:3" ht="14.25" customHeight="1" x14ac:dyDescent="0.35">
      <c r="A3" t="s">
        <v>94</v>
      </c>
      <c r="B3" s="41">
        <f>'Sales Budget'!E5</f>
        <v>7200000</v>
      </c>
    </row>
    <row r="4" spans="1:3" ht="14.25" customHeight="1" x14ac:dyDescent="0.35">
      <c r="A4" t="s">
        <v>95</v>
      </c>
      <c r="B4" s="25">
        <f>B18</f>
        <v>5438571.4285714291</v>
      </c>
    </row>
    <row r="5" spans="1:3" ht="14.25" customHeight="1" x14ac:dyDescent="0.35">
      <c r="A5" t="s">
        <v>96</v>
      </c>
      <c r="B5" s="18">
        <f>B3-B4</f>
        <v>1761428.5714285709</v>
      </c>
    </row>
    <row r="6" spans="1:3" ht="14.25" customHeight="1" x14ac:dyDescent="0.35">
      <c r="A6" t="s">
        <v>97</v>
      </c>
      <c r="B6" s="21">
        <f>'Selling &amp; Admin'!E7</f>
        <v>540000</v>
      </c>
    </row>
    <row r="7" spans="1:3" ht="14.25" customHeight="1" x14ac:dyDescent="0.35">
      <c r="A7" t="s">
        <v>98</v>
      </c>
      <c r="B7" s="21">
        <f>'Cash Budget'!E18</f>
        <v>500</v>
      </c>
    </row>
    <row r="8" spans="1:3" ht="15" customHeight="1" x14ac:dyDescent="0.35">
      <c r="A8" t="s">
        <v>99</v>
      </c>
      <c r="B8" s="38">
        <f>B5-B6-B7</f>
        <v>1220928.5714285709</v>
      </c>
    </row>
    <row r="9" spans="1:3" ht="15" customHeight="1" x14ac:dyDescent="0.35"/>
    <row r="13" spans="1:3" ht="14.25" customHeight="1" x14ac:dyDescent="0.35">
      <c r="A13" t="s">
        <v>100</v>
      </c>
      <c r="C13" t="s">
        <v>101</v>
      </c>
    </row>
    <row r="14" spans="1:3" ht="14.25" customHeight="1" x14ac:dyDescent="0.35">
      <c r="A14" t="s">
        <v>102</v>
      </c>
      <c r="B14" s="7">
        <v>540000</v>
      </c>
      <c r="C14" t="s">
        <v>103</v>
      </c>
    </row>
    <row r="15" spans="1:3" ht="14.25" customHeight="1" x14ac:dyDescent="0.35">
      <c r="A15" t="s">
        <v>104</v>
      </c>
      <c r="B15" s="42">
        <f>Production!E7*'Mfg OH'!D21</f>
        <v>5715000.0000000009</v>
      </c>
      <c r="C15" t="s">
        <v>105</v>
      </c>
    </row>
    <row r="16" spans="1:3" ht="14.25" customHeight="1" x14ac:dyDescent="0.35">
      <c r="A16" t="s">
        <v>106</v>
      </c>
      <c r="B16" s="18">
        <f>B14+B15</f>
        <v>6255000.0000000009</v>
      </c>
    </row>
    <row r="17" spans="1:3" ht="14.25" customHeight="1" x14ac:dyDescent="0.35">
      <c r="A17" t="s">
        <v>107</v>
      </c>
      <c r="B17" s="42">
        <f>'Mfg OH'!D25</f>
        <v>816428.57142857148</v>
      </c>
      <c r="C17" t="s">
        <v>108</v>
      </c>
    </row>
    <row r="18" spans="1:3" ht="15" customHeight="1" x14ac:dyDescent="0.35">
      <c r="A18" t="s">
        <v>109</v>
      </c>
      <c r="B18" s="26">
        <f>B16-B17</f>
        <v>5438571.4285714291</v>
      </c>
      <c r="C18" t="s">
        <v>110</v>
      </c>
    </row>
    <row r="19" spans="1:3" ht="15" customHeight="1" x14ac:dyDescent="0.35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28"/>
  <sheetViews>
    <sheetView zoomScaleNormal="100" workbookViewId="0"/>
  </sheetViews>
  <sheetFormatPr defaultColWidth="8.6328125" defaultRowHeight="14.5" x14ac:dyDescent="0.35"/>
  <cols>
    <col min="1" max="1" width="41.26953125" customWidth="1"/>
    <col min="2" max="2" width="13.54296875" customWidth="1"/>
  </cols>
  <sheetData>
    <row r="2" spans="1:3" ht="14.25" customHeight="1" x14ac:dyDescent="0.35">
      <c r="A2" t="s">
        <v>111</v>
      </c>
    </row>
    <row r="3" spans="1:3" ht="14.25" customHeight="1" x14ac:dyDescent="0.35">
      <c r="A3" t="s">
        <v>112</v>
      </c>
      <c r="B3" s="41">
        <f>'Cash Budget'!D20</f>
        <v>152580</v>
      </c>
    </row>
    <row r="4" spans="1:3" ht="14.25" customHeight="1" x14ac:dyDescent="0.35">
      <c r="A4" t="s">
        <v>113</v>
      </c>
      <c r="B4" s="21">
        <f>'Cash Collections'!B18</f>
        <v>2580000</v>
      </c>
    </row>
    <row r="5" spans="1:3" ht="14.25" customHeight="1" x14ac:dyDescent="0.35">
      <c r="A5" t="s">
        <v>114</v>
      </c>
      <c r="B5" s="21">
        <f>'Direct Materials'!D6*'Cash Payments'!B16</f>
        <v>196800</v>
      </c>
      <c r="C5" t="s">
        <v>115</v>
      </c>
    </row>
    <row r="6" spans="1:3" ht="14.25" customHeight="1" x14ac:dyDescent="0.35">
      <c r="A6" t="s">
        <v>116</v>
      </c>
      <c r="B6" s="42">
        <f>'Mfg OH'!D25</f>
        <v>816428.57142857148</v>
      </c>
    </row>
    <row r="7" spans="1:3" ht="14.25" customHeight="1" x14ac:dyDescent="0.35">
      <c r="A7" t="s">
        <v>117</v>
      </c>
      <c r="B7" s="18">
        <f>SUM(B3:B6)</f>
        <v>3745808.5714285714</v>
      </c>
    </row>
    <row r="8" spans="1:3" ht="14.25" customHeight="1" x14ac:dyDescent="0.35">
      <c r="A8" t="s">
        <v>118</v>
      </c>
      <c r="B8" s="18">
        <f>B23</f>
        <v>1320000</v>
      </c>
      <c r="C8" t="s">
        <v>119</v>
      </c>
    </row>
    <row r="9" spans="1:3" ht="15" customHeight="1" x14ac:dyDescent="0.35">
      <c r="A9" s="23" t="s">
        <v>120</v>
      </c>
      <c r="B9" s="38">
        <f>B7+B8</f>
        <v>5065808.5714285709</v>
      </c>
    </row>
    <row r="10" spans="1:3" ht="15" customHeight="1" x14ac:dyDescent="0.35">
      <c r="A10" t="s">
        <v>121</v>
      </c>
      <c r="B10" s="24"/>
    </row>
    <row r="11" spans="1:3" ht="14.25" customHeight="1" x14ac:dyDescent="0.35">
      <c r="A11" t="s">
        <v>122</v>
      </c>
      <c r="B11" s="42">
        <f>'Cash Payments'!B18</f>
        <v>782880</v>
      </c>
    </row>
    <row r="12" spans="1:3" ht="14.25" customHeight="1" x14ac:dyDescent="0.35">
      <c r="A12" t="s">
        <v>123</v>
      </c>
      <c r="B12" s="18">
        <f>B11</f>
        <v>782880</v>
      </c>
    </row>
    <row r="13" spans="1:3" ht="14.25" customHeight="1" x14ac:dyDescent="0.35">
      <c r="A13" t="s">
        <v>124</v>
      </c>
      <c r="B13" s="7">
        <v>1500000</v>
      </c>
    </row>
    <row r="14" spans="1:3" ht="14.25" customHeight="1" x14ac:dyDescent="0.35">
      <c r="A14" t="s">
        <v>125</v>
      </c>
      <c r="B14" s="18">
        <f>B28</f>
        <v>2782928.5714285709</v>
      </c>
      <c r="C14" t="s">
        <v>119</v>
      </c>
    </row>
    <row r="15" spans="1:3" ht="15" customHeight="1" x14ac:dyDescent="0.35">
      <c r="A15" s="23" t="s">
        <v>126</v>
      </c>
      <c r="B15" s="38">
        <f>B12+B13+B14</f>
        <v>5065808.5714285709</v>
      </c>
    </row>
    <row r="16" spans="1:3" ht="15" customHeight="1" x14ac:dyDescent="0.35">
      <c r="A16" s="23"/>
      <c r="B16" s="43">
        <f>B15-B9</f>
        <v>0</v>
      </c>
      <c r="C16" t="s">
        <v>127</v>
      </c>
    </row>
    <row r="17" spans="1:2" ht="14.25" customHeight="1" x14ac:dyDescent="0.35">
      <c r="A17" s="23"/>
      <c r="B17" s="43"/>
    </row>
    <row r="18" spans="1:2" ht="14.25" customHeight="1" x14ac:dyDescent="0.35">
      <c r="B18" s="24"/>
    </row>
    <row r="19" spans="1:2" ht="14.25" customHeight="1" x14ac:dyDescent="0.35">
      <c r="A19" t="s">
        <v>128</v>
      </c>
      <c r="B19" s="24"/>
    </row>
    <row r="20" spans="1:2" ht="14.25" customHeight="1" x14ac:dyDescent="0.35">
      <c r="A20" t="s">
        <v>129</v>
      </c>
      <c r="B20" s="7">
        <v>1200000</v>
      </c>
    </row>
    <row r="21" spans="1:2" ht="14.25" customHeight="1" x14ac:dyDescent="0.35">
      <c r="A21" t="s">
        <v>130</v>
      </c>
      <c r="B21" s="21">
        <f>'Cash Budget'!E11</f>
        <v>300000</v>
      </c>
    </row>
    <row r="22" spans="1:2" ht="14.25" customHeight="1" x14ac:dyDescent="0.35">
      <c r="A22" t="s">
        <v>131</v>
      </c>
      <c r="B22" s="42">
        <f>'Mfg OH'!E8+'Selling &amp; Admin'!E8</f>
        <v>180000</v>
      </c>
    </row>
    <row r="23" spans="1:2" ht="14.25" customHeight="1" x14ac:dyDescent="0.35">
      <c r="B23" s="18">
        <f>B20+B21-B22</f>
        <v>1320000</v>
      </c>
    </row>
    <row r="24" spans="1:2" ht="14.25" customHeight="1" x14ac:dyDescent="0.35">
      <c r="B24" s="24"/>
    </row>
    <row r="25" spans="1:2" ht="14.25" customHeight="1" x14ac:dyDescent="0.35">
      <c r="A25" t="s">
        <v>132</v>
      </c>
      <c r="B25" s="7">
        <v>1712000</v>
      </c>
    </row>
    <row r="26" spans="1:2" ht="14.25" customHeight="1" x14ac:dyDescent="0.35">
      <c r="A26" t="s">
        <v>133</v>
      </c>
      <c r="B26" s="21">
        <f>'Income Statement'!B8</f>
        <v>1220928.5714285709</v>
      </c>
    </row>
    <row r="27" spans="1:2" ht="14.25" customHeight="1" x14ac:dyDescent="0.35">
      <c r="A27" t="s">
        <v>134</v>
      </c>
      <c r="B27" s="42">
        <f>'Cash Budget'!E12</f>
        <v>150000</v>
      </c>
    </row>
    <row r="28" spans="1:2" ht="14.25" customHeight="1" x14ac:dyDescent="0.35">
      <c r="A28" t="s">
        <v>135</v>
      </c>
      <c r="B28" s="18">
        <f>B25+B26-B27</f>
        <v>2782928.5714285709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 Budget</vt:lpstr>
      <vt:lpstr>Cash Collections</vt:lpstr>
      <vt:lpstr>Production</vt:lpstr>
      <vt:lpstr>Direct Materials</vt:lpstr>
      <vt:lpstr>Cash Payments</vt:lpstr>
      <vt:lpstr>Direct Labor</vt:lpstr>
      <vt:lpstr>Mfg OH</vt:lpstr>
      <vt:lpstr>Selling &amp; Admin</vt:lpstr>
      <vt:lpstr>Cash Budget</vt:lpstr>
      <vt:lpstr>Income Statement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2026-08-10T05:42:45Z</dcterms:created>
  <dcterms:modified xsi:type="dcterms:W3CDTF">2026-10-23T17:22:40Z</dcterms:modified>
  <dc:language>en-US</dc:language>
</cp:coreProperties>
</file>