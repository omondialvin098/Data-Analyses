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425696-1686-46D2-AC99-9DDE065E0EE6}" xr6:coauthVersionLast="47" xr6:coauthVersionMax="47" xr10:uidLastSave="{00000000-0000-0000-0000-000000000000}"/>
  <bookViews>
    <workbookView xWindow="-110" yWindow="-110" windowWidth="19420" windowHeight="11020" tabRatio="500" firstSheet="9" activeTab="12" xr2:uid="{00000000-000D-0000-FFFF-FFFF00000000}"/>
  </bookViews>
  <sheets>
    <sheet name="Raw_Data" sheetId="1" r:id="rId1"/>
    <sheet name="Clean_1_Numeric" sheetId="2" r:id="rId2"/>
    <sheet name="Clean_2_Features" sheetId="3" r:id="rId3"/>
    <sheet name="Model_Data" sheetId="4" r:id="rId4"/>
    <sheet name="Settings" sheetId="5" r:id="rId5"/>
    <sheet name="Data_Quality" sheetId="6" r:id="rId6"/>
    <sheet name="Descriptive_Stats" sheetId="7" r:id="rId7"/>
    <sheet name="Correlation" sheetId="8" r:id="rId8"/>
    <sheet name="Group_Analysis" sheetId="9" r:id="rId9"/>
    <sheet name="Regression" sheetId="10" r:id="rId10"/>
    <sheet name="Sleep_Predictor" sheetId="11" r:id="rId11"/>
    <sheet name="Dashboard" sheetId="12" r:id="rId12"/>
    <sheet name="Dash_Calc" sheetId="13" r:id="rId13"/>
  </sheets>
  <definedNames>
    <definedName name="_xlnm._FilterDatabase" localSheetId="0" hidden="1">Raw_Data!$A$1:$H$63</definedName>
    <definedName name="alpha">Settings!$B$14</definedName>
    <definedName name="danger_lbl">Settings!$C$29:$C$31</definedName>
    <definedName name="danger_lo">Settings!$B$29:$B$31</definedName>
    <definedName name="dc_danger">Dash_Calc!$B$4</definedName>
    <definedName name="dc_expo">Dash_Calc!$B$6</definedName>
    <definedName name="dc_pred">Dash_Calc!$B$5</definedName>
    <definedName name="dc_size">Dash_Calc!$B$7</definedName>
    <definedName name="g_danger">Clean_2_Features!$I$2:$I$63</definedName>
    <definedName name="g_size">Clean_2_Features!$H$2:$H$63</definedName>
    <definedName name="g_sleep">Clean_2_Features!$G$2:$G$63</definedName>
    <definedName name="grand_mean">Group_Analysis!$B$5</definedName>
    <definedName name="grp_n">Group_Analysis!$B$4</definedName>
    <definedName name="kf_delta">Dash_Calc!$B$12</definedName>
    <definedName name="kf_gest">Dash_Calc!$B$14</definedName>
    <definedName name="kf_life">Dash_Calc!$B$15</definedName>
    <definedName name="kf_n">Dash_Calc!$B$10</definedName>
    <definedName name="kf_short">Dash_Calc!$B$13</definedName>
    <definedName name="kf_sleep">Dash_Calc!$B$11</definedName>
    <definedName name="l_body">Clean_2_Features!$B$2:$B$63</definedName>
    <definedName name="l_brain">Clean_2_Features!$C$2:$C$63</definedName>
    <definedName name="l_gest">Clean_2_Features!$E$2:$E$63</definedName>
    <definedName name="l_life">Clean_2_Features!$D$2:$D$63</definedName>
    <definedName name="lim_brain_max">Settings!$B$8</definedName>
    <definedName name="lim_gest_max">Settings!$B$10</definedName>
    <definedName name="lim_idx_max">Settings!$B$12</definedName>
    <definedName name="lim_idx_min">Settings!$B$11</definedName>
    <definedName name="lim_life_max">Settings!$B$9</definedName>
    <definedName name="lim_sleep_max">Settings!$B$13</definedName>
    <definedName name="lim_w_max">Settings!$B$7</definedName>
    <definedName name="lim_w_min">Settings!$B$6</definedName>
    <definedName name="list_danger">Settings!$F$5:$F$10</definedName>
    <definedName name="list_expo">Settings!$H$5:$H$10</definedName>
    <definedName name="list_pred">Settings!$G$5:$G$10</definedName>
    <definedName name="list_size">Settings!$I$5:$I$9</definedName>
    <definedName name="m_adjr2">Regression!$B$10</definedName>
    <definedName name="m_coef">Regression!$B$23:$E$23</definedName>
    <definedName name="m_df">Regression!$B$8</definedName>
    <definedName name="m_F">Regression!$B$7</definedName>
    <definedName name="m_intercept">Regression!$B$24</definedName>
    <definedName name="m_n">Regression!$B$9</definedName>
    <definedName name="m_pF">Regression!$B$11</definedName>
    <definedName name="m_r2">Regression!$B$5</definedName>
    <definedName name="m_sdy">Regression!$B$12</definedName>
    <definedName name="m_se">Regression!$B$6</definedName>
    <definedName name="md_pred">Model_Data!$H$2:$H$52</definedName>
    <definedName name="md_res">Model_Data!$I$2:$I$52</definedName>
    <definedName name="md_X">Model_Data!$D$2:$G$52</definedName>
    <definedName name="md_y">Model_Data!$C$2:$C$52</definedName>
    <definedName name="p_d">Sleep_Predictor!$B$8</definedName>
    <definedName name="p_g">Sleep_Predictor!$B$7</definedName>
    <definedName name="p_l">Sleep_Predictor!$B$6</definedName>
    <definedName name="p_w">Sleep_Predictor!$B$5</definedName>
    <definedName name="raw_body_weight">Raw_Data!$A$2:$A$63</definedName>
    <definedName name="raw_brain_weight">Raw_Data!$B$2:$B$63</definedName>
    <definedName name="raw_danger_index">Raw_Data!$G$2:$G$63</definedName>
    <definedName name="raw_gestation_time">Raw_Data!$D$2:$D$63</definedName>
    <definedName name="raw_max_life_span">Raw_Data!$C$2:$C$63</definedName>
    <definedName name="raw_predation_index">Raw_Data!$E$2:$E$63</definedName>
    <definedName name="raw_sleep_exposure_index">Raw_Data!$F$2:$F$63</definedName>
    <definedName name="raw_total_sleep">Raw_Data!$H$2:$H$63</definedName>
    <definedName name="s_body">Clean_1_Numeric!$B$2:$B$63</definedName>
    <definedName name="s_brain">Clean_1_Numeric!$C$2:$C$63</definedName>
    <definedName name="s_complete">Clean_1_Numeric!$N$2:$N$63</definedName>
    <definedName name="s_danger">Clean_1_Numeric!$H$2:$H$63</definedName>
    <definedName name="s_expo">Clean_1_Numeric!$G$2:$G$63</definedName>
    <definedName name="s_gest">Clean_1_Numeric!$E$2:$E$63</definedName>
    <definedName name="s_hassleep">Clean_1_Numeric!$M$2:$M$63</definedName>
    <definedName name="s_life">Clean_1_Numeric!$D$2:$D$63</definedName>
    <definedName name="s_missing">Clean_1_Numeric!$J$2:$J$63</definedName>
    <definedName name="s_placeholders">Clean_1_Numeric!$K$2:$K$63</definedName>
    <definedName name="s_pred">Clean_1_Numeric!$F$2:$F$63</definedName>
    <definedName name="s_rangeok">Clean_1_Numeric!$O$2:$O$63</definedName>
    <definedName name="s_sleep">Clean_1_Numeric!$I$2:$I$63</definedName>
    <definedName name="size_lbl">Settings!$C$23:$C$26</definedName>
    <definedName name="size_lo">Settings!$B$23:$B$26</definedName>
    <definedName name="sleep_lbl">Settings!$C$18:$C$20</definedName>
    <definedName name="sleep_lo">Settings!$B$18:$B$20</definedName>
    <definedName name="thr_m">Correlation!$G$3</definedName>
    <definedName name="thr_s">Correlation!$E$3</definedName>
    <definedName name="thr_vs">Correlation!$C$3</definedName>
    <definedName name="thr_w">Correlation!$I$3</definedName>
    <definedName name="x_complete">Clean_2_Features!$L$2:$L$63</definedName>
    <definedName name="x_inc">Clean_2_Features!$K$2:$K$63</definedName>
    <definedName name="x_ratio">Clean_2_Features!$F$2:$F$63</definedName>
    <definedName name="x_seq">Clean_2_Features!$M$2:$M$63</definedName>
    <definedName name="x_sleepsq">Clean_2_Features!$J$2:$J$63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5" l="1"/>
  <c r="C19" i="5"/>
  <c r="C20" i="5"/>
  <c r="C23" i="5"/>
  <c r="I6" i="5" s="1"/>
  <c r="C24" i="5"/>
  <c r="I7" i="5" s="1"/>
  <c r="C25" i="5"/>
  <c r="I8" i="5" s="1"/>
  <c r="C26" i="5"/>
  <c r="I9" i="5" s="1"/>
  <c r="C29" i="5"/>
  <c r="C30" i="5"/>
  <c r="C31" i="5"/>
  <c r="B7" i="13"/>
  <c r="B6" i="13"/>
  <c r="B5" i="13"/>
  <c r="B4" i="13"/>
  <c r="C17" i="6"/>
  <c r="F13" i="6"/>
  <c r="F12" i="6"/>
  <c r="F11" i="6"/>
  <c r="F10" i="6"/>
  <c r="F9" i="6"/>
  <c r="F8" i="6"/>
  <c r="F7" i="6"/>
  <c r="F6" i="6"/>
  <c r="A75" i="9"/>
  <c r="A74" i="9"/>
  <c r="A73" i="9"/>
  <c r="A57" i="13"/>
  <c r="B57" i="13" s="1"/>
  <c r="A56" i="13"/>
  <c r="B56" i="13" s="1"/>
  <c r="A55" i="13"/>
  <c r="B55" i="13" s="1"/>
  <c r="K63" i="2"/>
  <c r="I63" i="2"/>
  <c r="H63" i="2"/>
  <c r="I63" i="3" s="1"/>
  <c r="G63" i="2"/>
  <c r="F63" i="2"/>
  <c r="E63" i="2"/>
  <c r="E63" i="3" s="1"/>
  <c r="D63" i="2"/>
  <c r="D63" i="3" s="1"/>
  <c r="C63" i="2"/>
  <c r="C63" i="3" s="1"/>
  <c r="B63" i="2"/>
  <c r="A63" i="2"/>
  <c r="A63" i="3" s="1"/>
  <c r="K62" i="2"/>
  <c r="I62" i="2"/>
  <c r="H62" i="2"/>
  <c r="I62" i="3" s="1"/>
  <c r="G62" i="2"/>
  <c r="F62" i="2"/>
  <c r="E62" i="2"/>
  <c r="E62" i="3" s="1"/>
  <c r="D62" i="2"/>
  <c r="D62" i="3" s="1"/>
  <c r="C62" i="2"/>
  <c r="C62" i="3" s="1"/>
  <c r="B62" i="2"/>
  <c r="A62" i="2"/>
  <c r="A62" i="3" s="1"/>
  <c r="K61" i="2"/>
  <c r="I61" i="2"/>
  <c r="H61" i="2"/>
  <c r="I61" i="3" s="1"/>
  <c r="G61" i="2"/>
  <c r="F61" i="2"/>
  <c r="E61" i="2"/>
  <c r="E61" i="3" s="1"/>
  <c r="D61" i="2"/>
  <c r="D61" i="3" s="1"/>
  <c r="C61" i="2"/>
  <c r="C61" i="3" s="1"/>
  <c r="B61" i="2"/>
  <c r="A61" i="2"/>
  <c r="A61" i="3" s="1"/>
  <c r="K60" i="2"/>
  <c r="I60" i="2"/>
  <c r="H60" i="2"/>
  <c r="I60" i="3" s="1"/>
  <c r="G60" i="2"/>
  <c r="F60" i="2"/>
  <c r="E60" i="2"/>
  <c r="E60" i="3" s="1"/>
  <c r="D60" i="2"/>
  <c r="D60" i="3" s="1"/>
  <c r="C60" i="2"/>
  <c r="C60" i="3" s="1"/>
  <c r="B60" i="2"/>
  <c r="A60" i="2"/>
  <c r="A60" i="3" s="1"/>
  <c r="K59" i="2"/>
  <c r="I59" i="2"/>
  <c r="H59" i="2"/>
  <c r="I59" i="3" s="1"/>
  <c r="G59" i="2"/>
  <c r="F59" i="2"/>
  <c r="E59" i="2"/>
  <c r="E59" i="3" s="1"/>
  <c r="D59" i="2"/>
  <c r="D59" i="3" s="1"/>
  <c r="C59" i="2"/>
  <c r="C59" i="3" s="1"/>
  <c r="B59" i="2"/>
  <c r="A59" i="2"/>
  <c r="A59" i="3" s="1"/>
  <c r="K58" i="2"/>
  <c r="I58" i="2"/>
  <c r="H58" i="2"/>
  <c r="I58" i="3" s="1"/>
  <c r="G58" i="2"/>
  <c r="F58" i="2"/>
  <c r="E58" i="2"/>
  <c r="E58" i="3" s="1"/>
  <c r="D58" i="2"/>
  <c r="D58" i="3" s="1"/>
  <c r="C58" i="2"/>
  <c r="C58" i="3" s="1"/>
  <c r="B58" i="2"/>
  <c r="A58" i="2"/>
  <c r="A58" i="3" s="1"/>
  <c r="K57" i="2"/>
  <c r="I57" i="2"/>
  <c r="H57" i="2"/>
  <c r="I57" i="3" s="1"/>
  <c r="G57" i="2"/>
  <c r="F57" i="2"/>
  <c r="E57" i="2"/>
  <c r="E57" i="3" s="1"/>
  <c r="D57" i="2"/>
  <c r="D57" i="3" s="1"/>
  <c r="C57" i="2"/>
  <c r="C57" i="3" s="1"/>
  <c r="B57" i="2"/>
  <c r="A57" i="2"/>
  <c r="A57" i="3" s="1"/>
  <c r="K56" i="2"/>
  <c r="I56" i="2"/>
  <c r="H56" i="2"/>
  <c r="I56" i="3" s="1"/>
  <c r="G56" i="2"/>
  <c r="F56" i="2"/>
  <c r="E56" i="2"/>
  <c r="E56" i="3" s="1"/>
  <c r="D56" i="2"/>
  <c r="D56" i="3" s="1"/>
  <c r="C56" i="2"/>
  <c r="C56" i="3" s="1"/>
  <c r="B56" i="2"/>
  <c r="A56" i="2"/>
  <c r="A56" i="3" s="1"/>
  <c r="K55" i="2"/>
  <c r="I55" i="2"/>
  <c r="H55" i="2"/>
  <c r="I55" i="3" s="1"/>
  <c r="G55" i="2"/>
  <c r="F55" i="2"/>
  <c r="E55" i="2"/>
  <c r="E55" i="3" s="1"/>
  <c r="D55" i="2"/>
  <c r="D55" i="3" s="1"/>
  <c r="C55" i="2"/>
  <c r="C55" i="3" s="1"/>
  <c r="B55" i="2"/>
  <c r="A55" i="2"/>
  <c r="A55" i="3" s="1"/>
  <c r="K54" i="2"/>
  <c r="I54" i="2"/>
  <c r="H54" i="2"/>
  <c r="I54" i="3" s="1"/>
  <c r="G54" i="2"/>
  <c r="F54" i="2"/>
  <c r="E54" i="2"/>
  <c r="E54" i="3" s="1"/>
  <c r="D54" i="2"/>
  <c r="D54" i="3" s="1"/>
  <c r="C54" i="2"/>
  <c r="C54" i="3" s="1"/>
  <c r="B54" i="2"/>
  <c r="A54" i="2"/>
  <c r="A54" i="3" s="1"/>
  <c r="K53" i="2"/>
  <c r="I53" i="2"/>
  <c r="H53" i="2"/>
  <c r="I53" i="3" s="1"/>
  <c r="G53" i="2"/>
  <c r="F53" i="2"/>
  <c r="E53" i="2"/>
  <c r="E53" i="3" s="1"/>
  <c r="D53" i="2"/>
  <c r="D53" i="3" s="1"/>
  <c r="C53" i="2"/>
  <c r="C53" i="3" s="1"/>
  <c r="B53" i="2"/>
  <c r="A53" i="2"/>
  <c r="A53" i="3" s="1"/>
  <c r="K52" i="2"/>
  <c r="I52" i="2"/>
  <c r="H52" i="2"/>
  <c r="I52" i="3" s="1"/>
  <c r="G52" i="2"/>
  <c r="F52" i="2"/>
  <c r="E52" i="2"/>
  <c r="E52" i="3" s="1"/>
  <c r="D52" i="2"/>
  <c r="D52" i="3" s="1"/>
  <c r="C52" i="2"/>
  <c r="C52" i="3" s="1"/>
  <c r="B52" i="2"/>
  <c r="A52" i="2"/>
  <c r="A52" i="3" s="1"/>
  <c r="K51" i="2"/>
  <c r="I51" i="2"/>
  <c r="H51" i="2"/>
  <c r="I51" i="3" s="1"/>
  <c r="G51" i="2"/>
  <c r="F51" i="2"/>
  <c r="E51" i="2"/>
  <c r="E51" i="3" s="1"/>
  <c r="D51" i="2"/>
  <c r="D51" i="3" s="1"/>
  <c r="C51" i="2"/>
  <c r="C51" i="3" s="1"/>
  <c r="B51" i="2"/>
  <c r="A51" i="2"/>
  <c r="A51" i="3" s="1"/>
  <c r="K50" i="2"/>
  <c r="I50" i="2"/>
  <c r="H50" i="2"/>
  <c r="I50" i="3" s="1"/>
  <c r="G50" i="2"/>
  <c r="F50" i="2"/>
  <c r="E50" i="2"/>
  <c r="E50" i="3" s="1"/>
  <c r="D50" i="2"/>
  <c r="D50" i="3" s="1"/>
  <c r="C50" i="2"/>
  <c r="C50" i="3" s="1"/>
  <c r="B50" i="2"/>
  <c r="A50" i="2"/>
  <c r="A50" i="3" s="1"/>
  <c r="K49" i="2"/>
  <c r="I49" i="2"/>
  <c r="H49" i="2"/>
  <c r="I49" i="3" s="1"/>
  <c r="G49" i="2"/>
  <c r="F49" i="2"/>
  <c r="E49" i="2"/>
  <c r="E49" i="3" s="1"/>
  <c r="D49" i="2"/>
  <c r="D49" i="3" s="1"/>
  <c r="C49" i="2"/>
  <c r="C49" i="3" s="1"/>
  <c r="B49" i="2"/>
  <c r="A49" i="2"/>
  <c r="A49" i="3" s="1"/>
  <c r="K48" i="2"/>
  <c r="I48" i="2"/>
  <c r="H48" i="2"/>
  <c r="I48" i="3" s="1"/>
  <c r="G48" i="2"/>
  <c r="F48" i="2"/>
  <c r="E48" i="2"/>
  <c r="E48" i="3" s="1"/>
  <c r="D48" i="2"/>
  <c r="D48" i="3" s="1"/>
  <c r="C48" i="2"/>
  <c r="C48" i="3" s="1"/>
  <c r="B48" i="2"/>
  <c r="A48" i="2"/>
  <c r="A48" i="3" s="1"/>
  <c r="K47" i="2"/>
  <c r="I47" i="2"/>
  <c r="H47" i="2"/>
  <c r="I47" i="3" s="1"/>
  <c r="G47" i="2"/>
  <c r="F47" i="2"/>
  <c r="E47" i="2"/>
  <c r="E47" i="3" s="1"/>
  <c r="D47" i="2"/>
  <c r="D47" i="3" s="1"/>
  <c r="C47" i="2"/>
  <c r="C47" i="3" s="1"/>
  <c r="B47" i="2"/>
  <c r="A47" i="2"/>
  <c r="A47" i="3" s="1"/>
  <c r="K46" i="2"/>
  <c r="I46" i="2"/>
  <c r="H46" i="2"/>
  <c r="I46" i="3" s="1"/>
  <c r="G46" i="2"/>
  <c r="F46" i="2"/>
  <c r="E46" i="2"/>
  <c r="E46" i="3" s="1"/>
  <c r="D46" i="2"/>
  <c r="D46" i="3" s="1"/>
  <c r="C46" i="2"/>
  <c r="C46" i="3" s="1"/>
  <c r="B46" i="2"/>
  <c r="A46" i="2"/>
  <c r="A46" i="3" s="1"/>
  <c r="K45" i="2"/>
  <c r="I45" i="2"/>
  <c r="H45" i="2"/>
  <c r="I45" i="3" s="1"/>
  <c r="G45" i="2"/>
  <c r="F45" i="2"/>
  <c r="E45" i="2"/>
  <c r="E45" i="3" s="1"/>
  <c r="D45" i="2"/>
  <c r="D45" i="3" s="1"/>
  <c r="C45" i="2"/>
  <c r="C45" i="3" s="1"/>
  <c r="B45" i="2"/>
  <c r="A45" i="2"/>
  <c r="A45" i="3" s="1"/>
  <c r="K44" i="2"/>
  <c r="I44" i="2"/>
  <c r="H44" i="2"/>
  <c r="I44" i="3" s="1"/>
  <c r="G44" i="2"/>
  <c r="F44" i="2"/>
  <c r="E44" i="2"/>
  <c r="E44" i="3" s="1"/>
  <c r="D44" i="2"/>
  <c r="D44" i="3" s="1"/>
  <c r="C44" i="2"/>
  <c r="C44" i="3" s="1"/>
  <c r="B44" i="2"/>
  <c r="A44" i="2"/>
  <c r="A44" i="3" s="1"/>
  <c r="K43" i="2"/>
  <c r="I43" i="2"/>
  <c r="H43" i="2"/>
  <c r="I43" i="3" s="1"/>
  <c r="G43" i="2"/>
  <c r="F43" i="2"/>
  <c r="E43" i="2"/>
  <c r="E43" i="3" s="1"/>
  <c r="D43" i="2"/>
  <c r="D43" i="3" s="1"/>
  <c r="C43" i="2"/>
  <c r="C43" i="3" s="1"/>
  <c r="B43" i="2"/>
  <c r="A43" i="2"/>
  <c r="A43" i="3" s="1"/>
  <c r="K42" i="2"/>
  <c r="I42" i="2"/>
  <c r="H42" i="2"/>
  <c r="I42" i="3" s="1"/>
  <c r="G42" i="2"/>
  <c r="F42" i="2"/>
  <c r="E42" i="2"/>
  <c r="E42" i="3" s="1"/>
  <c r="D42" i="2"/>
  <c r="D42" i="3" s="1"/>
  <c r="C42" i="2"/>
  <c r="C42" i="3" s="1"/>
  <c r="B42" i="2"/>
  <c r="A42" i="2"/>
  <c r="A42" i="3" s="1"/>
  <c r="K41" i="2"/>
  <c r="I41" i="2"/>
  <c r="H41" i="2"/>
  <c r="I41" i="3" s="1"/>
  <c r="G41" i="2"/>
  <c r="F41" i="2"/>
  <c r="E41" i="2"/>
  <c r="E41" i="3" s="1"/>
  <c r="D41" i="2"/>
  <c r="D41" i="3" s="1"/>
  <c r="C41" i="2"/>
  <c r="C41" i="3" s="1"/>
  <c r="B41" i="2"/>
  <c r="A41" i="2"/>
  <c r="A41" i="3" s="1"/>
  <c r="K40" i="2"/>
  <c r="I40" i="2"/>
  <c r="H40" i="2"/>
  <c r="I40" i="3" s="1"/>
  <c r="G40" i="2"/>
  <c r="F40" i="2"/>
  <c r="E40" i="2"/>
  <c r="E40" i="3" s="1"/>
  <c r="D40" i="2"/>
  <c r="D40" i="3" s="1"/>
  <c r="C40" i="2"/>
  <c r="C40" i="3" s="1"/>
  <c r="B40" i="2"/>
  <c r="A40" i="2"/>
  <c r="A40" i="3" s="1"/>
  <c r="K39" i="2"/>
  <c r="I39" i="2"/>
  <c r="H39" i="2"/>
  <c r="I39" i="3" s="1"/>
  <c r="G39" i="2"/>
  <c r="F39" i="2"/>
  <c r="E39" i="2"/>
  <c r="E39" i="3" s="1"/>
  <c r="D39" i="2"/>
  <c r="D39" i="3" s="1"/>
  <c r="C39" i="2"/>
  <c r="C39" i="3" s="1"/>
  <c r="B39" i="2"/>
  <c r="A39" i="2"/>
  <c r="A39" i="3" s="1"/>
  <c r="K38" i="2"/>
  <c r="I38" i="2"/>
  <c r="H38" i="2"/>
  <c r="I38" i="3" s="1"/>
  <c r="G38" i="2"/>
  <c r="F38" i="2"/>
  <c r="E38" i="2"/>
  <c r="E38" i="3" s="1"/>
  <c r="D38" i="2"/>
  <c r="D38" i="3" s="1"/>
  <c r="C38" i="2"/>
  <c r="C38" i="3" s="1"/>
  <c r="B38" i="2"/>
  <c r="A38" i="2"/>
  <c r="A38" i="3" s="1"/>
  <c r="K37" i="2"/>
  <c r="I37" i="2"/>
  <c r="H37" i="2"/>
  <c r="I37" i="3" s="1"/>
  <c r="G37" i="2"/>
  <c r="F37" i="2"/>
  <c r="E37" i="2"/>
  <c r="E37" i="3" s="1"/>
  <c r="D37" i="2"/>
  <c r="D37" i="3" s="1"/>
  <c r="C37" i="2"/>
  <c r="C37" i="3" s="1"/>
  <c r="B37" i="2"/>
  <c r="A37" i="2"/>
  <c r="A37" i="3" s="1"/>
  <c r="K36" i="2"/>
  <c r="I36" i="2"/>
  <c r="H36" i="2"/>
  <c r="I36" i="3" s="1"/>
  <c r="G36" i="2"/>
  <c r="F36" i="2"/>
  <c r="E36" i="2"/>
  <c r="E36" i="3" s="1"/>
  <c r="D36" i="2"/>
  <c r="D36" i="3" s="1"/>
  <c r="C36" i="2"/>
  <c r="C36" i="3" s="1"/>
  <c r="B36" i="2"/>
  <c r="A36" i="2"/>
  <c r="A36" i="3" s="1"/>
  <c r="K35" i="2"/>
  <c r="I35" i="2"/>
  <c r="H35" i="2"/>
  <c r="I35" i="3" s="1"/>
  <c r="G35" i="2"/>
  <c r="F35" i="2"/>
  <c r="E35" i="2"/>
  <c r="E35" i="3" s="1"/>
  <c r="D35" i="2"/>
  <c r="D35" i="3" s="1"/>
  <c r="C35" i="2"/>
  <c r="C35" i="3" s="1"/>
  <c r="B35" i="2"/>
  <c r="A35" i="2"/>
  <c r="A35" i="3" s="1"/>
  <c r="K34" i="2"/>
  <c r="I34" i="2"/>
  <c r="H34" i="2"/>
  <c r="G34" i="2"/>
  <c r="F34" i="2"/>
  <c r="E34" i="2"/>
  <c r="E34" i="3" s="1"/>
  <c r="D34" i="2"/>
  <c r="D34" i="3" s="1"/>
  <c r="C34" i="2"/>
  <c r="C34" i="3" s="1"/>
  <c r="B34" i="2"/>
  <c r="A34" i="2"/>
  <c r="A34" i="3" s="1"/>
  <c r="K33" i="2"/>
  <c r="I33" i="2"/>
  <c r="H33" i="2"/>
  <c r="G33" i="2"/>
  <c r="F33" i="2"/>
  <c r="E33" i="2"/>
  <c r="E33" i="3" s="1"/>
  <c r="D33" i="2"/>
  <c r="D33" i="3" s="1"/>
  <c r="C33" i="2"/>
  <c r="C33" i="3" s="1"/>
  <c r="B33" i="2"/>
  <c r="A33" i="2"/>
  <c r="A33" i="3" s="1"/>
  <c r="K32" i="2"/>
  <c r="I32" i="2"/>
  <c r="H32" i="2"/>
  <c r="G32" i="2"/>
  <c r="F32" i="2"/>
  <c r="E32" i="2"/>
  <c r="E32" i="3" s="1"/>
  <c r="D32" i="2"/>
  <c r="D32" i="3" s="1"/>
  <c r="C32" i="2"/>
  <c r="C32" i="3" s="1"/>
  <c r="B32" i="2"/>
  <c r="A32" i="2"/>
  <c r="A32" i="3" s="1"/>
  <c r="K31" i="2"/>
  <c r="I31" i="2"/>
  <c r="H31" i="2"/>
  <c r="G31" i="2"/>
  <c r="F31" i="2"/>
  <c r="E31" i="2"/>
  <c r="E31" i="3" s="1"/>
  <c r="D31" i="2"/>
  <c r="D31" i="3" s="1"/>
  <c r="C31" i="2"/>
  <c r="C31" i="3" s="1"/>
  <c r="B31" i="2"/>
  <c r="A31" i="2"/>
  <c r="A31" i="3" s="1"/>
  <c r="K30" i="2"/>
  <c r="I30" i="2"/>
  <c r="H30" i="2"/>
  <c r="G30" i="2"/>
  <c r="F30" i="2"/>
  <c r="E30" i="2"/>
  <c r="E30" i="3" s="1"/>
  <c r="D30" i="2"/>
  <c r="D30" i="3" s="1"/>
  <c r="C30" i="2"/>
  <c r="C30" i="3" s="1"/>
  <c r="B30" i="2"/>
  <c r="A30" i="2"/>
  <c r="A30" i="3" s="1"/>
  <c r="K29" i="2"/>
  <c r="I29" i="2"/>
  <c r="H29" i="2"/>
  <c r="G29" i="2"/>
  <c r="F29" i="2"/>
  <c r="E29" i="2"/>
  <c r="E29" i="3" s="1"/>
  <c r="D29" i="2"/>
  <c r="D29" i="3" s="1"/>
  <c r="C29" i="2"/>
  <c r="C29" i="3" s="1"/>
  <c r="B29" i="2"/>
  <c r="A29" i="2"/>
  <c r="A29" i="3" s="1"/>
  <c r="K28" i="2"/>
  <c r="I28" i="2"/>
  <c r="H28" i="2"/>
  <c r="I28" i="3" s="1"/>
  <c r="G28" i="2"/>
  <c r="F28" i="2"/>
  <c r="E28" i="2"/>
  <c r="E28" i="3" s="1"/>
  <c r="D28" i="2"/>
  <c r="D28" i="3" s="1"/>
  <c r="C28" i="2"/>
  <c r="C28" i="3" s="1"/>
  <c r="B28" i="2"/>
  <c r="A28" i="2"/>
  <c r="A28" i="3" s="1"/>
  <c r="K27" i="2"/>
  <c r="I27" i="2"/>
  <c r="H27" i="2"/>
  <c r="I27" i="3" s="1"/>
  <c r="G27" i="2"/>
  <c r="F27" i="2"/>
  <c r="E27" i="2"/>
  <c r="E27" i="3" s="1"/>
  <c r="D27" i="2"/>
  <c r="D27" i="3" s="1"/>
  <c r="C27" i="2"/>
  <c r="C27" i="3" s="1"/>
  <c r="B27" i="2"/>
  <c r="A27" i="2"/>
  <c r="A27" i="3" s="1"/>
  <c r="K26" i="2"/>
  <c r="I26" i="2"/>
  <c r="H26" i="2"/>
  <c r="I26" i="3" s="1"/>
  <c r="G26" i="2"/>
  <c r="F26" i="2"/>
  <c r="E26" i="2"/>
  <c r="E26" i="3" s="1"/>
  <c r="D26" i="2"/>
  <c r="D26" i="3" s="1"/>
  <c r="C26" i="2"/>
  <c r="C26" i="3" s="1"/>
  <c r="B26" i="2"/>
  <c r="A26" i="2"/>
  <c r="A26" i="3" s="1"/>
  <c r="K25" i="2"/>
  <c r="I25" i="2"/>
  <c r="H25" i="2"/>
  <c r="I25" i="3" s="1"/>
  <c r="G25" i="2"/>
  <c r="F25" i="2"/>
  <c r="E25" i="2"/>
  <c r="E25" i="3" s="1"/>
  <c r="D25" i="2"/>
  <c r="D25" i="3" s="1"/>
  <c r="C25" i="2"/>
  <c r="C25" i="3" s="1"/>
  <c r="B25" i="2"/>
  <c r="A25" i="2"/>
  <c r="A25" i="3" s="1"/>
  <c r="K24" i="2"/>
  <c r="I24" i="2"/>
  <c r="H24" i="2"/>
  <c r="I24" i="3" s="1"/>
  <c r="G24" i="2"/>
  <c r="F24" i="2"/>
  <c r="E24" i="2"/>
  <c r="E24" i="3" s="1"/>
  <c r="D24" i="2"/>
  <c r="D24" i="3" s="1"/>
  <c r="C24" i="2"/>
  <c r="C24" i="3" s="1"/>
  <c r="B24" i="2"/>
  <c r="A24" i="2"/>
  <c r="A24" i="3" s="1"/>
  <c r="K23" i="2"/>
  <c r="I23" i="2"/>
  <c r="H23" i="2"/>
  <c r="I23" i="3" s="1"/>
  <c r="G23" i="2"/>
  <c r="F23" i="2"/>
  <c r="E23" i="2"/>
  <c r="E23" i="3" s="1"/>
  <c r="D23" i="2"/>
  <c r="D23" i="3" s="1"/>
  <c r="C23" i="2"/>
  <c r="C23" i="3" s="1"/>
  <c r="B23" i="2"/>
  <c r="A23" i="2"/>
  <c r="A23" i="3" s="1"/>
  <c r="K22" i="2"/>
  <c r="I22" i="2"/>
  <c r="H22" i="2"/>
  <c r="I22" i="3" s="1"/>
  <c r="G22" i="2"/>
  <c r="F22" i="2"/>
  <c r="E22" i="2"/>
  <c r="E22" i="3" s="1"/>
  <c r="D22" i="2"/>
  <c r="D22" i="3" s="1"/>
  <c r="C22" i="2"/>
  <c r="C22" i="3" s="1"/>
  <c r="B22" i="2"/>
  <c r="A22" i="2"/>
  <c r="A22" i="3" s="1"/>
  <c r="K21" i="2"/>
  <c r="I21" i="2"/>
  <c r="H21" i="2"/>
  <c r="I21" i="3" s="1"/>
  <c r="G21" i="2"/>
  <c r="F21" i="2"/>
  <c r="E21" i="2"/>
  <c r="E21" i="3" s="1"/>
  <c r="D21" i="2"/>
  <c r="D21" i="3" s="1"/>
  <c r="C21" i="2"/>
  <c r="C21" i="3" s="1"/>
  <c r="B21" i="2"/>
  <c r="A21" i="2"/>
  <c r="A21" i="3" s="1"/>
  <c r="K20" i="2"/>
  <c r="I20" i="2"/>
  <c r="H20" i="2"/>
  <c r="I20" i="3" s="1"/>
  <c r="G20" i="2"/>
  <c r="F20" i="2"/>
  <c r="E20" i="2"/>
  <c r="E20" i="3" s="1"/>
  <c r="D20" i="2"/>
  <c r="D20" i="3" s="1"/>
  <c r="C20" i="2"/>
  <c r="C20" i="3" s="1"/>
  <c r="B20" i="2"/>
  <c r="A20" i="2"/>
  <c r="A20" i="3" s="1"/>
  <c r="K19" i="2"/>
  <c r="I19" i="2"/>
  <c r="H19" i="2"/>
  <c r="I19" i="3" s="1"/>
  <c r="G19" i="2"/>
  <c r="F19" i="2"/>
  <c r="E19" i="2"/>
  <c r="E19" i="3" s="1"/>
  <c r="D19" i="2"/>
  <c r="D19" i="3" s="1"/>
  <c r="C19" i="2"/>
  <c r="C19" i="3" s="1"/>
  <c r="B19" i="2"/>
  <c r="A19" i="2"/>
  <c r="A19" i="3" s="1"/>
  <c r="K18" i="2"/>
  <c r="I18" i="2"/>
  <c r="H18" i="2"/>
  <c r="I18" i="3" s="1"/>
  <c r="G18" i="2"/>
  <c r="F18" i="2"/>
  <c r="E18" i="2"/>
  <c r="E18" i="3" s="1"/>
  <c r="D18" i="2"/>
  <c r="D18" i="3" s="1"/>
  <c r="C18" i="2"/>
  <c r="C18" i="3" s="1"/>
  <c r="B18" i="2"/>
  <c r="A18" i="2"/>
  <c r="A18" i="3" s="1"/>
  <c r="K17" i="2"/>
  <c r="I17" i="2"/>
  <c r="H17" i="2"/>
  <c r="I17" i="3" s="1"/>
  <c r="G17" i="2"/>
  <c r="F17" i="2"/>
  <c r="E17" i="2"/>
  <c r="E17" i="3" s="1"/>
  <c r="D17" i="2"/>
  <c r="D17" i="3" s="1"/>
  <c r="C17" i="2"/>
  <c r="C17" i="3" s="1"/>
  <c r="B17" i="2"/>
  <c r="A17" i="2"/>
  <c r="A17" i="3" s="1"/>
  <c r="K16" i="2"/>
  <c r="I16" i="2"/>
  <c r="H16" i="2"/>
  <c r="I16" i="3" s="1"/>
  <c r="G16" i="2"/>
  <c r="F16" i="2"/>
  <c r="E16" i="2"/>
  <c r="E16" i="3" s="1"/>
  <c r="D16" i="2"/>
  <c r="D16" i="3" s="1"/>
  <c r="C16" i="2"/>
  <c r="C16" i="3" s="1"/>
  <c r="B16" i="2"/>
  <c r="A16" i="2"/>
  <c r="A16" i="3" s="1"/>
  <c r="K15" i="2"/>
  <c r="I15" i="2"/>
  <c r="H15" i="2"/>
  <c r="I15" i="3" s="1"/>
  <c r="G15" i="2"/>
  <c r="F15" i="2"/>
  <c r="E15" i="2"/>
  <c r="E15" i="3" s="1"/>
  <c r="D15" i="2"/>
  <c r="D15" i="3" s="1"/>
  <c r="C15" i="2"/>
  <c r="C15" i="3" s="1"/>
  <c r="B15" i="2"/>
  <c r="A15" i="2"/>
  <c r="A15" i="3" s="1"/>
  <c r="K14" i="2"/>
  <c r="I14" i="2"/>
  <c r="H14" i="2"/>
  <c r="I14" i="3" s="1"/>
  <c r="G14" i="2"/>
  <c r="F14" i="2"/>
  <c r="E14" i="2"/>
  <c r="E14" i="3" s="1"/>
  <c r="D14" i="2"/>
  <c r="D14" i="3" s="1"/>
  <c r="C14" i="2"/>
  <c r="C14" i="3" s="1"/>
  <c r="B14" i="2"/>
  <c r="A14" i="2"/>
  <c r="A14" i="3" s="1"/>
  <c r="K13" i="2"/>
  <c r="I13" i="2"/>
  <c r="H13" i="2"/>
  <c r="I13" i="3" s="1"/>
  <c r="G13" i="2"/>
  <c r="F13" i="2"/>
  <c r="E13" i="2"/>
  <c r="E13" i="3" s="1"/>
  <c r="D13" i="2"/>
  <c r="D13" i="3" s="1"/>
  <c r="C13" i="2"/>
  <c r="C13" i="3" s="1"/>
  <c r="B13" i="2"/>
  <c r="A13" i="2"/>
  <c r="A13" i="3" s="1"/>
  <c r="K12" i="2"/>
  <c r="I12" i="2"/>
  <c r="H12" i="2"/>
  <c r="I12" i="3" s="1"/>
  <c r="G12" i="2"/>
  <c r="F12" i="2"/>
  <c r="E12" i="2"/>
  <c r="E12" i="3" s="1"/>
  <c r="D12" i="2"/>
  <c r="D12" i="3" s="1"/>
  <c r="C12" i="2"/>
  <c r="C12" i="3" s="1"/>
  <c r="B12" i="2"/>
  <c r="A12" i="2"/>
  <c r="A12" i="3" s="1"/>
  <c r="K11" i="2"/>
  <c r="I11" i="2"/>
  <c r="H11" i="2"/>
  <c r="I11" i="3" s="1"/>
  <c r="G11" i="2"/>
  <c r="F11" i="2"/>
  <c r="E11" i="2"/>
  <c r="E11" i="3" s="1"/>
  <c r="D11" i="2"/>
  <c r="D11" i="3" s="1"/>
  <c r="C11" i="2"/>
  <c r="C11" i="3" s="1"/>
  <c r="B11" i="2"/>
  <c r="A11" i="2"/>
  <c r="A11" i="3" s="1"/>
  <c r="K10" i="2"/>
  <c r="I10" i="2"/>
  <c r="H10" i="2"/>
  <c r="I10" i="3" s="1"/>
  <c r="G10" i="2"/>
  <c r="F10" i="2"/>
  <c r="E10" i="2"/>
  <c r="E10" i="3" s="1"/>
  <c r="D10" i="2"/>
  <c r="D10" i="3" s="1"/>
  <c r="C10" i="2"/>
  <c r="C10" i="3" s="1"/>
  <c r="B10" i="2"/>
  <c r="A10" i="2"/>
  <c r="A10" i="3" s="1"/>
  <c r="K9" i="2"/>
  <c r="I9" i="2"/>
  <c r="H9" i="2"/>
  <c r="I9" i="3" s="1"/>
  <c r="G9" i="2"/>
  <c r="F9" i="2"/>
  <c r="E9" i="2"/>
  <c r="E9" i="3" s="1"/>
  <c r="D9" i="2"/>
  <c r="D9" i="3" s="1"/>
  <c r="C9" i="2"/>
  <c r="C9" i="3" s="1"/>
  <c r="B9" i="2"/>
  <c r="A9" i="2"/>
  <c r="A9" i="3" s="1"/>
  <c r="K8" i="2"/>
  <c r="I8" i="2"/>
  <c r="H8" i="2"/>
  <c r="I8" i="3" s="1"/>
  <c r="G8" i="2"/>
  <c r="F8" i="2"/>
  <c r="E8" i="2"/>
  <c r="E8" i="3" s="1"/>
  <c r="D8" i="2"/>
  <c r="D8" i="3" s="1"/>
  <c r="C8" i="2"/>
  <c r="C8" i="3" s="1"/>
  <c r="B8" i="2"/>
  <c r="A8" i="2"/>
  <c r="A8" i="3" s="1"/>
  <c r="K7" i="2"/>
  <c r="I7" i="2"/>
  <c r="H7" i="2"/>
  <c r="I7" i="3" s="1"/>
  <c r="G7" i="2"/>
  <c r="F7" i="2"/>
  <c r="E7" i="2"/>
  <c r="E7" i="3" s="1"/>
  <c r="D7" i="2"/>
  <c r="D7" i="3" s="1"/>
  <c r="C7" i="2"/>
  <c r="C7" i="3" s="1"/>
  <c r="B7" i="2"/>
  <c r="A7" i="2"/>
  <c r="A7" i="3" s="1"/>
  <c r="K6" i="2"/>
  <c r="I6" i="2"/>
  <c r="H6" i="2"/>
  <c r="I6" i="3" s="1"/>
  <c r="G6" i="2"/>
  <c r="F6" i="2"/>
  <c r="E6" i="2"/>
  <c r="E6" i="3" s="1"/>
  <c r="D6" i="2"/>
  <c r="D6" i="3" s="1"/>
  <c r="C6" i="2"/>
  <c r="C6" i="3" s="1"/>
  <c r="B6" i="2"/>
  <c r="A6" i="2"/>
  <c r="A6" i="3" s="1"/>
  <c r="K5" i="2"/>
  <c r="I5" i="2"/>
  <c r="H5" i="2"/>
  <c r="I5" i="3" s="1"/>
  <c r="G5" i="2"/>
  <c r="F5" i="2"/>
  <c r="E5" i="2"/>
  <c r="E5" i="3" s="1"/>
  <c r="D5" i="2"/>
  <c r="D5" i="3" s="1"/>
  <c r="C5" i="2"/>
  <c r="C5" i="3" s="1"/>
  <c r="B5" i="2"/>
  <c r="A5" i="2"/>
  <c r="A5" i="3" s="1"/>
  <c r="K4" i="2"/>
  <c r="I4" i="2"/>
  <c r="H4" i="2"/>
  <c r="I4" i="3" s="1"/>
  <c r="G4" i="2"/>
  <c r="F4" i="2"/>
  <c r="E4" i="2"/>
  <c r="E4" i="3" s="1"/>
  <c r="D4" i="2"/>
  <c r="D4" i="3" s="1"/>
  <c r="C4" i="2"/>
  <c r="C4" i="3" s="1"/>
  <c r="B4" i="2"/>
  <c r="A4" i="2"/>
  <c r="A4" i="3" s="1"/>
  <c r="K3" i="2"/>
  <c r="I3" i="2"/>
  <c r="H3" i="2"/>
  <c r="I3" i="3" s="1"/>
  <c r="G3" i="2"/>
  <c r="F3" i="2"/>
  <c r="E3" i="2"/>
  <c r="E3" i="3" s="1"/>
  <c r="D3" i="2"/>
  <c r="D3" i="3" s="1"/>
  <c r="C3" i="2"/>
  <c r="C3" i="3" s="1"/>
  <c r="B3" i="2"/>
  <c r="A3" i="2"/>
  <c r="A3" i="3" s="1"/>
  <c r="K2" i="2"/>
  <c r="I2" i="2"/>
  <c r="H2" i="2"/>
  <c r="G2" i="2"/>
  <c r="F2" i="2"/>
  <c r="E2" i="2"/>
  <c r="D2" i="2"/>
  <c r="C2" i="2"/>
  <c r="B2" i="2"/>
  <c r="A2" i="2"/>
  <c r="A2" i="3" s="1"/>
  <c r="L11" i="12"/>
  <c r="J11" i="12"/>
  <c r="H11" i="12"/>
  <c r="F11" i="12"/>
  <c r="I34" i="3" l="1"/>
  <c r="I33" i="3"/>
  <c r="I32" i="3"/>
  <c r="I31" i="3"/>
  <c r="I30" i="3"/>
  <c r="I29" i="3"/>
  <c r="D17" i="6"/>
  <c r="B75" i="9"/>
  <c r="H75" i="9"/>
  <c r="B74" i="9"/>
  <c r="H74" i="9"/>
  <c r="B73" i="9"/>
  <c r="H73" i="9"/>
  <c r="A60" i="9"/>
  <c r="B60" i="9" s="1"/>
  <c r="F71" i="9"/>
  <c r="F72" i="9" s="1"/>
  <c r="A50" i="13"/>
  <c r="B50" i="13" s="1"/>
  <c r="L71" i="9"/>
  <c r="E71" i="9"/>
  <c r="E72" i="9" s="1"/>
  <c r="K71" i="9"/>
  <c r="A49" i="13"/>
  <c r="B49" i="13" s="1"/>
  <c r="A59" i="9"/>
  <c r="B59" i="9" s="1"/>
  <c r="A48" i="13"/>
  <c r="B48" i="13" s="1"/>
  <c r="J71" i="9"/>
  <c r="D71" i="9"/>
  <c r="D72" i="9" s="1"/>
  <c r="A58" i="9"/>
  <c r="B58" i="9" s="1"/>
  <c r="A47" i="13"/>
  <c r="B47" i="13" s="1"/>
  <c r="I71" i="9"/>
  <c r="C71" i="9"/>
  <c r="C72" i="9" s="1"/>
  <c r="A57" i="9"/>
  <c r="B57" i="9" s="1"/>
  <c r="J63" i="3"/>
  <c r="M63" i="2"/>
  <c r="G63" i="3"/>
  <c r="B63" i="3"/>
  <c r="O63" i="2"/>
  <c r="J63" i="2"/>
  <c r="H63" i="3"/>
  <c r="F63" i="3"/>
  <c r="G62" i="3"/>
  <c r="J62" i="3"/>
  <c r="M62" i="2"/>
  <c r="F62" i="3"/>
  <c r="B62" i="3"/>
  <c r="H62" i="3"/>
  <c r="J62" i="2"/>
  <c r="O62" i="2"/>
  <c r="J61" i="3"/>
  <c r="G61" i="3"/>
  <c r="M61" i="2"/>
  <c r="H61" i="3"/>
  <c r="F61" i="3"/>
  <c r="J61" i="2"/>
  <c r="B61" i="3"/>
  <c r="O61" i="2"/>
  <c r="G60" i="3"/>
  <c r="J60" i="3"/>
  <c r="M60" i="2"/>
  <c r="F60" i="3"/>
  <c r="O60" i="2"/>
  <c r="B60" i="3"/>
  <c r="H60" i="3"/>
  <c r="J60" i="2"/>
  <c r="J59" i="3"/>
  <c r="G59" i="3"/>
  <c r="M59" i="2"/>
  <c r="B59" i="3"/>
  <c r="J59" i="2"/>
  <c r="O59" i="2"/>
  <c r="H59" i="3"/>
  <c r="F59" i="3"/>
  <c r="J58" i="3"/>
  <c r="G58" i="3"/>
  <c r="M58" i="2"/>
  <c r="H58" i="3"/>
  <c r="F58" i="3"/>
  <c r="O58" i="2"/>
  <c r="J58" i="2"/>
  <c r="B58" i="3"/>
  <c r="G57" i="3"/>
  <c r="J57" i="3"/>
  <c r="M57" i="2"/>
  <c r="F57" i="3"/>
  <c r="O57" i="2"/>
  <c r="J57" i="2"/>
  <c r="B57" i="3"/>
  <c r="H57" i="3"/>
  <c r="M56" i="2"/>
  <c r="G56" i="3"/>
  <c r="J56" i="3"/>
  <c r="H56" i="3"/>
  <c r="B56" i="3"/>
  <c r="O56" i="2"/>
  <c r="J56" i="2"/>
  <c r="F56" i="3"/>
  <c r="M55" i="2"/>
  <c r="G55" i="3"/>
  <c r="J55" i="3"/>
  <c r="J55" i="2"/>
  <c r="O55" i="2"/>
  <c r="H55" i="3"/>
  <c r="F55" i="3"/>
  <c r="B55" i="3"/>
  <c r="M54" i="2"/>
  <c r="J54" i="3"/>
  <c r="G54" i="3"/>
  <c r="F54" i="3"/>
  <c r="H54" i="3"/>
  <c r="J54" i="2"/>
  <c r="O54" i="2"/>
  <c r="B54" i="3"/>
  <c r="G53" i="3"/>
  <c r="J53" i="3"/>
  <c r="M53" i="2"/>
  <c r="F53" i="3"/>
  <c r="H53" i="3"/>
  <c r="J53" i="2"/>
  <c r="O53" i="2"/>
  <c r="B53" i="3"/>
  <c r="M52" i="2"/>
  <c r="G52" i="3"/>
  <c r="J52" i="3"/>
  <c r="J52" i="2"/>
  <c r="H52" i="3"/>
  <c r="F52" i="3"/>
  <c r="B52" i="3"/>
  <c r="O52" i="2"/>
  <c r="J51" i="3"/>
  <c r="G51" i="3"/>
  <c r="M51" i="2"/>
  <c r="O51" i="2"/>
  <c r="H51" i="3"/>
  <c r="F51" i="3"/>
  <c r="B51" i="3"/>
  <c r="J51" i="2"/>
  <c r="J50" i="3"/>
  <c r="G50" i="3"/>
  <c r="M50" i="2"/>
  <c r="J50" i="2"/>
  <c r="F50" i="3"/>
  <c r="B50" i="3"/>
  <c r="H50" i="3"/>
  <c r="O50" i="2"/>
  <c r="J49" i="3"/>
  <c r="G49" i="3"/>
  <c r="M49" i="2"/>
  <c r="F49" i="3"/>
  <c r="H49" i="3"/>
  <c r="O49" i="2"/>
  <c r="J49" i="2"/>
  <c r="B49" i="3"/>
  <c r="J48" i="3"/>
  <c r="G48" i="3"/>
  <c r="M48" i="2"/>
  <c r="F48" i="3"/>
  <c r="O48" i="2"/>
  <c r="B48" i="3"/>
  <c r="J48" i="2"/>
  <c r="H48" i="3"/>
  <c r="M47" i="2"/>
  <c r="J47" i="3"/>
  <c r="G47" i="3"/>
  <c r="H47" i="3"/>
  <c r="F47" i="3"/>
  <c r="O47" i="2"/>
  <c r="J47" i="2"/>
  <c r="B47" i="3"/>
  <c r="J46" i="3"/>
  <c r="M46" i="2"/>
  <c r="G46" i="3"/>
  <c r="J46" i="2"/>
  <c r="O46" i="2"/>
  <c r="F46" i="3"/>
  <c r="H46" i="3"/>
  <c r="B46" i="3"/>
  <c r="J45" i="3"/>
  <c r="G45" i="3"/>
  <c r="M45" i="2"/>
  <c r="H45" i="3"/>
  <c r="F45" i="3"/>
  <c r="B45" i="3"/>
  <c r="O45" i="2"/>
  <c r="J45" i="2"/>
  <c r="J44" i="3"/>
  <c r="G44" i="3"/>
  <c r="M44" i="2"/>
  <c r="J44" i="2"/>
  <c r="B44" i="3"/>
  <c r="F44" i="3"/>
  <c r="O44" i="2"/>
  <c r="H44" i="3"/>
  <c r="G43" i="3"/>
  <c r="M43" i="2"/>
  <c r="J43" i="3"/>
  <c r="O43" i="2"/>
  <c r="F43" i="3"/>
  <c r="H43" i="3"/>
  <c r="B43" i="3"/>
  <c r="J43" i="2"/>
  <c r="J42" i="3"/>
  <c r="M42" i="2"/>
  <c r="G42" i="3"/>
  <c r="H42" i="3"/>
  <c r="B42" i="3"/>
  <c r="O42" i="2"/>
  <c r="F42" i="3"/>
  <c r="J42" i="2"/>
  <c r="J41" i="3"/>
  <c r="G41" i="3"/>
  <c r="M41" i="2"/>
  <c r="F41" i="3"/>
  <c r="J41" i="2"/>
  <c r="H41" i="3"/>
  <c r="B41" i="3"/>
  <c r="O41" i="2"/>
  <c r="M40" i="2"/>
  <c r="J40" i="3"/>
  <c r="G40" i="3"/>
  <c r="H40" i="3"/>
  <c r="J40" i="2"/>
  <c r="O40" i="2"/>
  <c r="F40" i="3"/>
  <c r="B40" i="3"/>
  <c r="M39" i="2"/>
  <c r="J39" i="3"/>
  <c r="G39" i="3"/>
  <c r="J39" i="2"/>
  <c r="H39" i="3"/>
  <c r="F39" i="3"/>
  <c r="O39" i="2"/>
  <c r="B39" i="3"/>
  <c r="G38" i="3"/>
  <c r="J38" i="3"/>
  <c r="M38" i="2"/>
  <c r="B38" i="3"/>
  <c r="J38" i="2"/>
  <c r="F38" i="3"/>
  <c r="O38" i="2"/>
  <c r="H38" i="3"/>
  <c r="J37" i="3"/>
  <c r="G37" i="3"/>
  <c r="M37" i="2"/>
  <c r="H37" i="3"/>
  <c r="J37" i="2"/>
  <c r="B37" i="3"/>
  <c r="F37" i="3"/>
  <c r="O37" i="2"/>
  <c r="J36" i="3"/>
  <c r="M36" i="2"/>
  <c r="G36" i="3"/>
  <c r="O36" i="2"/>
  <c r="J36" i="2"/>
  <c r="H36" i="3"/>
  <c r="F36" i="3"/>
  <c r="B36" i="3"/>
  <c r="G35" i="3"/>
  <c r="M35" i="2"/>
  <c r="J35" i="3"/>
  <c r="H35" i="3"/>
  <c r="J35" i="2"/>
  <c r="F35" i="3"/>
  <c r="O35" i="2"/>
  <c r="B35" i="3"/>
  <c r="M34" i="2"/>
  <c r="J34" i="3"/>
  <c r="G34" i="3"/>
  <c r="B34" i="3"/>
  <c r="O34" i="2"/>
  <c r="J34" i="2"/>
  <c r="H34" i="3"/>
  <c r="F34" i="3"/>
  <c r="G33" i="3"/>
  <c r="J33" i="3"/>
  <c r="M33" i="2"/>
  <c r="J33" i="2"/>
  <c r="O33" i="2"/>
  <c r="H33" i="3"/>
  <c r="F33" i="3"/>
  <c r="B33" i="3"/>
  <c r="J32" i="3"/>
  <c r="G32" i="3"/>
  <c r="M32" i="2"/>
  <c r="J32" i="2"/>
  <c r="O32" i="2"/>
  <c r="B32" i="3"/>
  <c r="H32" i="3"/>
  <c r="F32" i="3"/>
  <c r="G31" i="3"/>
  <c r="J31" i="3"/>
  <c r="M31" i="2"/>
  <c r="J31" i="2"/>
  <c r="B31" i="3"/>
  <c r="H31" i="3"/>
  <c r="F31" i="3"/>
  <c r="O31" i="2"/>
  <c r="G30" i="3"/>
  <c r="J30" i="3"/>
  <c r="M30" i="2"/>
  <c r="H30" i="3"/>
  <c r="F30" i="3"/>
  <c r="O30" i="2"/>
  <c r="J30" i="2"/>
  <c r="B30" i="3"/>
  <c r="J29" i="3"/>
  <c r="M29" i="2"/>
  <c r="G29" i="3"/>
  <c r="B29" i="3"/>
  <c r="F29" i="3"/>
  <c r="H29" i="3"/>
  <c r="J29" i="2"/>
  <c r="O29" i="2"/>
  <c r="J28" i="3"/>
  <c r="G28" i="3"/>
  <c r="M28" i="2"/>
  <c r="H28" i="3"/>
  <c r="F28" i="3"/>
  <c r="J28" i="2"/>
  <c r="O28" i="2"/>
  <c r="B28" i="3"/>
  <c r="G27" i="3"/>
  <c r="J27" i="3"/>
  <c r="M27" i="2"/>
  <c r="B27" i="3"/>
  <c r="F27" i="3"/>
  <c r="H27" i="3"/>
  <c r="O27" i="2"/>
  <c r="J27" i="2"/>
  <c r="M26" i="2"/>
  <c r="G26" i="3"/>
  <c r="J26" i="3"/>
  <c r="B26" i="3"/>
  <c r="H26" i="3"/>
  <c r="F26" i="3"/>
  <c r="O26" i="2"/>
  <c r="J26" i="2"/>
  <c r="J25" i="3"/>
  <c r="G25" i="3"/>
  <c r="M25" i="2"/>
  <c r="F25" i="3"/>
  <c r="H25" i="3"/>
  <c r="J25" i="2"/>
  <c r="B25" i="3"/>
  <c r="O25" i="2"/>
  <c r="G24" i="3"/>
  <c r="M24" i="2"/>
  <c r="J24" i="3"/>
  <c r="H24" i="3"/>
  <c r="O24" i="2"/>
  <c r="B24" i="3"/>
  <c r="F24" i="3"/>
  <c r="J24" i="2"/>
  <c r="M23" i="2"/>
  <c r="J23" i="3"/>
  <c r="G23" i="3"/>
  <c r="H23" i="3"/>
  <c r="J23" i="2"/>
  <c r="O23" i="2"/>
  <c r="F23" i="3"/>
  <c r="B23" i="3"/>
  <c r="G22" i="3"/>
  <c r="M22" i="2"/>
  <c r="J22" i="3"/>
  <c r="B22" i="3"/>
  <c r="F22" i="3"/>
  <c r="J22" i="2"/>
  <c r="O22" i="2"/>
  <c r="H22" i="3"/>
  <c r="M21" i="2"/>
  <c r="G21" i="3"/>
  <c r="J21" i="3"/>
  <c r="O21" i="2"/>
  <c r="F21" i="3"/>
  <c r="H21" i="3"/>
  <c r="J21" i="2"/>
  <c r="B21" i="3"/>
  <c r="M20" i="2"/>
  <c r="J20" i="3"/>
  <c r="G20" i="3"/>
  <c r="B20" i="3"/>
  <c r="H20" i="3"/>
  <c r="F20" i="3"/>
  <c r="O20" i="2"/>
  <c r="J20" i="2"/>
  <c r="M19" i="2"/>
  <c r="J19" i="3"/>
  <c r="G19" i="3"/>
  <c r="F19" i="3"/>
  <c r="J19" i="2"/>
  <c r="H19" i="3"/>
  <c r="O19" i="2"/>
  <c r="B19" i="3"/>
  <c r="M18" i="2"/>
  <c r="J18" i="3"/>
  <c r="G18" i="3"/>
  <c r="F18" i="3"/>
  <c r="B18" i="3"/>
  <c r="O18" i="2"/>
  <c r="H18" i="3"/>
  <c r="J18" i="2"/>
  <c r="G17" i="3"/>
  <c r="M17" i="2"/>
  <c r="J17" i="3"/>
  <c r="B17" i="3"/>
  <c r="F17" i="3"/>
  <c r="H17" i="3"/>
  <c r="O17" i="2"/>
  <c r="J17" i="2"/>
  <c r="J16" i="3"/>
  <c r="G16" i="3"/>
  <c r="M16" i="2"/>
  <c r="B16" i="3"/>
  <c r="F16" i="3"/>
  <c r="H16" i="3"/>
  <c r="J16" i="2"/>
  <c r="O16" i="2"/>
  <c r="J15" i="3"/>
  <c r="G15" i="3"/>
  <c r="M15" i="2"/>
  <c r="O15" i="2"/>
  <c r="F15" i="3"/>
  <c r="B15" i="3"/>
  <c r="J15" i="2"/>
  <c r="H15" i="3"/>
  <c r="J14" i="3"/>
  <c r="G14" i="3"/>
  <c r="M14" i="2"/>
  <c r="H14" i="3"/>
  <c r="O14" i="2"/>
  <c r="B14" i="3"/>
  <c r="F14" i="3"/>
  <c r="J14" i="2"/>
  <c r="J13" i="3"/>
  <c r="G13" i="3"/>
  <c r="M13" i="2"/>
  <c r="B13" i="3"/>
  <c r="H13" i="3"/>
  <c r="O13" i="2"/>
  <c r="F13" i="3"/>
  <c r="J13" i="2"/>
  <c r="M12" i="2"/>
  <c r="J12" i="3"/>
  <c r="G12" i="3"/>
  <c r="H12" i="3"/>
  <c r="F12" i="3"/>
  <c r="B12" i="3"/>
  <c r="J12" i="2"/>
  <c r="O12" i="2"/>
  <c r="G11" i="3"/>
  <c r="M11" i="2"/>
  <c r="J11" i="3"/>
  <c r="J11" i="2"/>
  <c r="H11" i="3"/>
  <c r="F11" i="3"/>
  <c r="B11" i="3"/>
  <c r="O11" i="2"/>
  <c r="J10" i="3"/>
  <c r="G10" i="3"/>
  <c r="M10" i="2"/>
  <c r="B10" i="3"/>
  <c r="H10" i="3"/>
  <c r="O10" i="2"/>
  <c r="F10" i="3"/>
  <c r="J10" i="2"/>
  <c r="M9" i="2"/>
  <c r="J9" i="3"/>
  <c r="G9" i="3"/>
  <c r="J9" i="2"/>
  <c r="B9" i="3"/>
  <c r="F9" i="3"/>
  <c r="H9" i="3"/>
  <c r="O9" i="2"/>
  <c r="J8" i="3"/>
  <c r="M8" i="2"/>
  <c r="G8" i="3"/>
  <c r="F8" i="3"/>
  <c r="B8" i="3"/>
  <c r="J8" i="2"/>
  <c r="H8" i="3"/>
  <c r="O8" i="2"/>
  <c r="J7" i="3"/>
  <c r="G7" i="3"/>
  <c r="M7" i="2"/>
  <c r="H7" i="3"/>
  <c r="F7" i="3"/>
  <c r="B7" i="3"/>
  <c r="J7" i="2"/>
  <c r="O7" i="2"/>
  <c r="J6" i="3"/>
  <c r="M6" i="2"/>
  <c r="G6" i="3"/>
  <c r="F6" i="3"/>
  <c r="B6" i="3"/>
  <c r="J6" i="2"/>
  <c r="H6" i="3"/>
  <c r="O6" i="2"/>
  <c r="G5" i="3"/>
  <c r="M5" i="2"/>
  <c r="J5" i="3"/>
  <c r="F5" i="3"/>
  <c r="H5" i="3"/>
  <c r="B5" i="3"/>
  <c r="O5" i="2"/>
  <c r="J5" i="2"/>
  <c r="J4" i="3"/>
  <c r="G4" i="3"/>
  <c r="M4" i="2"/>
  <c r="J4" i="2"/>
  <c r="H4" i="3"/>
  <c r="O4" i="2"/>
  <c r="F4" i="3"/>
  <c r="B4" i="3"/>
  <c r="J3" i="3"/>
  <c r="G3" i="3"/>
  <c r="M3" i="2"/>
  <c r="J3" i="2"/>
  <c r="B3" i="3"/>
  <c r="F3" i="3"/>
  <c r="H3" i="3"/>
  <c r="O3" i="2"/>
  <c r="D12" i="7"/>
  <c r="B12" i="7"/>
  <c r="C12" i="7" s="1"/>
  <c r="D28" i="7"/>
  <c r="D24" i="7"/>
  <c r="C13" i="6"/>
  <c r="D13" i="6" s="1"/>
  <c r="E13" i="6" s="1"/>
  <c r="G13" i="6"/>
  <c r="H13" i="6"/>
  <c r="M2" i="2"/>
  <c r="I27" i="8"/>
  <c r="H27" i="8"/>
  <c r="G27" i="8"/>
  <c r="F27" i="8"/>
  <c r="J2" i="3"/>
  <c r="G2" i="3"/>
  <c r="D32" i="7"/>
  <c r="D31" i="7"/>
  <c r="D30" i="7"/>
  <c r="D29" i="7"/>
  <c r="D27" i="7"/>
  <c r="D26" i="7"/>
  <c r="D25" i="7"/>
  <c r="K12" i="7"/>
  <c r="J12" i="7"/>
  <c r="I12" i="7"/>
  <c r="D40" i="6" s="1"/>
  <c r="F40" i="6" s="1"/>
  <c r="H40" i="6" s="1"/>
  <c r="H12" i="7"/>
  <c r="C40" i="6" s="1"/>
  <c r="G12" i="7"/>
  <c r="F12" i="7"/>
  <c r="E12" i="7"/>
  <c r="C12" i="6"/>
  <c r="D12" i="6" s="1"/>
  <c r="E12" i="6" s="1"/>
  <c r="G12" i="6"/>
  <c r="H12" i="6"/>
  <c r="F26" i="8"/>
  <c r="G26" i="8"/>
  <c r="H26" i="8"/>
  <c r="I26" i="8"/>
  <c r="C12" i="8"/>
  <c r="K11" i="7"/>
  <c r="I2" i="3"/>
  <c r="J11" i="7"/>
  <c r="I11" i="7"/>
  <c r="H11" i="7"/>
  <c r="G11" i="7"/>
  <c r="F11" i="7"/>
  <c r="E11" i="7"/>
  <c r="D11" i="7"/>
  <c r="L11" i="7" s="1"/>
  <c r="B11" i="7"/>
  <c r="C11" i="7" s="1"/>
  <c r="D8" i="11"/>
  <c r="C8" i="11"/>
  <c r="B12" i="8"/>
  <c r="F10" i="7"/>
  <c r="G10" i="7"/>
  <c r="E10" i="7"/>
  <c r="I10" i="7"/>
  <c r="J10" i="7"/>
  <c r="K10" i="7"/>
  <c r="H10" i="7"/>
  <c r="B11" i="8"/>
  <c r="C11" i="6"/>
  <c r="D11" i="6" s="1"/>
  <c r="E11" i="6" s="1"/>
  <c r="H11" i="6"/>
  <c r="G11" i="6"/>
  <c r="C11" i="8"/>
  <c r="F25" i="8"/>
  <c r="G25" i="8"/>
  <c r="H25" i="8"/>
  <c r="I25" i="8"/>
  <c r="B10" i="7"/>
  <c r="C10" i="7" s="1"/>
  <c r="D10" i="7"/>
  <c r="L10" i="7" s="1"/>
  <c r="I24" i="8"/>
  <c r="F9" i="7"/>
  <c r="G9" i="7"/>
  <c r="E9" i="7"/>
  <c r="H10" i="6"/>
  <c r="G10" i="6"/>
  <c r="F24" i="8"/>
  <c r="H24" i="8"/>
  <c r="B9" i="7"/>
  <c r="C9" i="7" s="1"/>
  <c r="G24" i="8"/>
  <c r="C10" i="6"/>
  <c r="D10" i="6" s="1"/>
  <c r="E10" i="6" s="1"/>
  <c r="D9" i="7"/>
  <c r="L9" i="7" s="1"/>
  <c r="H9" i="7"/>
  <c r="C10" i="8"/>
  <c r="I9" i="7"/>
  <c r="J9" i="7"/>
  <c r="B10" i="8"/>
  <c r="K9" i="7"/>
  <c r="C32" i="6"/>
  <c r="H9" i="6"/>
  <c r="C9" i="8"/>
  <c r="B9" i="8"/>
  <c r="D7" i="11"/>
  <c r="C9" i="6"/>
  <c r="D9" i="6" s="1"/>
  <c r="E9" i="6" s="1"/>
  <c r="B8" i="7"/>
  <c r="C8" i="7" s="1"/>
  <c r="G9" i="6"/>
  <c r="E8" i="7"/>
  <c r="F8" i="7"/>
  <c r="G8" i="7"/>
  <c r="H8" i="7"/>
  <c r="C39" i="6" s="1"/>
  <c r="D8" i="7"/>
  <c r="L8" i="7" s="1"/>
  <c r="J8" i="7"/>
  <c r="K8" i="7"/>
  <c r="C7" i="11"/>
  <c r="E2" i="3"/>
  <c r="I8" i="7"/>
  <c r="D39" i="6" s="1"/>
  <c r="F39" i="6" s="1"/>
  <c r="H39" i="6" s="1"/>
  <c r="J7" i="7"/>
  <c r="C31" i="6"/>
  <c r="C6" i="11"/>
  <c r="D6" i="11"/>
  <c r="D2" i="3"/>
  <c r="K7" i="7"/>
  <c r="C8" i="6"/>
  <c r="D8" i="6" s="1"/>
  <c r="E8" i="6" s="1"/>
  <c r="B7" i="7"/>
  <c r="C7" i="7" s="1"/>
  <c r="D7" i="7"/>
  <c r="E7" i="7"/>
  <c r="F7" i="7"/>
  <c r="G7" i="7"/>
  <c r="B8" i="8"/>
  <c r="C8" i="8"/>
  <c r="H7" i="7"/>
  <c r="C38" i="6" s="1"/>
  <c r="G8" i="6"/>
  <c r="H8" i="6"/>
  <c r="I7" i="7"/>
  <c r="D38" i="6" s="1"/>
  <c r="F38" i="6" s="1"/>
  <c r="H38" i="6" s="1"/>
  <c r="C30" i="6"/>
  <c r="D6" i="7"/>
  <c r="B6" i="7"/>
  <c r="C6" i="7" s="1"/>
  <c r="B7" i="8"/>
  <c r="C7" i="8"/>
  <c r="H6" i="7"/>
  <c r="C37" i="6" s="1"/>
  <c r="J6" i="7"/>
  <c r="C2" i="3"/>
  <c r="C7" i="6"/>
  <c r="D7" i="6" s="1"/>
  <c r="E7" i="6" s="1"/>
  <c r="G7" i="6"/>
  <c r="H7" i="6"/>
  <c r="K6" i="7"/>
  <c r="I6" i="7"/>
  <c r="D37" i="6" s="1"/>
  <c r="F37" i="6" s="1"/>
  <c r="H37" i="6" s="1"/>
  <c r="G6" i="7"/>
  <c r="F6" i="7"/>
  <c r="E6" i="7"/>
  <c r="E5" i="7"/>
  <c r="B2" i="3"/>
  <c r="F5" i="7"/>
  <c r="G5" i="7"/>
  <c r="C6" i="6"/>
  <c r="D6" i="6" s="1"/>
  <c r="E6" i="6" s="1"/>
  <c r="G6" i="6"/>
  <c r="H6" i="6"/>
  <c r="K5" i="7"/>
  <c r="J5" i="7"/>
  <c r="I5" i="7"/>
  <c r="D36" i="6" s="1"/>
  <c r="H5" i="7"/>
  <c r="C36" i="6" s="1"/>
  <c r="E36" i="6" s="1"/>
  <c r="G36" i="6" s="1"/>
  <c r="B6" i="8"/>
  <c r="C29" i="6"/>
  <c r="H2" i="3"/>
  <c r="D5" i="11"/>
  <c r="C5" i="11"/>
  <c r="B14" i="11" s="1"/>
  <c r="D5" i="7"/>
  <c r="L5" i="7" s="1"/>
  <c r="B5" i="7"/>
  <c r="C5" i="7" s="1"/>
  <c r="C6" i="8"/>
  <c r="F2" i="3"/>
  <c r="O2" i="2"/>
  <c r="J2" i="2"/>
  <c r="P49" i="2" l="1"/>
  <c r="K49" i="3" s="1"/>
  <c r="C22" i="6"/>
  <c r="D22" i="6" s="1"/>
  <c r="K74" i="9"/>
  <c r="E74" i="9" s="1"/>
  <c r="L63" i="2"/>
  <c r="N63" i="2"/>
  <c r="L63" i="3" s="1"/>
  <c r="M63" i="3" s="1"/>
  <c r="L62" i="2"/>
  <c r="N62" i="2"/>
  <c r="L62" i="3" s="1"/>
  <c r="L61" i="2"/>
  <c r="N61" i="2"/>
  <c r="L61" i="3" s="1"/>
  <c r="L60" i="2"/>
  <c r="N60" i="2"/>
  <c r="L60" i="3" s="1"/>
  <c r="L59" i="2"/>
  <c r="N59" i="2"/>
  <c r="L59" i="3" s="1"/>
  <c r="L58" i="2"/>
  <c r="N58" i="2"/>
  <c r="L58" i="3" s="1"/>
  <c r="L57" i="2"/>
  <c r="N57" i="2"/>
  <c r="L57" i="3" s="1"/>
  <c r="M57" i="3" s="1"/>
  <c r="L56" i="2"/>
  <c r="N56" i="2"/>
  <c r="L56" i="3" s="1"/>
  <c r="L55" i="2"/>
  <c r="N55" i="2"/>
  <c r="L55" i="3" s="1"/>
  <c r="L54" i="2"/>
  <c r="N54" i="2"/>
  <c r="L54" i="3" s="1"/>
  <c r="L53" i="2"/>
  <c r="N53" i="2"/>
  <c r="L53" i="3" s="1"/>
  <c r="L52" i="2"/>
  <c r="N52" i="2"/>
  <c r="L52" i="3" s="1"/>
  <c r="L51" i="2"/>
  <c r="N51" i="2"/>
  <c r="L51" i="3" s="1"/>
  <c r="L50" i="2"/>
  <c r="N50" i="2"/>
  <c r="L50" i="3" s="1"/>
  <c r="L49" i="2"/>
  <c r="N49" i="2"/>
  <c r="L49" i="3" s="1"/>
  <c r="L48" i="2"/>
  <c r="N48" i="2"/>
  <c r="L48" i="3" s="1"/>
  <c r="L47" i="2"/>
  <c r="N47" i="2"/>
  <c r="L47" i="3" s="1"/>
  <c r="L46" i="2"/>
  <c r="N46" i="2"/>
  <c r="L46" i="3" s="1"/>
  <c r="L45" i="2"/>
  <c r="N45" i="2"/>
  <c r="L45" i="3" s="1"/>
  <c r="L44" i="2"/>
  <c r="N44" i="2"/>
  <c r="L44" i="3" s="1"/>
  <c r="L43" i="2"/>
  <c r="N43" i="2"/>
  <c r="L43" i="3" s="1"/>
  <c r="L42" i="2"/>
  <c r="N42" i="2"/>
  <c r="L42" i="3" s="1"/>
  <c r="M42" i="3" s="1"/>
  <c r="L41" i="2"/>
  <c r="N41" i="2"/>
  <c r="L41" i="3" s="1"/>
  <c r="L40" i="2"/>
  <c r="N40" i="2"/>
  <c r="L40" i="3" s="1"/>
  <c r="L39" i="2"/>
  <c r="N39" i="2"/>
  <c r="L39" i="3" s="1"/>
  <c r="L38" i="2"/>
  <c r="N38" i="2"/>
  <c r="L38" i="3" s="1"/>
  <c r="L37" i="2"/>
  <c r="N37" i="2"/>
  <c r="L37" i="3" s="1"/>
  <c r="M37" i="3" s="1"/>
  <c r="L36" i="2"/>
  <c r="N36" i="2"/>
  <c r="L36" i="3" s="1"/>
  <c r="M36" i="3" s="1"/>
  <c r="L35" i="2"/>
  <c r="N35" i="2"/>
  <c r="L35" i="3" s="1"/>
  <c r="L34" i="2"/>
  <c r="N34" i="2"/>
  <c r="L34" i="3" s="1"/>
  <c r="L33" i="2"/>
  <c r="N33" i="2"/>
  <c r="L33" i="3" s="1"/>
  <c r="L32" i="2"/>
  <c r="N32" i="2"/>
  <c r="L32" i="3" s="1"/>
  <c r="M32" i="3" s="1"/>
  <c r="L31" i="2"/>
  <c r="N31" i="2"/>
  <c r="L31" i="3" s="1"/>
  <c r="L30" i="2"/>
  <c r="N30" i="2"/>
  <c r="L30" i="3" s="1"/>
  <c r="L29" i="2"/>
  <c r="N29" i="2"/>
  <c r="L29" i="3" s="1"/>
  <c r="L28" i="2"/>
  <c r="N28" i="2"/>
  <c r="L28" i="3" s="1"/>
  <c r="L27" i="2"/>
  <c r="N27" i="2"/>
  <c r="L27" i="3" s="1"/>
  <c r="L26" i="2"/>
  <c r="N26" i="2"/>
  <c r="L26" i="3" s="1"/>
  <c r="L25" i="2"/>
  <c r="N25" i="2"/>
  <c r="L25" i="3" s="1"/>
  <c r="L24" i="2"/>
  <c r="N24" i="2"/>
  <c r="L24" i="3" s="1"/>
  <c r="L23" i="2"/>
  <c r="N23" i="2"/>
  <c r="L23" i="3" s="1"/>
  <c r="L22" i="2"/>
  <c r="N22" i="2"/>
  <c r="L22" i="3" s="1"/>
  <c r="M22" i="3" s="1"/>
  <c r="L21" i="2"/>
  <c r="N21" i="2"/>
  <c r="L21" i="3" s="1"/>
  <c r="M21" i="3" s="1"/>
  <c r="L20" i="2"/>
  <c r="N20" i="2"/>
  <c r="L20" i="3" s="1"/>
  <c r="M20" i="3" s="1"/>
  <c r="L19" i="2"/>
  <c r="N19" i="2"/>
  <c r="L19" i="3" s="1"/>
  <c r="L18" i="2"/>
  <c r="N18" i="2"/>
  <c r="L18" i="3" s="1"/>
  <c r="L17" i="2"/>
  <c r="N17" i="2"/>
  <c r="L17" i="3" s="1"/>
  <c r="L16" i="2"/>
  <c r="N16" i="2"/>
  <c r="L16" i="3" s="1"/>
  <c r="L15" i="2"/>
  <c r="N15" i="2"/>
  <c r="L15" i="3" s="1"/>
  <c r="L14" i="2"/>
  <c r="N14" i="2"/>
  <c r="L14" i="3" s="1"/>
  <c r="M14" i="3" s="1"/>
  <c r="N13" i="2"/>
  <c r="L13" i="3" s="1"/>
  <c r="L13" i="2"/>
  <c r="L12" i="2"/>
  <c r="N12" i="2"/>
  <c r="L12" i="3" s="1"/>
  <c r="N11" i="2"/>
  <c r="L11" i="3" s="1"/>
  <c r="L11" i="2"/>
  <c r="N10" i="2"/>
  <c r="L10" i="3" s="1"/>
  <c r="L10" i="2"/>
  <c r="N9" i="2"/>
  <c r="L9" i="3" s="1"/>
  <c r="L9" i="2"/>
  <c r="L8" i="2"/>
  <c r="N8" i="2"/>
  <c r="L8" i="3" s="1"/>
  <c r="L7" i="2"/>
  <c r="N7" i="2"/>
  <c r="L7" i="3" s="1"/>
  <c r="L6" i="2"/>
  <c r="N6" i="2"/>
  <c r="L6" i="3" s="1"/>
  <c r="L5" i="2"/>
  <c r="N5" i="2"/>
  <c r="L5" i="3" s="1"/>
  <c r="M5" i="3" s="1"/>
  <c r="L4" i="2"/>
  <c r="N4" i="2"/>
  <c r="L4" i="3" s="1"/>
  <c r="L3" i="2"/>
  <c r="N3" i="2"/>
  <c r="L3" i="3" s="1"/>
  <c r="E24" i="7"/>
  <c r="E25" i="7"/>
  <c r="E26" i="7"/>
  <c r="E27" i="7"/>
  <c r="E28" i="7"/>
  <c r="E29" i="7"/>
  <c r="E30" i="7"/>
  <c r="E31" i="7"/>
  <c r="E32" i="7"/>
  <c r="C19" i="6"/>
  <c r="D19" i="6" s="1"/>
  <c r="C20" i="6"/>
  <c r="D20" i="6" s="1"/>
  <c r="P2" i="2"/>
  <c r="K2" i="3" s="1"/>
  <c r="L74" i="9" s="1"/>
  <c r="F74" i="9" s="1"/>
  <c r="D12" i="8"/>
  <c r="F12" i="8"/>
  <c r="H12" i="8"/>
  <c r="I12" i="8" s="1"/>
  <c r="J12" i="8" s="1"/>
  <c r="D11" i="8"/>
  <c r="F11" i="8"/>
  <c r="H11" i="8"/>
  <c r="I11" i="8" s="1"/>
  <c r="J11" i="8" s="1"/>
  <c r="D10" i="8"/>
  <c r="F10" i="8"/>
  <c r="H10" i="8"/>
  <c r="I10" i="8" s="1"/>
  <c r="J10" i="8" s="1"/>
  <c r="B32" i="6"/>
  <c r="D9" i="8"/>
  <c r="F9" i="8"/>
  <c r="H9" i="8"/>
  <c r="I9" i="8" s="1"/>
  <c r="J9" i="8" s="1"/>
  <c r="D32" i="6"/>
  <c r="E32" i="6" s="1"/>
  <c r="B16" i="7"/>
  <c r="C16" i="7" s="1"/>
  <c r="D16" i="7"/>
  <c r="E16" i="7"/>
  <c r="F16" i="7"/>
  <c r="G16" i="7"/>
  <c r="H16" i="7"/>
  <c r="I16" i="7"/>
  <c r="J16" i="7"/>
  <c r="K16" i="7"/>
  <c r="B16" i="8"/>
  <c r="C16" i="8"/>
  <c r="B23" i="8"/>
  <c r="C23" i="8"/>
  <c r="D23" i="8"/>
  <c r="E23" i="8"/>
  <c r="F23" i="8"/>
  <c r="G23" i="8"/>
  <c r="H23" i="8"/>
  <c r="I23" i="8"/>
  <c r="B31" i="6"/>
  <c r="D31" i="6"/>
  <c r="E31" i="6" s="1"/>
  <c r="B15" i="7"/>
  <c r="C15" i="7" s="1"/>
  <c r="D15" i="7"/>
  <c r="E15" i="7"/>
  <c r="F15" i="7"/>
  <c r="G15" i="7"/>
  <c r="H15" i="7"/>
  <c r="I15" i="7"/>
  <c r="J15" i="7"/>
  <c r="K15" i="7"/>
  <c r="B15" i="8"/>
  <c r="C15" i="8"/>
  <c r="B22" i="8"/>
  <c r="C22" i="8"/>
  <c r="D22" i="8"/>
  <c r="E22" i="8"/>
  <c r="F22" i="8"/>
  <c r="G22" i="8"/>
  <c r="H22" i="8"/>
  <c r="I22" i="8"/>
  <c r="D8" i="8"/>
  <c r="F8" i="8"/>
  <c r="H8" i="8"/>
  <c r="I8" i="8" s="1"/>
  <c r="J8" i="8" s="1"/>
  <c r="B30" i="6"/>
  <c r="D7" i="8"/>
  <c r="F7" i="8"/>
  <c r="H7" i="8"/>
  <c r="I7" i="8" s="1"/>
  <c r="J7" i="8" s="1"/>
  <c r="D30" i="6"/>
  <c r="E30" i="6" s="1"/>
  <c r="B14" i="7"/>
  <c r="C14" i="7" s="1"/>
  <c r="D14" i="7"/>
  <c r="E14" i="7"/>
  <c r="F14" i="7"/>
  <c r="G14" i="7"/>
  <c r="H14" i="7"/>
  <c r="I14" i="7"/>
  <c r="J14" i="7"/>
  <c r="K14" i="7"/>
  <c r="B14" i="8"/>
  <c r="C14" i="8"/>
  <c r="B21" i="8"/>
  <c r="C21" i="8"/>
  <c r="D21" i="8"/>
  <c r="E21" i="8"/>
  <c r="F21" i="8"/>
  <c r="G21" i="8"/>
  <c r="H21" i="8"/>
  <c r="I21" i="8"/>
  <c r="D29" i="6"/>
  <c r="B13" i="7"/>
  <c r="C13" i="7" s="1"/>
  <c r="D13" i="7"/>
  <c r="E13" i="7"/>
  <c r="F13" i="7"/>
  <c r="G13" i="7"/>
  <c r="H13" i="7"/>
  <c r="I13" i="7"/>
  <c r="J13" i="7"/>
  <c r="K13" i="7"/>
  <c r="B13" i="8"/>
  <c r="C13" i="8"/>
  <c r="B20" i="8"/>
  <c r="C20" i="8"/>
  <c r="D20" i="8"/>
  <c r="E20" i="8"/>
  <c r="F20" i="8"/>
  <c r="G20" i="8"/>
  <c r="H20" i="8"/>
  <c r="I20" i="8"/>
  <c r="E29" i="6"/>
  <c r="B29" i="6"/>
  <c r="D6" i="8"/>
  <c r="F6" i="8"/>
  <c r="H6" i="8"/>
  <c r="I6" i="8" s="1"/>
  <c r="J6" i="8" s="1"/>
  <c r="B17" i="7"/>
  <c r="C17" i="7" s="1"/>
  <c r="D17" i="7"/>
  <c r="E17" i="7"/>
  <c r="F17" i="7"/>
  <c r="G17" i="7"/>
  <c r="H17" i="7"/>
  <c r="I17" i="7"/>
  <c r="J17" i="7"/>
  <c r="K17" i="7"/>
  <c r="L2" i="2"/>
  <c r="C23" i="6" s="1"/>
  <c r="D23" i="6" s="1"/>
  <c r="N2" i="2"/>
  <c r="C18" i="6"/>
  <c r="D18" i="6" s="1"/>
  <c r="P63" i="2"/>
  <c r="K63" i="3" s="1"/>
  <c r="P62" i="2"/>
  <c r="K62" i="3" s="1"/>
  <c r="P61" i="2"/>
  <c r="K61" i="3" s="1"/>
  <c r="P60" i="2"/>
  <c r="K60" i="3" s="1"/>
  <c r="P59" i="2"/>
  <c r="K59" i="3" s="1"/>
  <c r="P58" i="2"/>
  <c r="K58" i="3" s="1"/>
  <c r="P57" i="2"/>
  <c r="K57" i="3" s="1"/>
  <c r="P56" i="2"/>
  <c r="K56" i="3" s="1"/>
  <c r="P55" i="2"/>
  <c r="K55" i="3" s="1"/>
  <c r="P54" i="2"/>
  <c r="K54" i="3" s="1"/>
  <c r="P53" i="2"/>
  <c r="K53" i="3" s="1"/>
  <c r="P52" i="2"/>
  <c r="K52" i="3" s="1"/>
  <c r="P51" i="2"/>
  <c r="K51" i="3" s="1"/>
  <c r="P50" i="2"/>
  <c r="K50" i="3" s="1"/>
  <c r="F36" i="6"/>
  <c r="H36" i="6" s="1"/>
  <c r="P48" i="2"/>
  <c r="K48" i="3" s="1"/>
  <c r="P47" i="2"/>
  <c r="K47" i="3" s="1"/>
  <c r="P46" i="2"/>
  <c r="K46" i="3" s="1"/>
  <c r="P45" i="2"/>
  <c r="K45" i="3" s="1"/>
  <c r="P44" i="2"/>
  <c r="K44" i="3" s="1"/>
  <c r="P43" i="2"/>
  <c r="K43" i="3" s="1"/>
  <c r="P42" i="2"/>
  <c r="K42" i="3" s="1"/>
  <c r="P41" i="2"/>
  <c r="K41" i="3" s="1"/>
  <c r="P40" i="2"/>
  <c r="K40" i="3" s="1"/>
  <c r="P39" i="2"/>
  <c r="K39" i="3" s="1"/>
  <c r="P38" i="2"/>
  <c r="K38" i="3" s="1"/>
  <c r="P37" i="2"/>
  <c r="K37" i="3" s="1"/>
  <c r="P36" i="2"/>
  <c r="K36" i="3" s="1"/>
  <c r="P35" i="2"/>
  <c r="K35" i="3" s="1"/>
  <c r="P34" i="2"/>
  <c r="K34" i="3" s="1"/>
  <c r="P33" i="2"/>
  <c r="K33" i="3" s="1"/>
  <c r="P32" i="2"/>
  <c r="K32" i="3" s="1"/>
  <c r="P31" i="2"/>
  <c r="K31" i="3" s="1"/>
  <c r="P30" i="2"/>
  <c r="K30" i="3" s="1"/>
  <c r="P29" i="2"/>
  <c r="K29" i="3" s="1"/>
  <c r="J75" i="9" s="1"/>
  <c r="D75" i="9" s="1"/>
  <c r="P28" i="2"/>
  <c r="K28" i="3" s="1"/>
  <c r="P27" i="2"/>
  <c r="K27" i="3" s="1"/>
  <c r="P26" i="2"/>
  <c r="K26" i="3" s="1"/>
  <c r="C43" i="9" s="1"/>
  <c r="P25" i="2"/>
  <c r="K25" i="3" s="1"/>
  <c r="L73" i="9" s="1"/>
  <c r="F73" i="9" s="1"/>
  <c r="P24" i="2"/>
  <c r="K24" i="3" s="1"/>
  <c r="E40" i="6"/>
  <c r="G40" i="6" s="1"/>
  <c r="L7" i="7"/>
  <c r="L6" i="7"/>
  <c r="E37" i="6"/>
  <c r="G37" i="6" s="1"/>
  <c r="P23" i="2"/>
  <c r="K23" i="3" s="1"/>
  <c r="P22" i="2"/>
  <c r="K22" i="3" s="1"/>
  <c r="P21" i="2"/>
  <c r="K21" i="3" s="1"/>
  <c r="P20" i="2"/>
  <c r="K20" i="3" s="1"/>
  <c r="P19" i="2"/>
  <c r="K19" i="3" s="1"/>
  <c r="P18" i="2"/>
  <c r="K18" i="3" s="1"/>
  <c r="P17" i="2"/>
  <c r="K17" i="3" s="1"/>
  <c r="P16" i="2"/>
  <c r="K16" i="3" s="1"/>
  <c r="P15" i="2"/>
  <c r="K15" i="3" s="1"/>
  <c r="P14" i="2"/>
  <c r="K14" i="3" s="1"/>
  <c r="P13" i="2"/>
  <c r="K13" i="3" s="1"/>
  <c r="C13" i="9" s="1"/>
  <c r="P12" i="2"/>
  <c r="K12" i="3" s="1"/>
  <c r="I75" i="9" s="1"/>
  <c r="C75" i="9" s="1"/>
  <c r="P11" i="2"/>
  <c r="K11" i="3" s="1"/>
  <c r="K73" i="9" s="1"/>
  <c r="E73" i="9" s="1"/>
  <c r="P10" i="2"/>
  <c r="K10" i="3" s="1"/>
  <c r="P9" i="2"/>
  <c r="K9" i="3" s="1"/>
  <c r="P8" i="2"/>
  <c r="K8" i="3" s="1"/>
  <c r="I73" i="9" s="1"/>
  <c r="C73" i="9" s="1"/>
  <c r="P7" i="2"/>
  <c r="K7" i="3" s="1"/>
  <c r="P6" i="2"/>
  <c r="K6" i="3" s="1"/>
  <c r="P5" i="2"/>
  <c r="K5" i="3" s="1"/>
  <c r="P4" i="2"/>
  <c r="K4" i="3" s="1"/>
  <c r="J73" i="9" s="1"/>
  <c r="D73" i="9" s="1"/>
  <c r="P3" i="2"/>
  <c r="K3" i="3" s="1"/>
  <c r="L12" i="7"/>
  <c r="E39" i="6"/>
  <c r="G39" i="6" s="1"/>
  <c r="E38" i="6"/>
  <c r="G38" i="6" s="1"/>
  <c r="E27" i="8"/>
  <c r="E26" i="8"/>
  <c r="E25" i="8"/>
  <c r="E24" i="8"/>
  <c r="D24" i="8"/>
  <c r="D27" i="8"/>
  <c r="D26" i="8"/>
  <c r="D25" i="8"/>
  <c r="C27" i="8"/>
  <c r="C24" i="8"/>
  <c r="C26" i="8"/>
  <c r="C25" i="8"/>
  <c r="B26" i="8"/>
  <c r="B25" i="8"/>
  <c r="B27" i="8"/>
  <c r="B24" i="8"/>
  <c r="C49" i="13" l="1"/>
  <c r="D49" i="13" s="1"/>
  <c r="C48" i="13"/>
  <c r="D48" i="13" s="1"/>
  <c r="C47" i="13"/>
  <c r="D47" i="13" s="1"/>
  <c r="C50" i="13"/>
  <c r="D50" i="13" s="1"/>
  <c r="C45" i="9"/>
  <c r="C11" i="9"/>
  <c r="B13" i="11"/>
  <c r="C27" i="9"/>
  <c r="C23" i="13"/>
  <c r="D23" i="13" s="1"/>
  <c r="C24" i="13"/>
  <c r="D24" i="13" s="1"/>
  <c r="C29" i="13"/>
  <c r="D29" i="13" s="1"/>
  <c r="C30" i="13"/>
  <c r="D30" i="13" s="1"/>
  <c r="C31" i="13"/>
  <c r="D31" i="13" s="1"/>
  <c r="C32" i="13"/>
  <c r="D32" i="13" s="1"/>
  <c r="C33" i="13"/>
  <c r="D33" i="13" s="1"/>
  <c r="C38" i="13"/>
  <c r="D38" i="13" s="1"/>
  <c r="C39" i="13"/>
  <c r="D39" i="13" s="1"/>
  <c r="C40" i="13"/>
  <c r="D40" i="13" s="1"/>
  <c r="C41" i="13"/>
  <c r="D41" i="13" s="1"/>
  <c r="C42" i="13"/>
  <c r="D42" i="13" s="1"/>
  <c r="B10" i="13"/>
  <c r="B11" i="13"/>
  <c r="D10" i="12" s="1"/>
  <c r="B14" i="13"/>
  <c r="J10" i="12" s="1"/>
  <c r="B15" i="13"/>
  <c r="L10" i="12" s="1"/>
  <c r="C20" i="13"/>
  <c r="D20" i="13" s="1"/>
  <c r="C55" i="13"/>
  <c r="D55" i="13" s="1"/>
  <c r="C21" i="13"/>
  <c r="D21" i="13" s="1"/>
  <c r="C56" i="13"/>
  <c r="D56" i="13" s="1"/>
  <c r="C22" i="13"/>
  <c r="D22" i="13" s="1"/>
  <c r="C57" i="13"/>
  <c r="D57" i="13" s="1"/>
  <c r="D62" i="13"/>
  <c r="D63" i="13"/>
  <c r="D64" i="13"/>
  <c r="D65" i="13"/>
  <c r="D66" i="13"/>
  <c r="D67" i="13"/>
  <c r="D68" i="13"/>
  <c r="D69" i="13"/>
  <c r="D70" i="13"/>
  <c r="B4" i="9"/>
  <c r="B5" i="9"/>
  <c r="G12" i="8"/>
  <c r="G11" i="8"/>
  <c r="G10" i="8"/>
  <c r="G9" i="8"/>
  <c r="D16" i="8"/>
  <c r="F16" i="8"/>
  <c r="H16" i="8"/>
  <c r="I16" i="8" s="1"/>
  <c r="J16" i="8" s="1"/>
  <c r="D15" i="8"/>
  <c r="F15" i="8"/>
  <c r="H15" i="8"/>
  <c r="I15" i="8" s="1"/>
  <c r="J15" i="8" s="1"/>
  <c r="G8" i="8"/>
  <c r="G7" i="8"/>
  <c r="D14" i="8"/>
  <c r="F14" i="8"/>
  <c r="H14" i="8"/>
  <c r="I14" i="8" s="1"/>
  <c r="J14" i="8" s="1"/>
  <c r="D13" i="8"/>
  <c r="F13" i="8"/>
  <c r="H13" i="8"/>
  <c r="I13" i="8" s="1"/>
  <c r="J13" i="8" s="1"/>
  <c r="E6" i="8"/>
  <c r="G6" i="8"/>
  <c r="C21" i="6"/>
  <c r="D21" i="6" s="1"/>
  <c r="B25" i="6"/>
  <c r="L2" i="3"/>
  <c r="D43" i="9"/>
  <c r="E43" i="9" s="1"/>
  <c r="F43" i="9" s="1"/>
  <c r="G43" i="9" s="1"/>
  <c r="C26" i="9"/>
  <c r="C10" i="9"/>
  <c r="D13" i="9"/>
  <c r="E13" i="9" s="1"/>
  <c r="F13" i="9" s="1"/>
  <c r="G13" i="9" s="1"/>
  <c r="C28" i="9"/>
  <c r="C44" i="9"/>
  <c r="C42" i="9"/>
  <c r="C29" i="9"/>
  <c r="C25" i="9"/>
  <c r="C9" i="9"/>
  <c r="L16" i="7"/>
  <c r="L14" i="7"/>
  <c r="L17" i="7"/>
  <c r="L15" i="7"/>
  <c r="L13" i="7"/>
  <c r="K75" i="9"/>
  <c r="E75" i="9" s="1"/>
  <c r="C59" i="9"/>
  <c r="C12" i="9"/>
  <c r="L75" i="9"/>
  <c r="F75" i="9" s="1"/>
  <c r="C60" i="9"/>
  <c r="I74" i="9"/>
  <c r="C74" i="9" s="1"/>
  <c r="C57" i="9"/>
  <c r="C41" i="9"/>
  <c r="J74" i="9"/>
  <c r="D74" i="9" s="1"/>
  <c r="C58" i="9"/>
  <c r="D45" i="9" l="1"/>
  <c r="D11" i="9"/>
  <c r="E11" i="9" s="1"/>
  <c r="F11" i="9" s="1"/>
  <c r="G11" i="9" s="1"/>
  <c r="D27" i="9"/>
  <c r="B2" i="12"/>
  <c r="B10" i="12"/>
  <c r="E57" i="13"/>
  <c r="E56" i="13"/>
  <c r="E55" i="13"/>
  <c r="E50" i="13"/>
  <c r="E49" i="13"/>
  <c r="E48" i="13"/>
  <c r="E47" i="13"/>
  <c r="E42" i="13"/>
  <c r="E41" i="13"/>
  <c r="E40" i="13"/>
  <c r="E39" i="13"/>
  <c r="E38" i="13"/>
  <c r="E33" i="13"/>
  <c r="E32" i="13"/>
  <c r="E31" i="13"/>
  <c r="E30" i="13"/>
  <c r="E29" i="13"/>
  <c r="E24" i="13"/>
  <c r="E23" i="13"/>
  <c r="E22" i="13"/>
  <c r="E21" i="13"/>
  <c r="E20" i="13"/>
  <c r="B13" i="13"/>
  <c r="H10" i="12" s="1"/>
  <c r="B12" i="13"/>
  <c r="F10" i="12" s="1"/>
  <c r="J9" i="9"/>
  <c r="J10" i="9"/>
  <c r="J11" i="9"/>
  <c r="J12" i="9"/>
  <c r="J13" i="9"/>
  <c r="J25" i="9"/>
  <c r="J26" i="9"/>
  <c r="J27" i="9"/>
  <c r="J28" i="9"/>
  <c r="J29" i="9"/>
  <c r="J41" i="9"/>
  <c r="J42" i="9"/>
  <c r="J43" i="9"/>
  <c r="J44" i="9"/>
  <c r="J45" i="9"/>
  <c r="J57" i="9"/>
  <c r="J58" i="9"/>
  <c r="J59" i="9"/>
  <c r="J60" i="9"/>
  <c r="B11" i="12"/>
  <c r="D14" i="9"/>
  <c r="D30" i="9"/>
  <c r="D46" i="9"/>
  <c r="D61" i="9"/>
  <c r="B12" i="11"/>
  <c r="D11" i="12"/>
  <c r="E16" i="8"/>
  <c r="G16" i="8"/>
  <c r="E15" i="8"/>
  <c r="G15" i="8"/>
  <c r="E14" i="8"/>
  <c r="G14" i="8"/>
  <c r="E13" i="8"/>
  <c r="G13" i="8"/>
  <c r="L16" i="8"/>
  <c r="M16" i="8"/>
  <c r="N16" i="8"/>
  <c r="M3" i="3"/>
  <c r="M4" i="3"/>
  <c r="M6" i="3"/>
  <c r="M7" i="3"/>
  <c r="M8" i="3"/>
  <c r="M9" i="3"/>
  <c r="M10" i="3"/>
  <c r="M11" i="3"/>
  <c r="M12" i="3"/>
  <c r="M13" i="3"/>
  <c r="M15" i="3"/>
  <c r="M16" i="3"/>
  <c r="M17" i="3"/>
  <c r="M18" i="3"/>
  <c r="M19" i="3"/>
  <c r="M23" i="3"/>
  <c r="M24" i="3"/>
  <c r="M25" i="3"/>
  <c r="M26" i="3"/>
  <c r="M27" i="3"/>
  <c r="M28" i="3"/>
  <c r="M29" i="3"/>
  <c r="M30" i="3"/>
  <c r="M31" i="3"/>
  <c r="M33" i="3"/>
  <c r="M34" i="3"/>
  <c r="M35" i="3"/>
  <c r="M38" i="3"/>
  <c r="M39" i="3"/>
  <c r="M40" i="3"/>
  <c r="M41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8" i="3"/>
  <c r="M59" i="3"/>
  <c r="M60" i="3"/>
  <c r="M61" i="3"/>
  <c r="M62" i="3"/>
  <c r="M2" i="3"/>
  <c r="H43" i="9"/>
  <c r="I43" i="9"/>
  <c r="K43" i="9"/>
  <c r="D26" i="9"/>
  <c r="E26" i="9" s="1"/>
  <c r="F26" i="9" s="1"/>
  <c r="G26" i="9" s="1"/>
  <c r="D10" i="9"/>
  <c r="E10" i="9" s="1"/>
  <c r="F10" i="9" s="1"/>
  <c r="G10" i="9" s="1"/>
  <c r="H13" i="9"/>
  <c r="I13" i="9"/>
  <c r="K13" i="9"/>
  <c r="D28" i="9"/>
  <c r="E28" i="9" s="1"/>
  <c r="F28" i="9" s="1"/>
  <c r="G28" i="9" s="1"/>
  <c r="D44" i="9"/>
  <c r="E44" i="9" s="1"/>
  <c r="F44" i="9" s="1"/>
  <c r="G44" i="9" s="1"/>
  <c r="D42" i="9"/>
  <c r="E42" i="9" s="1"/>
  <c r="D29" i="9"/>
  <c r="E29" i="9" s="1"/>
  <c r="F29" i="9" s="1"/>
  <c r="G29" i="9" s="1"/>
  <c r="C33" i="9"/>
  <c r="C30" i="9"/>
  <c r="D33" i="9" s="1"/>
  <c r="D25" i="9"/>
  <c r="E25" i="9" s="1"/>
  <c r="C17" i="9"/>
  <c r="C14" i="9"/>
  <c r="D17" i="9" s="1"/>
  <c r="D9" i="9"/>
  <c r="D59" i="9"/>
  <c r="E59" i="9"/>
  <c r="F59" i="9"/>
  <c r="G59" i="9"/>
  <c r="D12" i="9"/>
  <c r="E12" i="9"/>
  <c r="F12" i="9"/>
  <c r="G12" i="9"/>
  <c r="D60" i="9"/>
  <c r="E60" i="9"/>
  <c r="F60" i="9"/>
  <c r="G60" i="9"/>
  <c r="D57" i="9"/>
  <c r="E57" i="9"/>
  <c r="C61" i="9"/>
  <c r="D64" i="9" s="1"/>
  <c r="C64" i="9"/>
  <c r="D41" i="9"/>
  <c r="E41" i="9"/>
  <c r="F41" i="9" s="1"/>
  <c r="G41" i="9" s="1"/>
  <c r="C46" i="9"/>
  <c r="D49" i="9" s="1"/>
  <c r="C49" i="9"/>
  <c r="D58" i="9"/>
  <c r="C62" i="9" s="1"/>
  <c r="E58" i="9"/>
  <c r="F58" i="9" s="1"/>
  <c r="G58" i="9" s="1"/>
  <c r="E11" i="8"/>
  <c r="E9" i="8"/>
  <c r="E12" i="8"/>
  <c r="E10" i="8"/>
  <c r="E8" i="8"/>
  <c r="E7" i="8"/>
  <c r="K45" i="9" l="1"/>
  <c r="H11" i="9"/>
  <c r="I11" i="9"/>
  <c r="K11" i="9"/>
  <c r="K27" i="9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H26" i="9"/>
  <c r="I26" i="9"/>
  <c r="K26" i="9"/>
  <c r="H10" i="9"/>
  <c r="I10" i="9"/>
  <c r="K10" i="9"/>
  <c r="H28" i="9"/>
  <c r="I28" i="9"/>
  <c r="K28" i="9"/>
  <c r="H44" i="9"/>
  <c r="I44" i="9"/>
  <c r="K44" i="9"/>
  <c r="K42" i="9"/>
  <c r="H29" i="9"/>
  <c r="I29" i="9"/>
  <c r="K29" i="9"/>
  <c r="K25" i="9"/>
  <c r="K9" i="9"/>
  <c r="H59" i="9"/>
  <c r="I59" i="9"/>
  <c r="K59" i="9"/>
  <c r="H12" i="9"/>
  <c r="I12" i="9"/>
  <c r="K12" i="9"/>
  <c r="H60" i="9"/>
  <c r="I60" i="9"/>
  <c r="K60" i="9"/>
  <c r="K57" i="9"/>
  <c r="H41" i="9"/>
  <c r="I41" i="9"/>
  <c r="K41" i="9"/>
  <c r="H58" i="9"/>
  <c r="I58" i="9"/>
  <c r="K58" i="9"/>
  <c r="E45" i="9"/>
  <c r="F45" i="9" s="1"/>
  <c r="G45" i="9" s="1"/>
  <c r="C47" i="9"/>
  <c r="C31" i="9"/>
  <c r="E27" i="9"/>
  <c r="F27" i="9" s="1"/>
  <c r="G27" i="9" s="1"/>
  <c r="F42" i="9"/>
  <c r="G42" i="9" s="1"/>
  <c r="C48" i="9"/>
  <c r="F25" i="9"/>
  <c r="G25" i="9" s="1"/>
  <c r="C32" i="9"/>
  <c r="C15" i="9"/>
  <c r="E9" i="9"/>
  <c r="C63" i="9"/>
  <c r="F57" i="9"/>
  <c r="G57" i="9" s="1"/>
  <c r="M12" i="8"/>
  <c r="N12" i="8"/>
  <c r="L13" i="8"/>
  <c r="M13" i="8"/>
  <c r="N13" i="8"/>
  <c r="L8" i="8"/>
  <c r="M14" i="8"/>
  <c r="N14" i="8"/>
  <c r="L15" i="8"/>
  <c r="M15" i="8"/>
  <c r="N15" i="8"/>
  <c r="L14" i="8"/>
  <c r="L6" i="8"/>
  <c r="B14" i="12" s="1"/>
  <c r="M6" i="8"/>
  <c r="N6" i="8"/>
  <c r="L7" i="8"/>
  <c r="M7" i="8"/>
  <c r="N7" i="8"/>
  <c r="M8" i="8"/>
  <c r="N8" i="8"/>
  <c r="L9" i="8"/>
  <c r="M9" i="8"/>
  <c r="N9" i="8"/>
  <c r="L12" i="8"/>
  <c r="L10" i="8"/>
  <c r="M10" i="8"/>
  <c r="N10" i="8"/>
  <c r="L11" i="8"/>
  <c r="M11" i="8"/>
  <c r="N11" i="8"/>
  <c r="C2" i="4" l="1"/>
  <c r="D2" i="4"/>
  <c r="E2" i="4"/>
  <c r="F2" i="4"/>
  <c r="G2" i="4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0" i="9"/>
  <c r="C51" i="9" s="1"/>
  <c r="D51" i="9" s="1"/>
  <c r="C52" i="9"/>
  <c r="D52" i="9" s="1"/>
  <c r="C34" i="9"/>
  <c r="C35" i="9" s="1"/>
  <c r="D35" i="9" s="1"/>
  <c r="C36" i="9"/>
  <c r="D36" i="9" s="1"/>
  <c r="F9" i="9"/>
  <c r="G9" i="9" s="1"/>
  <c r="C16" i="9"/>
  <c r="H45" i="9"/>
  <c r="I45" i="9"/>
  <c r="H27" i="9"/>
  <c r="I27" i="9"/>
  <c r="I42" i="9"/>
  <c r="H42" i="9"/>
  <c r="H25" i="9"/>
  <c r="I25" i="9"/>
  <c r="C67" i="9"/>
  <c r="D67" i="9" s="1"/>
  <c r="C65" i="9"/>
  <c r="C66" i="9" s="1"/>
  <c r="D66" i="9" s="1"/>
  <c r="H57" i="9"/>
  <c r="I57" i="9"/>
  <c r="B12" i="10" l="1"/>
  <c r="B5" i="10"/>
  <c r="B6" i="10"/>
  <c r="B7" i="10"/>
  <c r="B8" i="10"/>
  <c r="B9" i="10" s="1"/>
  <c r="C16" i="10"/>
  <c r="D16" i="10"/>
  <c r="E16" i="10"/>
  <c r="F16" i="10"/>
  <c r="E17" i="10"/>
  <c r="F17" i="10"/>
  <c r="E18" i="10"/>
  <c r="F18" i="10"/>
  <c r="E19" i="10"/>
  <c r="F19" i="10"/>
  <c r="E20" i="10"/>
  <c r="F20" i="10"/>
  <c r="C17" i="10"/>
  <c r="D17" i="10"/>
  <c r="C18" i="10"/>
  <c r="D18" i="10"/>
  <c r="C19" i="10"/>
  <c r="D19" i="10"/>
  <c r="I9" i="9"/>
  <c r="H9" i="9"/>
  <c r="C18" i="9"/>
  <c r="C19" i="9" s="1"/>
  <c r="C20" i="9"/>
  <c r="D20" i="9" s="1"/>
  <c r="B10" i="10" l="1"/>
  <c r="A32" i="10"/>
  <c r="B15" i="12"/>
  <c r="G16" i="10"/>
  <c r="H16" i="10" s="1"/>
  <c r="I16" i="10" s="1"/>
  <c r="B16" i="10" s="1"/>
  <c r="J16" i="10"/>
  <c r="K16" i="10"/>
  <c r="L16" i="10"/>
  <c r="B23" i="10"/>
  <c r="A28" i="10"/>
  <c r="G17" i="10"/>
  <c r="H17" i="10" s="1"/>
  <c r="I17" i="10" s="1"/>
  <c r="J17" i="10"/>
  <c r="K17" i="10"/>
  <c r="L17" i="10"/>
  <c r="C23" i="10"/>
  <c r="A29" i="10"/>
  <c r="B17" i="10"/>
  <c r="G18" i="10"/>
  <c r="H18" i="10" s="1"/>
  <c r="I18" i="10" s="1"/>
  <c r="J18" i="10"/>
  <c r="K18" i="10"/>
  <c r="L18" i="10"/>
  <c r="D23" i="10"/>
  <c r="G19" i="10"/>
  <c r="H19" i="10" s="1"/>
  <c r="I19" i="10" s="1"/>
  <c r="J19" i="10"/>
  <c r="K19" i="10"/>
  <c r="L19" i="10"/>
  <c r="E23" i="10"/>
  <c r="G20" i="10"/>
  <c r="H20" i="10" s="1"/>
  <c r="I20" i="10" s="1"/>
  <c r="J20" i="10"/>
  <c r="K20" i="10"/>
  <c r="B24" i="10"/>
  <c r="D19" i="9"/>
  <c r="B13" i="12"/>
  <c r="B11" i="10"/>
  <c r="A31" i="10" l="1"/>
  <c r="B19" i="10"/>
  <c r="N16" i="10"/>
  <c r="N17" i="10"/>
  <c r="N18" i="10"/>
  <c r="N19" i="10"/>
  <c r="M19" i="10" s="1"/>
  <c r="B10" i="11"/>
  <c r="B11" i="11" s="1"/>
  <c r="H2" i="4"/>
  <c r="I2" i="4" s="1"/>
  <c r="J2" i="4" s="1"/>
  <c r="H3" i="4"/>
  <c r="I3" i="4" s="1"/>
  <c r="J3" i="4" s="1"/>
  <c r="H4" i="4"/>
  <c r="I4" i="4" s="1"/>
  <c r="J4" i="4" s="1"/>
  <c r="H5" i="4"/>
  <c r="I5" i="4" s="1"/>
  <c r="J5" i="4" s="1"/>
  <c r="H6" i="4"/>
  <c r="I6" i="4" s="1"/>
  <c r="J6" i="4" s="1"/>
  <c r="H7" i="4"/>
  <c r="I7" i="4" s="1"/>
  <c r="J7" i="4" s="1"/>
  <c r="H8" i="4"/>
  <c r="I8" i="4" s="1"/>
  <c r="J8" i="4" s="1"/>
  <c r="H9" i="4"/>
  <c r="I9" i="4" s="1"/>
  <c r="J9" i="4" s="1"/>
  <c r="H10" i="4"/>
  <c r="I10" i="4" s="1"/>
  <c r="J10" i="4" s="1"/>
  <c r="H11" i="4"/>
  <c r="I11" i="4" s="1"/>
  <c r="J11" i="4" s="1"/>
  <c r="H12" i="4"/>
  <c r="I12" i="4" s="1"/>
  <c r="J12" i="4" s="1"/>
  <c r="H13" i="4"/>
  <c r="I13" i="4" s="1"/>
  <c r="J13" i="4" s="1"/>
  <c r="H14" i="4"/>
  <c r="I14" i="4" s="1"/>
  <c r="J14" i="4" s="1"/>
  <c r="H15" i="4"/>
  <c r="I15" i="4" s="1"/>
  <c r="J15" i="4" s="1"/>
  <c r="H16" i="4"/>
  <c r="I16" i="4" s="1"/>
  <c r="J16" i="4" s="1"/>
  <c r="H17" i="4"/>
  <c r="I17" i="4" s="1"/>
  <c r="J17" i="4" s="1"/>
  <c r="H18" i="4"/>
  <c r="I18" i="4" s="1"/>
  <c r="J18" i="4" s="1"/>
  <c r="H19" i="4"/>
  <c r="I19" i="4" s="1"/>
  <c r="J19" i="4" s="1"/>
  <c r="H20" i="4"/>
  <c r="I20" i="4" s="1"/>
  <c r="J20" i="4" s="1"/>
  <c r="H21" i="4"/>
  <c r="I21" i="4" s="1"/>
  <c r="J21" i="4" s="1"/>
  <c r="H22" i="4"/>
  <c r="I22" i="4" s="1"/>
  <c r="J22" i="4" s="1"/>
  <c r="H23" i="4"/>
  <c r="I23" i="4" s="1"/>
  <c r="J23" i="4" s="1"/>
  <c r="H24" i="4"/>
  <c r="I24" i="4" s="1"/>
  <c r="J24" i="4" s="1"/>
  <c r="H25" i="4"/>
  <c r="I25" i="4" s="1"/>
  <c r="J25" i="4" s="1"/>
  <c r="H26" i="4"/>
  <c r="I26" i="4" s="1"/>
  <c r="J26" i="4" s="1"/>
  <c r="H27" i="4"/>
  <c r="I27" i="4" s="1"/>
  <c r="J27" i="4" s="1"/>
  <c r="H28" i="4"/>
  <c r="I28" i="4" s="1"/>
  <c r="J28" i="4" s="1"/>
  <c r="H29" i="4"/>
  <c r="I29" i="4" s="1"/>
  <c r="J29" i="4" s="1"/>
  <c r="H30" i="4"/>
  <c r="I30" i="4" s="1"/>
  <c r="J30" i="4" s="1"/>
  <c r="H31" i="4"/>
  <c r="I31" i="4" s="1"/>
  <c r="J31" i="4" s="1"/>
  <c r="H32" i="4"/>
  <c r="I32" i="4" s="1"/>
  <c r="J32" i="4" s="1"/>
  <c r="H33" i="4"/>
  <c r="I33" i="4" s="1"/>
  <c r="J33" i="4" s="1"/>
  <c r="H34" i="4"/>
  <c r="I34" i="4" s="1"/>
  <c r="J34" i="4" s="1"/>
  <c r="H35" i="4"/>
  <c r="I35" i="4" s="1"/>
  <c r="J35" i="4" s="1"/>
  <c r="H36" i="4"/>
  <c r="I36" i="4" s="1"/>
  <c r="J36" i="4" s="1"/>
  <c r="H37" i="4"/>
  <c r="I37" i="4" s="1"/>
  <c r="J37" i="4" s="1"/>
  <c r="H38" i="4"/>
  <c r="I38" i="4" s="1"/>
  <c r="J38" i="4" s="1"/>
  <c r="H39" i="4"/>
  <c r="I39" i="4" s="1"/>
  <c r="J39" i="4" s="1"/>
  <c r="H40" i="4"/>
  <c r="I40" i="4" s="1"/>
  <c r="J40" i="4" s="1"/>
  <c r="H41" i="4"/>
  <c r="I41" i="4" s="1"/>
  <c r="J41" i="4" s="1"/>
  <c r="H42" i="4"/>
  <c r="I42" i="4" s="1"/>
  <c r="J42" i="4" s="1"/>
  <c r="H43" i="4"/>
  <c r="I43" i="4" s="1"/>
  <c r="J43" i="4" s="1"/>
  <c r="H44" i="4"/>
  <c r="I44" i="4" s="1"/>
  <c r="J44" i="4" s="1"/>
  <c r="H45" i="4"/>
  <c r="I45" i="4" s="1"/>
  <c r="J45" i="4" s="1"/>
  <c r="H46" i="4"/>
  <c r="I46" i="4" s="1"/>
  <c r="J46" i="4" s="1"/>
  <c r="H47" i="4"/>
  <c r="I47" i="4" s="1"/>
  <c r="J47" i="4" s="1"/>
  <c r="H48" i="4"/>
  <c r="I48" i="4" s="1"/>
  <c r="J48" i="4" s="1"/>
  <c r="H49" i="4"/>
  <c r="I49" i="4" s="1"/>
  <c r="J49" i="4" s="1"/>
  <c r="H50" i="4"/>
  <c r="I50" i="4" s="1"/>
  <c r="J50" i="4" s="1"/>
  <c r="H51" i="4"/>
  <c r="I51" i="4" s="1"/>
  <c r="J51" i="4" s="1"/>
  <c r="H52" i="4"/>
  <c r="I52" i="4" s="1"/>
  <c r="J52" i="4" s="1"/>
  <c r="A30" i="10"/>
  <c r="B18" i="10"/>
  <c r="M16" i="10" l="1"/>
  <c r="M17" i="10"/>
  <c r="M18" i="10"/>
</calcChain>
</file>

<file path=xl/sharedStrings.xml><?xml version="1.0" encoding="utf-8"?>
<sst xmlns="http://schemas.openxmlformats.org/spreadsheetml/2006/main" count="531" uniqueCount="300">
  <si>
    <t>body_weight</t>
  </si>
  <si>
    <t>brain_weight</t>
  </si>
  <si>
    <t>max_life_span</t>
  </si>
  <si>
    <t>gestation_time</t>
  </si>
  <si>
    <t>predation_index</t>
  </si>
  <si>
    <t>sleep_exposure_index</t>
  </si>
  <si>
    <t>danger_index</t>
  </si>
  <si>
    <t>total_sleep</t>
  </si>
  <si>
    <t>?</t>
  </si>
  <si>
    <t>record_id</t>
  </si>
  <si>
    <t>missing_count</t>
  </si>
  <si>
    <t>placeholders_found</t>
  </si>
  <si>
    <t>other_non_numeric</t>
  </si>
  <si>
    <t>has_sleep</t>
  </si>
  <si>
    <t>complete_case</t>
  </si>
  <si>
    <t>range_ok</t>
  </si>
  <si>
    <t>include_row</t>
  </si>
  <si>
    <t>log10_body_weight</t>
  </si>
  <si>
    <t>log10_brain_weight</t>
  </si>
  <si>
    <t>log10_max_life_span</t>
  </si>
  <si>
    <t>log10_gestation_time</t>
  </si>
  <si>
    <t>brain_g_per_body_kg</t>
  </si>
  <si>
    <t>sleep_group</t>
  </si>
  <si>
    <t>body_size_class</t>
  </si>
  <si>
    <t>danger_group</t>
  </si>
  <si>
    <t>sleep_squared</t>
  </si>
  <si>
    <t>model_seq</t>
  </si>
  <si>
    <t>k</t>
  </si>
  <si>
    <t>source_row</t>
  </si>
  <si>
    <t>predicted_sleep</t>
  </si>
  <si>
    <t>residual</t>
  </si>
  <si>
    <t>std_residual</t>
  </si>
  <si>
    <t>Settings, assumptions &amp; workbook map</t>
  </si>
  <si>
    <t>Dashboard dropdown lists</t>
  </si>
  <si>
    <t>1. Validation limits &amp; test settings</t>
  </si>
  <si>
    <t>danger</t>
  </si>
  <si>
    <t>pred</t>
  </si>
  <si>
    <t>expo</t>
  </si>
  <si>
    <t>size</t>
  </si>
  <si>
    <t>Parameter</t>
  </si>
  <si>
    <t>Value</t>
  </si>
  <si>
    <t>Notes</t>
  </si>
  <si>
    <t>All</t>
  </si>
  <si>
    <t>Minimum plausible weight (kg / g)</t>
  </si>
  <si>
    <t>Smallest animal is a bat (0.005 kg)</t>
  </si>
  <si>
    <t>Maximum plausible body weight (kg)</t>
  </si>
  <si>
    <t>Assumption (largest in file 6,654 kg)</t>
  </si>
  <si>
    <t>Maximum plausible brain weight (g)</t>
  </si>
  <si>
    <t>Assumption (largest 5,712 g)</t>
  </si>
  <si>
    <t>Maximum life span (years)</t>
  </si>
  <si>
    <t>Assumption</t>
  </si>
  <si>
    <t>Maximum gestation (days)</t>
  </si>
  <si>
    <t>Assumption (largest 645)</t>
  </si>
  <si>
    <t>Minimum index value (1-5 scales)</t>
  </si>
  <si>
    <t>Predation, exposure, danger</t>
  </si>
  <si>
    <t>Maximum index value (1-5 scales)</t>
  </si>
  <si>
    <t>Maximum sleep (hours per day)</t>
  </si>
  <si>
    <t>Physical limit</t>
  </si>
  <si>
    <t>Significance level (alpha)</t>
  </si>
  <si>
    <t>Used for CIs and significance flags</t>
  </si>
  <si>
    <t>2. Banding tables (LOOKUP lower bounds feed Clean_2_Features)</t>
  </si>
  <si>
    <t>Sleep groups (hours / day)</t>
  </si>
  <si>
    <t>Lower bound (&gt;=)</t>
  </si>
  <si>
    <t>Label (auto)</t>
  </si>
  <si>
    <t>Short</t>
  </si>
  <si>
    <t>Medium</t>
  </si>
  <si>
    <t>Long</t>
  </si>
  <si>
    <t>Body-size classes (kg)</t>
  </si>
  <si>
    <t>Tiny</t>
  </si>
  <si>
    <t>Small</t>
  </si>
  <si>
    <t>Large</t>
  </si>
  <si>
    <t>Danger groups (danger_index)</t>
  </si>
  <si>
    <t>Low</t>
  </si>
  <si>
    <t>Moderate</t>
  </si>
  <si>
    <t>High</t>
  </si>
  <si>
    <t>Model_Data</t>
  </si>
  <si>
    <t>Data quality &amp; cleaning report (all formulas)</t>
  </si>
  <si>
    <t>A. Missing data by column</t>
  </si>
  <si>
    <t>Column</t>
  </si>
  <si>
    <t>Treatment</t>
  </si>
  <si>
    <t>Non-missing</t>
  </si>
  <si>
    <t>Missing</t>
  </si>
  <si>
    <t>% missing</t>
  </si>
  <si>
    <t>"?" in Raw_Data</t>
  </si>
  <si>
    <t>Min</t>
  </si>
  <si>
    <t>Max</t>
  </si>
  <si>
    <t>Complete - no action</t>
  </si>
  <si>
    <t>Kept as blank; excluded pairwise; excluded from regression</t>
  </si>
  <si>
    <t>Outcome - animals without it are excluded from sleep analyses</t>
  </si>
  <si>
    <t>B. Record-level summary</t>
  </si>
  <si>
    <t>Check</t>
  </si>
  <si>
    <t>Meaning</t>
  </si>
  <si>
    <t>Records</t>
  </si>
  <si>
    <t>% of records</t>
  </si>
  <si>
    <t>Total records</t>
  </si>
  <si>
    <t>Animals in Raw_Data</t>
  </si>
  <si>
    <t>Rows with at least one missing value</t>
  </si>
  <si>
    <t>missing_count &gt; 0</t>
  </si>
  <si>
    <t>Rows missing the outcome (total_sleep)</t>
  </si>
  <si>
    <t>Excluded from sleep analyses</t>
  </si>
  <si>
    <t>Rows with sleep recorded</t>
  </si>
  <si>
    <t>Used in correlations &amp; group analysis</t>
  </si>
  <si>
    <t>Complete cases</t>
  </si>
  <si>
    <t>No missing value in any column - used for regression</t>
  </si>
  <si>
    <t>Rows passing range checks</t>
  </si>
  <si>
    <t>All values within Settings limits</t>
  </si>
  <si>
    <t>Non-numeric values that are not "?"</t>
  </si>
  <si>
    <t>Unexpected text - should be 0</t>
  </si>
  <si>
    <t>Model rows check</t>
  </si>
  <si>
    <t>C. Skewness: why we transform</t>
  </si>
  <si>
    <t>Variable</t>
  </si>
  <si>
    <t>Decision</t>
  </si>
  <si>
    <t>Skew (raw)</t>
  </si>
  <si>
    <t>Skew (log10)</t>
  </si>
  <si>
    <t>Improvement</t>
  </si>
  <si>
    <t>D. Outlier scan (Tukey 1.5 x IQR) - flagged, not removed</t>
  </si>
  <si>
    <t>Q1</t>
  </si>
  <si>
    <t>Q3</t>
  </si>
  <si>
    <t>Lower fence</t>
  </si>
  <si>
    <t>Upper fence</t>
  </si>
  <si>
    <t>Below</t>
  </si>
  <si>
    <t>Above</t>
  </si>
  <si>
    <t>body_weight (kg)</t>
  </si>
  <si>
    <t>Flag only: real animals (e.g. elephants), retained</t>
  </si>
  <si>
    <t>brain_weight (g)</t>
  </si>
  <si>
    <t>max_life_span (years)</t>
  </si>
  <si>
    <t>gestation_time (days)</t>
  </si>
  <si>
    <t>total_sleep (h/day)</t>
  </si>
  <si>
    <t>E. Pipeline map</t>
  </si>
  <si>
    <t>Clean_1_Numeric / B:I</t>
  </si>
  <si>
    <t>Keep numbers, turn "?" into blank</t>
  </si>
  <si>
    <t>Clean_1_Numeric / missing_count, placeholders</t>
  </si>
  <si>
    <t>Blanks per row; literal "?" found via COUNTIF "~?"</t>
  </si>
  <si>
    <t>Clean_1_Numeric / range_ok, include_row</t>
  </si>
  <si>
    <t>Limits from Settings; include = sleep present AND range ok</t>
  </si>
  <si>
    <t>Clean_2_Features / log10_*</t>
  </si>
  <si>
    <t>LOG10 of weights, life span, gestation</t>
  </si>
  <si>
    <t>Clean_2_Features / groups</t>
  </si>
  <si>
    <t>LOOKUP against Settings bands (sleep, size, danger)</t>
  </si>
  <si>
    <t>Clean_2_Features / model_seq</t>
  </si>
  <si>
    <t>Running index of complete cases</t>
  </si>
  <si>
    <t>INDEX/MATCH pull of complete cases -&gt; LINEST</t>
  </si>
  <si>
    <t>Descriptive statistics</t>
  </si>
  <si>
    <t>N</t>
  </si>
  <si>
    <t>Mean</t>
  </si>
  <si>
    <t>Median</t>
  </si>
  <si>
    <t>Std dev</t>
  </si>
  <si>
    <t>Skewness</t>
  </si>
  <si>
    <t>CV %</t>
  </si>
  <si>
    <t>log10 body_weight</t>
  </si>
  <si>
    <t>log10 brain_weight</t>
  </si>
  <si>
    <t>log10 max_life_span</t>
  </si>
  <si>
    <t>log10 gestation_time</t>
  </si>
  <si>
    <t>brain g per body kg</t>
  </si>
  <si>
    <t>Distribution of total sleep (all animals with sleep recorded)</t>
  </si>
  <si>
    <t>Bin (hours)</t>
  </si>
  <si>
    <t>From (&gt;=)</t>
  </si>
  <si>
    <t>To (&lt;)</t>
  </si>
  <si>
    <t>Animals</t>
  </si>
  <si>
    <t>% of animals</t>
  </si>
  <si>
    <t>2-4 h</t>
  </si>
  <si>
    <t>4-6 h</t>
  </si>
  <si>
    <t>6-8 h</t>
  </si>
  <si>
    <t>8-10 h</t>
  </si>
  <si>
    <t>10-12 h</t>
  </si>
  <si>
    <t>12-14 h</t>
  </si>
  <si>
    <t>14-16 h</t>
  </si>
  <si>
    <t>16-18 h</t>
  </si>
  <si>
    <t>18-20 h</t>
  </si>
  <si>
    <t>Correlation with total sleep (hours / day)</t>
  </si>
  <si>
    <t>Pairwise Pearson r on available values. Log10 versions are used for the skewed measurements. Negative r = more of the variable, less sleep.</t>
  </si>
  <si>
    <t>Strength thresholds (|r| &gt;=):</t>
  </si>
  <si>
    <t>Very strong</t>
  </si>
  <si>
    <t>Strong</t>
  </si>
  <si>
    <t>Weak</t>
  </si>
  <si>
    <t>Variables ranked by |r|</t>
  </si>
  <si>
    <t>Pairs (n)</t>
  </si>
  <si>
    <t>r with sleep</t>
  </si>
  <si>
    <t>|r|</t>
  </si>
  <si>
    <t>Rank</t>
  </si>
  <si>
    <t>Direction</t>
  </si>
  <si>
    <t>Strength</t>
  </si>
  <si>
    <t>t-stat</t>
  </si>
  <si>
    <t>p-value</t>
  </si>
  <si>
    <t>Sig.</t>
  </si>
  <si>
    <t>r</t>
  </si>
  <si>
    <t>Correlation matrix (pairwise) - check predictors for overlap (multicollinearity)</t>
  </si>
  <si>
    <t>log10 body</t>
  </si>
  <si>
    <t>log10 brain</t>
  </si>
  <si>
    <t>log10 life span</t>
  </si>
  <si>
    <t>log10 gestation</t>
  </si>
  <si>
    <t>predation</t>
  </si>
  <si>
    <t>exposure</t>
  </si>
  <si>
    <t>total sleep</t>
  </si>
  <si>
    <t>Scatter plots use the complete cases (Model_Data) so every point has all values.</t>
  </si>
  <si>
    <t>Sleep by group: means, confidence intervals &amp; one-way ANOVA</t>
  </si>
  <si>
    <t>Animals with sleep recorded</t>
  </si>
  <si>
    <t>Overall mean sleep (h/day)</t>
  </si>
  <si>
    <t>Danger index (1 = low, 5 = high)</t>
  </si>
  <si>
    <t>Category</t>
  </si>
  <si>
    <t>Key</t>
  </si>
  <si>
    <t>Mean sleep (h)</t>
  </si>
  <si>
    <t>Std error</t>
  </si>
  <si>
    <t>95% CI +/-</t>
  </si>
  <si>
    <t>Lower 95%</t>
  </si>
  <si>
    <t>Upper 95%</t>
  </si>
  <si>
    <t>vs overall (h)</t>
  </si>
  <si>
    <t>Index 1</t>
  </si>
  <si>
    <t>Index 2</t>
  </si>
  <si>
    <t>Index 3</t>
  </si>
  <si>
    <t>Index 4</t>
  </si>
  <si>
    <t>Index 5</t>
  </si>
  <si>
    <t>All animals</t>
  </si>
  <si>
    <t>Between-group SS</t>
  </si>
  <si>
    <t>Within-group SS</t>
  </si>
  <si>
    <t>df (between, within)</t>
  </si>
  <si>
    <t>F statistic</t>
  </si>
  <si>
    <t>p-value (ANOVA)</t>
  </si>
  <si>
    <t>Eta-squared (effect size)</t>
  </si>
  <si>
    <t>Predation index (1 = low, 5 = high)</t>
  </si>
  <si>
    <t>Sleep exposure index (1 = well protected, 5 = exposed)</t>
  </si>
  <si>
    <t>Body-size class</t>
  </si>
  <si>
    <t>Cross-tab: mean sleep (h) by danger group and body-size class</t>
  </si>
  <si>
    <t>Mean sleep</t>
  </si>
  <si>
    <t>key</t>
  </si>
  <si>
    <t>column key</t>
  </si>
  <si>
    <t>Colour: red = least sleep, green = most. Blank = no animals in that cell. Small cells (n &lt; 5) are indicative only.</t>
  </si>
  <si>
    <t>Multiple regression (LINEST): what predicts hours of sleep?</t>
  </si>
  <si>
    <t>Model statistics</t>
  </si>
  <si>
    <t>R-squared</t>
  </si>
  <si>
    <t>Std error of estimate (hours)</t>
  </si>
  <si>
    <t>F-statistic</t>
  </si>
  <si>
    <t>Residual degrees of freedom</t>
  </si>
  <si>
    <t>Observations (complete cases)</t>
  </si>
  <si>
    <t>Adjusted R-squared</t>
  </si>
  <si>
    <t>p-value of F-test</t>
  </si>
  <si>
    <t>Std dev of sleep (y)</t>
  </si>
  <si>
    <t>Coefficients</t>
  </si>
  <si>
    <t>Predictor</t>
  </si>
  <si>
    <t>Reads as</t>
  </si>
  <si>
    <t>Mean (x)</t>
  </si>
  <si>
    <t>Std dev (x)</t>
  </si>
  <si>
    <t>Coefficient</t>
  </si>
  <si>
    <t>Standardised beta</t>
  </si>
  <si>
    <t>Importance rank</t>
  </si>
  <si>
    <t>log10 body weight (kg)</t>
  </si>
  <si>
    <t>log10 max life span (years)</t>
  </si>
  <si>
    <t>log10 gestation time (days)</t>
  </si>
  <si>
    <t>danger index (1-5)</t>
  </si>
  <si>
    <t>Intercept</t>
  </si>
  <si>
    <t>Predicted sleep when all predictors = 0</t>
  </si>
  <si>
    <t>Chart helper: |std beta| in column N</t>
  </si>
  <si>
    <t>Model vector (feeds Model_Data predictions and Sleep_Predictor)</t>
  </si>
  <si>
    <t>Coefficients in Model_Data column order -&gt;</t>
  </si>
  <si>
    <t>Plain-English reading (updates with the data)</t>
  </si>
  <si>
    <t>Sleep predictor: estimate hours of sleep for a hypothetical mammal</t>
  </si>
  <si>
    <t>Enter values in the yellow cells. Uses the Regression sheet coefficients.</t>
  </si>
  <si>
    <t>Input</t>
  </si>
  <si>
    <t>Observed min</t>
  </si>
  <si>
    <t>Observed max</t>
  </si>
  <si>
    <t>Body weight (kg)</t>
  </si>
  <si>
    <t>Gestation time (days)</t>
  </si>
  <si>
    <t>Danger index (1-5)</t>
  </si>
  <si>
    <t>Predicted sleep (hours / day)</t>
  </si>
  <si>
    <t>Approx. 95% prediction interval</t>
  </si>
  <si>
    <t>Average sleep in dataset</t>
  </si>
  <si>
    <t>Typical sleep for this danger index</t>
  </si>
  <si>
    <t>Input check</t>
  </si>
  <si>
    <t>Mammal Sleep Patterns - Interactive Dashboard</t>
  </si>
  <si>
    <t>Danger index</t>
  </si>
  <si>
    <t>Predation index</t>
  </si>
  <si>
    <t>Exposure index</t>
  </si>
  <si>
    <t>ANIMALS</t>
  </si>
  <si>
    <t>AVG SLEEP (H/DAY)</t>
  </si>
  <si>
    <t>VS OVERALL (H)</t>
  </si>
  <si>
    <t>SHORT SLEEPERS</t>
  </si>
  <si>
    <t>AVG GESTATION (D)</t>
  </si>
  <si>
    <t>AVG LIFE SPAN (Y)</t>
  </si>
  <si>
    <t>Dashboard calculation engine (live formulas)</t>
  </si>
  <si>
    <t>Dropdown selections become COUNTIFS criteria ("*" and "&gt;=0" mean All).</t>
  </si>
  <si>
    <t>Filter criteria</t>
  </si>
  <si>
    <t>Body size</t>
  </si>
  <si>
    <t>KPIs for current selection</t>
  </si>
  <si>
    <t>Animals in view</t>
  </si>
  <si>
    <t>Average sleep (h/day)</t>
  </si>
  <si>
    <t>Difference vs overall (h)</t>
  </si>
  <si>
    <t>Share of short sleepers</t>
  </si>
  <si>
    <t>Average gestation (days)</t>
  </si>
  <si>
    <t>Average life span (years)</t>
  </si>
  <si>
    <t>By danger index</t>
  </si>
  <si>
    <t>Avg sleep (h)</t>
  </si>
  <si>
    <t>% of view</t>
  </si>
  <si>
    <t>By exposure index</t>
  </si>
  <si>
    <t>By predation index</t>
  </si>
  <si>
    <t>By body-size class</t>
  </si>
  <si>
    <t>By sleep group</t>
  </si>
  <si>
    <t>Sleep histogram (2-hour bins)</t>
  </si>
  <si>
    <t>Bin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</si>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</sst>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#"/>
    <numFmt numFmtId="166" formatCode="0.000"/>
    <numFmt numFmtId="167" formatCode="0.0000"/>
    <numFmt numFmtId="168" formatCode="\+0.00;\-0.00;0.00"/>
    <numFmt numFmtId="169" formatCode="0.0"/>
    <numFmt numFmtId="170" formatCode="\+0.0;\-0.0;0.0"/>
  </numFmts>
  <fonts count="30" x14ac:knownFonts="1"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6"/>
      <color rgb="FF1F3864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563C1"/>
      <name val="Arial"/>
      <family val="2"/>
      <charset val="1"/>
    </font>
    <font>
      <b/>
      <sz val="10"/>
      <color rgb="FF006100"/>
      <name val="Arial"/>
      <family val="2"/>
      <charset val="1"/>
    </font>
    <font>
      <b/>
      <sz val="8"/>
      <color rgb="FFFFFFFF"/>
      <name val="Arial"/>
      <family val="2"/>
      <charset val="1"/>
    </font>
    <font>
      <i/>
      <sz val="8"/>
      <color rgb="FF808080"/>
      <name val="Arial"/>
      <family val="2"/>
      <charset val="1"/>
    </font>
    <font>
      <i/>
      <sz val="10"/>
      <color theme="1"/>
      <name val="Arial"/>
      <family val="2"/>
      <charset val="1"/>
    </font>
    <font>
      <sz val="10"/>
      <color rgb="FFA6A6A6"/>
      <name val="Arial"/>
      <family val="2"/>
      <charset val="1"/>
    </font>
    <font>
      <sz val="10"/>
      <color rgb="FF006100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0"/>
      <color rgb="FFC00000"/>
      <name val="Arial"/>
      <family val="2"/>
      <charset val="1"/>
    </font>
    <font>
      <b/>
      <sz val="20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20"/>
      <color rgb="FF1F3864"/>
      <name val="Arial"/>
      <family val="2"/>
      <charset val="1"/>
    </font>
    <font>
      <b/>
      <sz val="20"/>
      <color rgb="FF2E75B6"/>
      <name val="Arial"/>
      <family val="2"/>
      <charset val="1"/>
    </font>
    <font>
      <b/>
      <sz val="20"/>
      <color rgb="FFED7D31"/>
      <name val="Arial"/>
      <family val="2"/>
      <charset val="1"/>
    </font>
    <font>
      <b/>
      <sz val="20"/>
      <color rgb="FFC00000"/>
      <name val="Arial"/>
      <family val="2"/>
      <charset val="1"/>
    </font>
    <font>
      <b/>
      <sz val="20"/>
      <color rgb="FF548235"/>
      <name val="Arial"/>
      <family val="2"/>
      <charset val="1"/>
    </font>
    <font>
      <b/>
      <sz val="20"/>
      <color rgb="FF7030A0"/>
      <name val="Arial"/>
      <family val="2"/>
      <charset val="1"/>
    </font>
    <font>
      <i/>
      <sz val="8"/>
      <color rgb="FF7F7F7F"/>
      <name val="Arial"/>
      <family val="2"/>
      <charset val="1"/>
    </font>
    <font>
      <sz val="10"/>
      <color rgb="FF1F3864"/>
      <name val="Arial"/>
      <family val="2"/>
      <charset val="1"/>
    </font>
    <font>
      <i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548235"/>
        <bgColor rgb="FF595959"/>
      </patternFill>
    </fill>
    <fill>
      <patternFill patternType="solid">
        <fgColor rgb="FF2E75B6"/>
        <bgColor rgb="FF0563C1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6E6E6"/>
      </patternFill>
    </fill>
    <fill>
      <patternFill patternType="solid">
        <fgColor rgb="FFF2F2F2"/>
        <bgColor rgb="FFEEEE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7" fillId="7" borderId="1" xfId="0" applyFont="1" applyFill="1" applyBorder="1" applyAlignment="1">
      <alignment horizontal="center"/>
    </xf>
    <xf numFmtId="169" fontId="26" fillId="7" borderId="1" xfId="0" applyNumberFormat="1" applyFont="1" applyFill="1" applyBorder="1" applyAlignment="1">
      <alignment horizontal="center"/>
    </xf>
    <xf numFmtId="1" fontId="25" fillId="7" borderId="1" xfId="0" applyNumberFormat="1" applyFont="1" applyFill="1" applyBorder="1" applyAlignment="1">
      <alignment horizontal="center"/>
    </xf>
    <xf numFmtId="9" fontId="24" fillId="7" borderId="1" xfId="0" applyNumberFormat="1" applyFont="1" applyFill="1" applyBorder="1" applyAlignment="1">
      <alignment horizontal="center"/>
    </xf>
    <xf numFmtId="170" fontId="23" fillId="7" borderId="1" xfId="0" applyNumberFormat="1" applyFont="1" applyFill="1" applyBorder="1" applyAlignment="1">
      <alignment horizontal="center"/>
    </xf>
    <xf numFmtId="169" fontId="22" fillId="7" borderId="1" xfId="0" applyNumberFormat="1" applyFont="1" applyFill="1" applyBorder="1" applyAlignment="1">
      <alignment horizontal="center"/>
    </xf>
    <xf numFmtId="3" fontId="21" fillId="7" borderId="1" xfId="0" applyNumberFormat="1" applyFont="1" applyFill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4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6" fillId="5" borderId="1" xfId="0" applyNumberFormat="1" applyFont="1" applyFill="1" applyBorder="1"/>
    <xf numFmtId="0" fontId="6" fillId="5" borderId="1" xfId="0" applyFont="1" applyFill="1" applyBorder="1"/>
    <xf numFmtId="0" fontId="7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0" fontId="8" fillId="0" borderId="1" xfId="0" applyFon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 applyAlignment="1">
      <alignment horizontal="center"/>
    </xf>
    <xf numFmtId="167" fontId="0" fillId="0" borderId="1" xfId="0" applyNumberFormat="1" applyBorder="1"/>
    <xf numFmtId="0" fontId="0" fillId="0" borderId="1" xfId="0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168" fontId="0" fillId="0" borderId="1" xfId="0" applyNumberFormat="1" applyBorder="1"/>
    <xf numFmtId="0" fontId="4" fillId="6" borderId="1" xfId="0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2" fontId="4" fillId="6" borderId="1" xfId="0" applyNumberFormat="1" applyFont="1" applyFill="1" applyBorder="1"/>
    <xf numFmtId="0" fontId="11" fillId="0" borderId="1" xfId="0" applyFont="1" applyBorder="1"/>
    <xf numFmtId="169" fontId="0" fillId="0" borderId="1" xfId="0" applyNumberFormat="1" applyBorder="1"/>
    <xf numFmtId="11" fontId="0" fillId="0" borderId="1" xfId="0" applyNumberFormat="1" applyBorder="1"/>
    <xf numFmtId="166" fontId="12" fillId="0" borderId="1" xfId="0" applyNumberFormat="1" applyFont="1" applyBorder="1"/>
    <xf numFmtId="166" fontId="13" fillId="0" borderId="1" xfId="0" applyNumberFormat="1" applyFont="1" applyBorder="1"/>
    <xf numFmtId="0" fontId="14" fillId="0" borderId="1" xfId="0" applyFont="1" applyBorder="1"/>
    <xf numFmtId="169" fontId="15" fillId="6" borderId="1" xfId="0" applyNumberFormat="1" applyFont="1" applyFill="1" applyBorder="1"/>
    <xf numFmtId="0" fontId="16" fillId="0" borderId="1" xfId="0" applyFont="1" applyBorder="1"/>
    <xf numFmtId="0" fontId="17" fillId="2" borderId="0" xfId="0" applyFont="1" applyFill="1"/>
    <xf numFmtId="0" fontId="18" fillId="2" borderId="0" xfId="0" applyFont="1" applyFill="1"/>
    <xf numFmtId="0" fontId="28" fillId="0" borderId="0" xfId="0" applyFont="1"/>
    <xf numFmtId="170" fontId="0" fillId="0" borderId="1" xfId="0" applyNumberFormat="1" applyBorder="1"/>
    <xf numFmtId="0" fontId="2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808080"/>
      <rgbColor rgb="FFA6A6A6"/>
      <rgbColor rgb="FF7030A0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E6E6E6"/>
      <rgbColor rgb="FFF2F2F2"/>
      <rgbColor rgb="FF99CCFF"/>
      <rgbColor rgb="FFFF99CC"/>
      <rgbColor rgb="FFCC99FF"/>
      <rgbColor rgb="FFF7F7F7"/>
      <rgbColor rgb="FF2E75B6"/>
      <rgbColor rgb="FF33CCCC"/>
      <rgbColor rgb="FF99CC00"/>
      <rgbColor rgb="FFFFC000"/>
      <rgbColor rgb="FFFF9900"/>
      <rgbColor rgb="FFED7D31"/>
      <rgbColor rgb="FF595959"/>
      <rgbColor rgb="FF878787"/>
      <rgbColor rgb="FF1F3864"/>
      <rgbColor rgb="FF7F7F7F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% missing by column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Data_Quality!$A$6:$A$13</c:f>
              <c:strCache>
                <c:ptCount val="8"/>
                <c:pt idx="0">
                  <c:v>body_weight</c:v>
                </c:pt>
                <c:pt idx="1">
                  <c:v>brain_weight</c:v>
                </c:pt>
                <c:pt idx="2">
                  <c:v>max_life_span</c:v>
                </c:pt>
                <c:pt idx="3">
                  <c:v>gestation_time</c:v>
                </c:pt>
                <c:pt idx="4">
                  <c:v>predation_index</c:v>
                </c:pt>
                <c:pt idx="5">
                  <c:v>sleep_exposure_index</c:v>
                </c:pt>
                <c:pt idx="6">
                  <c:v>danger_index</c:v>
                </c:pt>
                <c:pt idx="7">
                  <c:v>total_sleep</c:v>
                </c:pt>
              </c:strCache>
            </c:strRef>
          </c:cat>
          <c:val>
            <c:numRef>
              <c:f>Data_Quality!$E$6:$E$13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6.4516129032258063E-2</c:v>
                </c:pt>
                <c:pt idx="3">
                  <c:v>6.4516129032258063E-2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6.4516129032258063E-2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5-4729-A1CC-015470D3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6623"/>
        <c:axId val="33297198"/>
      </c:barChart>
      <c:catAx>
        <c:axId val="12396623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297198"/>
        <c:crosses val="autoZero"/>
        <c:auto val="1"/>
        <c:lblAlgn val="ctr"/>
        <c:lblOffset val="100"/>
        <c:noMultiLvlLbl val="0"/>
      </c:catAx>
      <c:valAx>
        <c:axId val="33297198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966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Histogram: hours of sleep per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Descriptive_Stats!$A$24:$A$32</c:f>
              <c:strCache>
                <c:ptCount val="9"/>
                <c:pt idx="0">
                  <c:v>2-4 h</c:v>
                </c:pt>
                <c:pt idx="1">
                  <c:v>4-6 h</c:v>
                </c:pt>
                <c:pt idx="2">
                  <c:v>6-8 h</c:v>
                </c:pt>
                <c:pt idx="3">
                  <c:v>8-10 h</c:v>
                </c:pt>
                <c:pt idx="4">
                  <c:v>10-12 h</c:v>
                </c:pt>
                <c:pt idx="5">
                  <c:v>12-14 h</c:v>
                </c:pt>
                <c:pt idx="6">
                  <c:v>14-16 h</c:v>
                </c:pt>
                <c:pt idx="7">
                  <c:v>16-18 h</c:v>
                </c:pt>
                <c:pt idx="8">
                  <c:v>18-20 h</c:v>
                </c:pt>
              </c:strCache>
            </c:strRef>
          </c:cat>
          <c:val>
            <c:numRef>
              <c:f>Descriptive_Stats!$D$24:$D$32</c:f>
              <c:numCache>
                <c:formatCode>#,##0</c:formatCode>
                <c:ptCount val="9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4-4921-BAAD-8A9F1A5BD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41513179"/>
        <c:axId val="95140442"/>
      </c:barChart>
      <c:catAx>
        <c:axId val="415131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140442"/>
        <c:crosses val="autoZero"/>
        <c:auto val="1"/>
        <c:lblAlgn val="ctr"/>
        <c:lblOffset val="100"/>
        <c:noMultiLvlLbl val="0"/>
      </c:catAx>
      <c:valAx>
        <c:axId val="95140442"/>
        <c:scaling>
          <c:orientation val="minMax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Animals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5131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Correlation with total sleep (ranked by strength)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Correlation!$L$6:$L$16</c:f>
              <c:strCache>
                <c:ptCount val="11"/>
                <c:pt idx="0">
                  <c:v>log10 gestation_time</c:v>
                </c:pt>
                <c:pt idx="1">
                  <c:v>sleep_exposure_index</c:v>
                </c:pt>
                <c:pt idx="2">
                  <c:v>gestation_time (days)</c:v>
                </c:pt>
                <c:pt idx="3">
                  <c:v>danger_index</c:v>
                </c:pt>
                <c:pt idx="4">
                  <c:v>log10 brain_weight</c:v>
                </c:pt>
                <c:pt idx="5">
                  <c:v>log10 body_weight</c:v>
                </c:pt>
                <c:pt idx="6">
                  <c:v>log10 max_life_span</c:v>
                </c:pt>
                <c:pt idx="7">
                  <c:v>max_life_span (years)</c:v>
                </c:pt>
                <c:pt idx="8">
                  <c:v>predation_index</c:v>
                </c:pt>
                <c:pt idx="9">
                  <c:v>brain_weight (g)</c:v>
                </c:pt>
                <c:pt idx="10">
                  <c:v>body_weight (kg)</c:v>
                </c:pt>
              </c:strCache>
            </c:strRef>
          </c:cat>
          <c:val>
            <c:numRef>
              <c:f>Correlation!$M$6:$M$16</c:f>
              <c:numCache>
                <c:formatCode>0.000</c:formatCode>
                <c:ptCount val="11"/>
                <c:pt idx="0">
                  <c:v>-0.66365598615326815</c:v>
                </c:pt>
                <c:pt idx="1">
                  <c:v>-0.6422845069751526</c:v>
                </c:pt>
                <c:pt idx="2">
                  <c:v>-0.63132620079982515</c:v>
                </c:pt>
                <c:pt idx="3">
                  <c:v>-0.58774240602169692</c:v>
                </c:pt>
                <c:pt idx="4">
                  <c:v>-0.56259576990794202</c:v>
                </c:pt>
                <c:pt idx="5">
                  <c:v>-0.53283449984909004</c:v>
                </c:pt>
                <c:pt idx="6">
                  <c:v>-0.42994086645601248</c:v>
                </c:pt>
                <c:pt idx="7">
                  <c:v>-0.4102023887595499</c:v>
                </c:pt>
                <c:pt idx="8">
                  <c:v>-0.39583497235791382</c:v>
                </c:pt>
                <c:pt idx="9">
                  <c:v>-0.35810202872054581</c:v>
                </c:pt>
                <c:pt idx="10">
                  <c:v>-0.30718591141343737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2-496E-A800-3D32FF40C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81146"/>
        <c:axId val="91907708"/>
      </c:barChart>
      <c:catAx>
        <c:axId val="88781146"/>
        <c:scaling>
          <c:orientation val="minMax"/>
        </c:scaling>
        <c:delete val="0"/>
        <c:axPos val="r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907708"/>
        <c:crosses val="autoZero"/>
        <c:auto val="1"/>
        <c:lblAlgn val="ctr"/>
        <c:lblOffset val="100"/>
        <c:noMultiLvlLbl val="0"/>
      </c:catAx>
      <c:valAx>
        <c:axId val="91907708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811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Sleep vs log10 gestation time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Model_Data!$F$2:$F$52</c:f>
              <c:numCache>
                <c:formatCode>General</c:formatCode>
                <c:ptCount val="51"/>
                <c:pt idx="0">
                  <c:v>2.8095597146352675</c:v>
                </c:pt>
                <c:pt idx="1">
                  <c:v>1.6232492903979006</c:v>
                </c:pt>
                <c:pt idx="2">
                  <c:v>1.7781512503836436</c:v>
                </c:pt>
                <c:pt idx="3">
                  <c:v>2.7951845896824241</c:v>
                </c:pt>
                <c:pt idx="4">
                  <c:v>2.255272505103306</c:v>
                </c:pt>
                <c:pt idx="5">
                  <c:v>1.5440680443502757</c:v>
                </c:pt>
                <c:pt idx="6">
                  <c:v>2.5932860670204572</c:v>
                </c:pt>
                <c:pt idx="7">
                  <c:v>1.7993405494535817</c:v>
                </c:pt>
                <c:pt idx="8">
                  <c:v>2.3617278360175931</c:v>
                </c:pt>
                <c:pt idx="9">
                  <c:v>2.0492180226701815</c:v>
                </c:pt>
                <c:pt idx="10">
                  <c:v>2.4487063199050798</c:v>
                </c:pt>
                <c:pt idx="11">
                  <c:v>2.5622928644564746</c:v>
                </c:pt>
                <c:pt idx="12">
                  <c:v>1.6232492903979006</c:v>
                </c:pt>
                <c:pt idx="13">
                  <c:v>1.4471580313422192</c:v>
                </c:pt>
                <c:pt idx="14">
                  <c:v>1.6232492903979006</c:v>
                </c:pt>
                <c:pt idx="15">
                  <c:v>2.0791812460476247</c:v>
                </c:pt>
                <c:pt idx="16">
                  <c:v>2.1702617153949575</c:v>
                </c:pt>
                <c:pt idx="17">
                  <c:v>1.2041199826559248</c:v>
                </c:pt>
                <c:pt idx="18">
                  <c:v>2.4014005407815442</c:v>
                </c:pt>
                <c:pt idx="19">
                  <c:v>2.4913616938342726</c:v>
                </c:pt>
                <c:pt idx="20">
                  <c:v>1.7993405494535817</c:v>
                </c:pt>
                <c:pt idx="21">
                  <c:v>1.4471580313422192</c:v>
                </c:pt>
                <c:pt idx="22">
                  <c:v>1.8325089127062364</c:v>
                </c:pt>
                <c:pt idx="23">
                  <c:v>2.5263392773898441</c:v>
                </c:pt>
                <c:pt idx="24">
                  <c:v>2</c:v>
                </c:pt>
                <c:pt idx="25">
                  <c:v>1.3324384599156054</c:v>
                </c:pt>
                <c:pt idx="26">
                  <c:v>1.6989700043360187</c:v>
                </c:pt>
                <c:pt idx="27">
                  <c:v>2.4265112613645754</c:v>
                </c:pt>
                <c:pt idx="28">
                  <c:v>1.2787536009528289</c:v>
                </c:pt>
                <c:pt idx="29">
                  <c:v>1.4771212547196624</c:v>
                </c:pt>
                <c:pt idx="30">
                  <c:v>1.0791812460476249</c:v>
                </c:pt>
                <c:pt idx="31">
                  <c:v>2.0791812460476247</c:v>
                </c:pt>
                <c:pt idx="32">
                  <c:v>2.1461280356782382</c:v>
                </c:pt>
                <c:pt idx="33">
                  <c:v>2.2304489213782741</c:v>
                </c:pt>
                <c:pt idx="34">
                  <c:v>1.2304489213782739</c:v>
                </c:pt>
                <c:pt idx="35">
                  <c:v>2.0606978403536118</c:v>
                </c:pt>
                <c:pt idx="36">
                  <c:v>1.4913616938342726</c:v>
                </c:pt>
                <c:pt idx="37">
                  <c:v>1.7993405494535817</c:v>
                </c:pt>
                <c:pt idx="38">
                  <c:v>1.3222192947339193</c:v>
                </c:pt>
                <c:pt idx="39">
                  <c:v>1.7160033436347992</c:v>
                </c:pt>
                <c:pt idx="40">
                  <c:v>2.214843848047698</c:v>
                </c:pt>
                <c:pt idx="41">
                  <c:v>2.3521825181113627</c:v>
                </c:pt>
                <c:pt idx="42">
                  <c:v>2.3521825181113627</c:v>
                </c:pt>
                <c:pt idx="43">
                  <c:v>2.1760912590556813</c:v>
                </c:pt>
                <c:pt idx="44">
                  <c:v>2.1789769472931693</c:v>
                </c:pt>
                <c:pt idx="45">
                  <c:v>1.954242509439325</c:v>
                </c:pt>
                <c:pt idx="46">
                  <c:v>1.7781512503836436</c:v>
                </c:pt>
                <c:pt idx="47">
                  <c:v>2.3010299956639813</c:v>
                </c:pt>
                <c:pt idx="48">
                  <c:v>1.6627578316815741</c:v>
                </c:pt>
                <c:pt idx="49">
                  <c:v>2.3222192947339191</c:v>
                </c:pt>
                <c:pt idx="50">
                  <c:v>1.146128035678238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31-47FC-B147-B977D8D57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33331"/>
        <c:axId val="12811762"/>
      </c:scatterChart>
      <c:valAx>
        <c:axId val="25433331"/>
        <c:scaling>
          <c:orientation val="minMax"/>
        </c:scaling>
        <c:delete val="0"/>
        <c:axPos val="b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log10 gestation time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811762"/>
        <c:crosses val="autoZero"/>
        <c:crossBetween val="midCat"/>
      </c:valAx>
      <c:valAx>
        <c:axId val="128117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sleep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333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Sleep vs log10 body weight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Model_Data!$D$2:$D$52</c:f>
              <c:numCache>
                <c:formatCode>General</c:formatCode>
                <c:ptCount val="51"/>
                <c:pt idx="0">
                  <c:v>3.8230827965328036</c:v>
                </c:pt>
                <c:pt idx="1">
                  <c:v>0</c:v>
                </c:pt>
                <c:pt idx="2">
                  <c:v>0.52955867302116311</c:v>
                </c:pt>
                <c:pt idx="3">
                  <c:v>3.406028944963615</c:v>
                </c:pt>
                <c:pt idx="4">
                  <c:v>1.0232524596337116</c:v>
                </c:pt>
                <c:pt idx="5">
                  <c:v>-1.6382721639824072</c:v>
                </c:pt>
                <c:pt idx="6">
                  <c:v>2.2041199826559246</c:v>
                </c:pt>
                <c:pt idx="7">
                  <c:v>0.51851393987788741</c:v>
                </c:pt>
                <c:pt idx="8">
                  <c:v>1.7173375827238637</c:v>
                </c:pt>
                <c:pt idx="9">
                  <c:v>-0.37161106994968846</c:v>
                </c:pt>
                <c:pt idx="10">
                  <c:v>2.667452952889954</c:v>
                </c:pt>
                <c:pt idx="11">
                  <c:v>2.2720737875000099</c:v>
                </c:pt>
                <c:pt idx="12">
                  <c:v>-1.1249387366082999</c:v>
                </c:pt>
                <c:pt idx="13">
                  <c:v>0.47712125471966244</c:v>
                </c:pt>
                <c:pt idx="14">
                  <c:v>-0.10513034325474745</c:v>
                </c:pt>
                <c:pt idx="15">
                  <c:v>-0.69897000433601875</c:v>
                </c:pt>
                <c:pt idx="16">
                  <c:v>1.4418521757732918</c:v>
                </c:pt>
                <c:pt idx="17">
                  <c:v>-0.92081875395237522</c:v>
                </c:pt>
                <c:pt idx="18">
                  <c:v>2.3159703454569178</c:v>
                </c:pt>
                <c:pt idx="19">
                  <c:v>1.9294189257142926</c:v>
                </c:pt>
                <c:pt idx="20">
                  <c:v>1.5602653978627146</c:v>
                </c:pt>
                <c:pt idx="21">
                  <c:v>-0.99567862621735737</c:v>
                </c:pt>
                <c:pt idx="22">
                  <c:v>1.703333929878037E-2</c:v>
                </c:pt>
                <c:pt idx="23">
                  <c:v>2.7168377232995247</c:v>
                </c:pt>
                <c:pt idx="24">
                  <c:v>2</c:v>
                </c:pt>
                <c:pt idx="25">
                  <c:v>-2.3010299956639813</c:v>
                </c:pt>
                <c:pt idx="26">
                  <c:v>-2</c:v>
                </c:pt>
                <c:pt idx="27">
                  <c:v>1.7923916894982539</c:v>
                </c:pt>
                <c:pt idx="28">
                  <c:v>-1.6382721639824072</c:v>
                </c:pt>
                <c:pt idx="29">
                  <c:v>-1.3187587626244128</c:v>
                </c:pt>
                <c:pt idx="30">
                  <c:v>0.23044892137827391</c:v>
                </c:pt>
                <c:pt idx="31">
                  <c:v>0.54406804435027567</c:v>
                </c:pt>
                <c:pt idx="32">
                  <c:v>-0.31875876262441277</c:v>
                </c:pt>
                <c:pt idx="33">
                  <c:v>1</c:v>
                </c:pt>
                <c:pt idx="34">
                  <c:v>0.20951501454263097</c:v>
                </c:pt>
                <c:pt idx="35">
                  <c:v>2.2833012287035497</c:v>
                </c:pt>
                <c:pt idx="36">
                  <c:v>0.3979400086720376</c:v>
                </c:pt>
                <c:pt idx="37">
                  <c:v>0.63225477668471364</c:v>
                </c:pt>
                <c:pt idx="38">
                  <c:v>-0.55284196865778079</c:v>
                </c:pt>
                <c:pt idx="39">
                  <c:v>0.62685341466672573</c:v>
                </c:pt>
                <c:pt idx="40">
                  <c:v>0.83250891270623628</c:v>
                </c:pt>
                <c:pt idx="41">
                  <c:v>-0.12493873660829995</c:v>
                </c:pt>
                <c:pt idx="42">
                  <c:v>0.55630250076728727</c:v>
                </c:pt>
                <c:pt idx="43">
                  <c:v>1.171141151028382</c:v>
                </c:pt>
                <c:pt idx="44">
                  <c:v>1.7442929831226763</c:v>
                </c:pt>
                <c:pt idx="45">
                  <c:v>0.14612803567823801</c:v>
                </c:pt>
                <c:pt idx="46">
                  <c:v>-4.5757490560675115E-2</c:v>
                </c:pt>
                <c:pt idx="47">
                  <c:v>0.3010299956639812</c:v>
                </c:pt>
                <c:pt idx="48">
                  <c:v>-0.98296666070121963</c:v>
                </c:pt>
                <c:pt idx="49">
                  <c:v>0.62221402296629535</c:v>
                </c:pt>
                <c:pt idx="50">
                  <c:v>0.54406804435027567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5-47A6-AE7E-36613D081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59786"/>
        <c:axId val="83729763"/>
      </c:scatterChart>
      <c:valAx>
        <c:axId val="27359786"/>
        <c:scaling>
          <c:orientation val="minMax"/>
        </c:scaling>
        <c:delete val="0"/>
        <c:axPos val="b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log10 body weight (kg)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729763"/>
        <c:crosses val="autoZero"/>
        <c:crossBetween val="midCat"/>
      </c:valAx>
      <c:valAx>
        <c:axId val="8372976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sleep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5978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Sleep vs log10 max life span (years)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Model_Data!$E$2:$E$52</c:f>
              <c:numCache>
                <c:formatCode>General</c:formatCode>
                <c:ptCount val="51"/>
                <c:pt idx="0">
                  <c:v>1.5865873046717549</c:v>
                </c:pt>
                <c:pt idx="1">
                  <c:v>0.65321251377534373</c:v>
                </c:pt>
                <c:pt idx="2">
                  <c:v>1.146128035678238</c:v>
                </c:pt>
                <c:pt idx="3">
                  <c:v>1.8388490907372552</c:v>
                </c:pt>
                <c:pt idx="4">
                  <c:v>1.4313637641589874</c:v>
                </c:pt>
                <c:pt idx="5">
                  <c:v>1.2787536009528289</c:v>
                </c:pt>
                <c:pt idx="6">
                  <c:v>1.4828735836087537</c:v>
                </c:pt>
                <c:pt idx="7">
                  <c:v>1.4471580313422192</c:v>
                </c:pt>
                <c:pt idx="8">
                  <c:v>1.6989700043360187</c:v>
                </c:pt>
                <c:pt idx="9">
                  <c:v>0.84509804001425681</c:v>
                </c:pt>
                <c:pt idx="10">
                  <c:v>1.4771212547196624</c:v>
                </c:pt>
                <c:pt idx="11">
                  <c:v>1.6020599913279623</c:v>
                </c:pt>
                <c:pt idx="12">
                  <c:v>0.54406804435027567</c:v>
                </c:pt>
                <c:pt idx="13">
                  <c:v>1.6989700043360187</c:v>
                </c:pt>
                <c:pt idx="14">
                  <c:v>0.77815125038364363</c:v>
                </c:pt>
                <c:pt idx="15">
                  <c:v>1.0170333392987803</c:v>
                </c:pt>
                <c:pt idx="16">
                  <c:v>1.3010299956639813</c:v>
                </c:pt>
                <c:pt idx="17">
                  <c:v>0.59106460702649921</c:v>
                </c:pt>
                <c:pt idx="18">
                  <c:v>1.5943925503754266</c:v>
                </c:pt>
                <c:pt idx="19">
                  <c:v>1.6127838567197355</c:v>
                </c:pt>
                <c:pt idx="20">
                  <c:v>1.209515014542631</c:v>
                </c:pt>
                <c:pt idx="21">
                  <c:v>0.95424250943932487</c:v>
                </c:pt>
                <c:pt idx="22">
                  <c:v>0.88081359228079137</c:v>
                </c:pt>
                <c:pt idx="23">
                  <c:v>1.6627578316815741</c:v>
                </c:pt>
                <c:pt idx="24">
                  <c:v>1.3502480183341627</c:v>
                </c:pt>
                <c:pt idx="25">
                  <c:v>0.41497334797081797</c:v>
                </c:pt>
                <c:pt idx="26">
                  <c:v>1.3802112417116059</c:v>
                </c:pt>
                <c:pt idx="27">
                  <c:v>2</c:v>
                </c:pt>
                <c:pt idx="28">
                  <c:v>0.50514997831990605</c:v>
                </c:pt>
                <c:pt idx="29">
                  <c:v>0.3010299956639812</c:v>
                </c:pt>
                <c:pt idx="30">
                  <c:v>0.69897000433601886</c:v>
                </c:pt>
                <c:pt idx="31">
                  <c:v>0.81291335664285558</c:v>
                </c:pt>
                <c:pt idx="32">
                  <c:v>1.0791812460476249</c:v>
                </c:pt>
                <c:pt idx="33">
                  <c:v>1.3053513694466237</c:v>
                </c:pt>
                <c:pt idx="34">
                  <c:v>1.1139433523068367</c:v>
                </c:pt>
                <c:pt idx="35">
                  <c:v>1.4313637641589874</c:v>
                </c:pt>
                <c:pt idx="36">
                  <c:v>1.255272505103306</c:v>
                </c:pt>
                <c:pt idx="37">
                  <c:v>1.1367205671564067</c:v>
                </c:pt>
                <c:pt idx="38">
                  <c:v>0.67209785793571752</c:v>
                </c:pt>
                <c:pt idx="39">
                  <c:v>0.99122607569249488</c:v>
                </c:pt>
                <c:pt idx="40">
                  <c:v>1.4623979978989561</c:v>
                </c:pt>
                <c:pt idx="41">
                  <c:v>0.84509804001425681</c:v>
                </c:pt>
                <c:pt idx="42">
                  <c:v>0.77815125038364363</c:v>
                </c:pt>
                <c:pt idx="43">
                  <c:v>1.2304489213782739</c:v>
                </c:pt>
                <c:pt idx="44">
                  <c:v>1.3010299956639813</c:v>
                </c:pt>
                <c:pt idx="45">
                  <c:v>1.1038037209559568</c:v>
                </c:pt>
                <c:pt idx="46">
                  <c:v>0.65321251377534373</c:v>
                </c:pt>
                <c:pt idx="47">
                  <c:v>0.87506126339170009</c:v>
                </c:pt>
                <c:pt idx="48">
                  <c:v>0.36172783601759284</c:v>
                </c:pt>
                <c:pt idx="49">
                  <c:v>1.3802112417116059</c:v>
                </c:pt>
                <c:pt idx="50">
                  <c:v>0.47712125471966244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A4-4BA6-A0CB-3DDE1A6A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1911"/>
        <c:axId val="73513039"/>
      </c:scatterChart>
      <c:valAx>
        <c:axId val="78651911"/>
        <c:scaling>
          <c:orientation val="minMax"/>
        </c:scaling>
        <c:delete val="0"/>
        <c:axPos val="b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log10 max life span (years)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13039"/>
        <c:crosses val="autoZero"/>
        <c:crossBetween val="midCat"/>
      </c:valAx>
      <c:valAx>
        <c:axId val="7351303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sleep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519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Sleep vs danger index (1-5)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Model_Data!$G$2:$G$52</c:f>
              <c:numCache>
                <c:formatCode>General</c:formatCode>
                <c:ptCount val="51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3</c:v>
                </c:pt>
                <c:pt idx="29">
                  <c:v>3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5</c:v>
                </c:pt>
                <c:pt idx="37">
                  <c:v>2</c:v>
                </c:pt>
                <c:pt idx="38">
                  <c:v>3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5</c:v>
                </c:pt>
                <c:pt idx="44">
                  <c:v>5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1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0C-427C-AF51-0800E7D14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42865"/>
        <c:axId val="78071664"/>
      </c:scatterChart>
      <c:valAx>
        <c:axId val="82342865"/>
        <c:scaling>
          <c:orientation val="minMax"/>
        </c:scaling>
        <c:delete val="0"/>
        <c:axPos val="b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danger index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71664"/>
        <c:crosses val="autoZero"/>
        <c:crossBetween val="midCat"/>
      </c:valAx>
      <c:valAx>
        <c:axId val="7807166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EEEEE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sleep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3428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0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000" b="1" strike="noStrike" spc="-1">
                <a:solidFill>
                  <a:srgbClr val="1F3864"/>
                </a:solidFill>
                <a:latin typeface="Calibri"/>
              </a:rPr>
              <a:t>Mean sleep by danger index (95% 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sleep</c:v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Group_Analysis!$G$9:$G$13</c:f>
                <c:numCache>
                  <c:formatCode>General</c:formatCode>
                  <c:ptCount val="5"/>
                  <c:pt idx="0">
                    <c:v>2.3967906268608976</c:v>
                  </c:pt>
                  <c:pt idx="1">
                    <c:v>1.6471181210663601</c:v>
                  </c:pt>
                  <c:pt idx="2">
                    <c:v>3.1597314446749025</c:v>
                  </c:pt>
                  <c:pt idx="3">
                    <c:v>1.9734137209791474</c:v>
                  </c:pt>
                  <c:pt idx="4">
                    <c:v>1.8262009905022401</c:v>
                  </c:pt>
                </c:numCache>
              </c:numRef>
            </c:plus>
            <c:minus>
              <c:numRef>
                <c:f>Group_Analysis!$G$9:$G$13</c:f>
                <c:numCache>
                  <c:formatCode>General</c:formatCode>
                  <c:ptCount val="5"/>
                  <c:pt idx="0">
                    <c:v>2.3967906268608976</c:v>
                  </c:pt>
                  <c:pt idx="1">
                    <c:v>1.6471181210663601</c:v>
                  </c:pt>
                  <c:pt idx="2">
                    <c:v>3.1597314446749025</c:v>
                  </c:pt>
                  <c:pt idx="3">
                    <c:v>1.9734137209791474</c:v>
                  </c:pt>
                  <c:pt idx="4">
                    <c:v>1.8262009905022401</c:v>
                  </c:pt>
                </c:numCache>
              </c:numRef>
            </c:minus>
            <c:spPr>
              <a:ln w="9360">
                <a:solidFill>
                  <a:srgbClr val="404040"/>
                </a:solidFill>
                <a:round/>
              </a:ln>
            </c:spPr>
          </c:errBars>
          <c:cat>
            <c:strRef>
              <c:f>Group_Analysis!$A$9:$A$13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Group_Analysis!$D$9:$D$13</c:f>
              <c:numCache>
                <c:formatCode>0.00</c:formatCode>
                <c:ptCount val="5"/>
                <c:pt idx="0">
                  <c:v>13.083333333333336</c:v>
                </c:pt>
                <c:pt idx="1">
                  <c:v>11.75</c:v>
                </c:pt>
                <c:pt idx="2">
                  <c:v>10.310000000000002</c:v>
                </c:pt>
                <c:pt idx="3">
                  <c:v>8.8111111111111118</c:v>
                </c:pt>
                <c:pt idx="4">
                  <c:v>4.0714285714285721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5-4CFC-86B6-A08925158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2926547"/>
        <c:axId val="42874574"/>
      </c:barChart>
      <c:catAx>
        <c:axId val="829265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874574"/>
        <c:crosses val="autoZero"/>
        <c:auto val="1"/>
        <c:lblAlgn val="ctr"/>
        <c:lblOffset val="100"/>
        <c:noMultiLvlLbl val="0"/>
      </c:catAx>
      <c:valAx>
        <c:axId val="428745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265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0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000" b="1" strike="noStrike" spc="-1">
                <a:solidFill>
                  <a:srgbClr val="1F3864"/>
                </a:solidFill>
                <a:latin typeface="Calibri"/>
              </a:rPr>
              <a:t>Mean sleep by predation index (95% 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sleep</c:v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Group_Analysis!$G$25:$G$29</c:f>
                <c:numCache>
                  <c:formatCode>General</c:formatCode>
                  <c:ptCount val="5"/>
                  <c:pt idx="0">
                    <c:v>2.6572881891463758</c:v>
                  </c:pt>
                  <c:pt idx="1">
                    <c:v>2.1774451992803305</c:v>
                  </c:pt>
                  <c:pt idx="2">
                    <c:v>3.2374763090724223</c:v>
                  </c:pt>
                  <c:pt idx="3">
                    <c:v>2.2544964166297827</c:v>
                  </c:pt>
                  <c:pt idx="4">
                    <c:v>3.0546842332044304</c:v>
                  </c:pt>
                </c:numCache>
              </c:numRef>
            </c:plus>
            <c:minus>
              <c:numRef>
                <c:f>Group_Analysis!$G$25:$G$29</c:f>
                <c:numCache>
                  <c:formatCode>General</c:formatCode>
                  <c:ptCount val="5"/>
                  <c:pt idx="0">
                    <c:v>2.6572881891463758</c:v>
                  </c:pt>
                  <c:pt idx="1">
                    <c:v>2.1774451992803305</c:v>
                  </c:pt>
                  <c:pt idx="2">
                    <c:v>3.2374763090724223</c:v>
                  </c:pt>
                  <c:pt idx="3">
                    <c:v>2.2544964166297827</c:v>
                  </c:pt>
                  <c:pt idx="4">
                    <c:v>3.0546842332044304</c:v>
                  </c:pt>
                </c:numCache>
              </c:numRef>
            </c:minus>
            <c:spPr>
              <a:ln w="9360">
                <a:solidFill>
                  <a:srgbClr val="404040"/>
                </a:solidFill>
                <a:round/>
              </a:ln>
            </c:spPr>
          </c:errBars>
          <c:cat>
            <c:strRef>
              <c:f>Group_Analysis!$A$25:$A$29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Group_Analysis!$D$25:$D$29</c:f>
              <c:numCache>
                <c:formatCode>0.00</c:formatCode>
                <c:ptCount val="5"/>
                <c:pt idx="0">
                  <c:v>12.05</c:v>
                </c:pt>
                <c:pt idx="1">
                  <c:v>12.719999999999999</c:v>
                </c:pt>
                <c:pt idx="2">
                  <c:v>9.120000000000001</c:v>
                </c:pt>
                <c:pt idx="3">
                  <c:v>10.228571428571428</c:v>
                </c:pt>
                <c:pt idx="4">
                  <c:v>7.3833333333333329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8-40A6-8F01-4E432BD8A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1535474"/>
        <c:axId val="66883929"/>
      </c:barChart>
      <c:catAx>
        <c:axId val="515354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883929"/>
        <c:crosses val="autoZero"/>
        <c:auto val="1"/>
        <c:lblAlgn val="ctr"/>
        <c:lblOffset val="100"/>
        <c:noMultiLvlLbl val="0"/>
      </c:catAx>
      <c:valAx>
        <c:axId val="668839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354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0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000" b="1" strike="noStrike" spc="-1">
                <a:solidFill>
                  <a:srgbClr val="1F3864"/>
                </a:solidFill>
                <a:latin typeface="Calibri"/>
              </a:rPr>
              <a:t>Mean sleep by sleep exposure index (95% 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sleep</c:v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Group_Analysis!$G$41:$G$45</c:f>
                <c:numCache>
                  <c:formatCode>General</c:formatCode>
                  <c:ptCount val="5"/>
                  <c:pt idx="0">
                    <c:v>1.6132594775814155</c:v>
                  </c:pt>
                  <c:pt idx="1">
                    <c:v>2.3912085719626872</c:v>
                  </c:pt>
                  <c:pt idx="2">
                    <c:v>2.8770646455572018</c:v>
                  </c:pt>
                  <c:pt idx="3">
                    <c:v>2.0654213815666562</c:v>
                  </c:pt>
                  <c:pt idx="4">
                    <c:v>1.2709530064942989</c:v>
                  </c:pt>
                </c:numCache>
              </c:numRef>
            </c:plus>
            <c:minus>
              <c:numRef>
                <c:f>Group_Analysis!$G$41:$G$45</c:f>
                <c:numCache>
                  <c:formatCode>General</c:formatCode>
                  <c:ptCount val="5"/>
                  <c:pt idx="0">
                    <c:v>1.6132594775814155</c:v>
                  </c:pt>
                  <c:pt idx="1">
                    <c:v>2.3912085719626872</c:v>
                  </c:pt>
                  <c:pt idx="2">
                    <c:v>2.8770646455572018</c:v>
                  </c:pt>
                  <c:pt idx="3">
                    <c:v>2.0654213815666562</c:v>
                  </c:pt>
                  <c:pt idx="4">
                    <c:v>1.2709530064942989</c:v>
                  </c:pt>
                </c:numCache>
              </c:numRef>
            </c:minus>
            <c:spPr>
              <a:ln w="9360">
                <a:solidFill>
                  <a:srgbClr val="404040"/>
                </a:solidFill>
                <a:round/>
              </a:ln>
            </c:spPr>
          </c:errBars>
          <c:cat>
            <c:strRef>
              <c:f>Group_Analysis!$A$41:$A$45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Group_Analysis!$D$41:$D$45</c:f>
              <c:numCache>
                <c:formatCode>0.00</c:formatCode>
                <c:ptCount val="5"/>
                <c:pt idx="0">
                  <c:v>12.946153846153846</c:v>
                </c:pt>
                <c:pt idx="1">
                  <c:v>11.115384615384615</c:v>
                </c:pt>
                <c:pt idx="2">
                  <c:v>8.5749999999999993</c:v>
                </c:pt>
                <c:pt idx="3">
                  <c:v>10.719999999999999</c:v>
                </c:pt>
                <c:pt idx="4">
                  <c:v>4.1899999999999995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4D87-B61A-103150FFC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3205526"/>
        <c:axId val="96523020"/>
      </c:barChart>
      <c:catAx>
        <c:axId val="4320552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523020"/>
        <c:crosses val="autoZero"/>
        <c:auto val="1"/>
        <c:lblAlgn val="ctr"/>
        <c:lblOffset val="100"/>
        <c:noMultiLvlLbl val="0"/>
      </c:catAx>
      <c:valAx>
        <c:axId val="9652302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2055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0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000" b="1" strike="noStrike" spc="-1">
                <a:solidFill>
                  <a:srgbClr val="1F3864"/>
                </a:solidFill>
                <a:latin typeface="Calibri"/>
              </a:rPr>
              <a:t>Mean sleep by body-size class (95% CI)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sleep</c:v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Group_Analysis!$G$57:$G$60</c:f>
                <c:numCache>
                  <c:formatCode>General</c:formatCode>
                  <c:ptCount val="4"/>
                  <c:pt idx="0">
                    <c:v>1.6627707038907145</c:v>
                  </c:pt>
                  <c:pt idx="1">
                    <c:v>2.0450335073845252</c:v>
                  </c:pt>
                  <c:pt idx="2">
                    <c:v>3.4203487150073393</c:v>
                  </c:pt>
                  <c:pt idx="3">
                    <c:v>2.7032403647014012</c:v>
                  </c:pt>
                </c:numCache>
              </c:numRef>
            </c:plus>
            <c:minus>
              <c:numRef>
                <c:f>Group_Analysis!$G$57:$G$60</c:f>
                <c:numCache>
                  <c:formatCode>General</c:formatCode>
                  <c:ptCount val="4"/>
                  <c:pt idx="0">
                    <c:v>1.6627707038907145</c:v>
                  </c:pt>
                  <c:pt idx="1">
                    <c:v>2.0450335073845252</c:v>
                  </c:pt>
                  <c:pt idx="2">
                    <c:v>3.4203487150073393</c:v>
                  </c:pt>
                  <c:pt idx="3">
                    <c:v>2.7032403647014012</c:v>
                  </c:pt>
                </c:numCache>
              </c:numRef>
            </c:minus>
            <c:spPr>
              <a:ln w="9360">
                <a:solidFill>
                  <a:srgbClr val="404040"/>
                </a:solidFill>
                <a:round/>
              </a:ln>
            </c:spPr>
          </c:errBars>
          <c:cat>
            <c:strRef>
              <c:f>Group_Analysis!$A$57:$A$60</c:f>
              <c:strCache>
                <c:ptCount val="4"/>
                <c:pt idx="0">
                  <c:v>Tiny (&lt;1 kg)</c:v>
                </c:pt>
                <c:pt idx="1">
                  <c:v>Small (1-10 kg)</c:v>
                </c:pt>
                <c:pt idx="2">
                  <c:v>Medium (10-100 kg)</c:v>
                </c:pt>
                <c:pt idx="3">
                  <c:v>Large (100+ kg)</c:v>
                </c:pt>
              </c:strCache>
            </c:strRef>
          </c:cat>
          <c:val>
            <c:numRef>
              <c:f>Group_Analysis!$D$57:$D$60</c:f>
              <c:numCache>
                <c:formatCode>0.00</c:formatCode>
                <c:ptCount val="4"/>
                <c:pt idx="0">
                  <c:v>12.940000000000001</c:v>
                </c:pt>
                <c:pt idx="1">
                  <c:v>11.142105263157896</c:v>
                </c:pt>
                <c:pt idx="2">
                  <c:v>8.59</c:v>
                </c:pt>
                <c:pt idx="3">
                  <c:v>6.0555555555555545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B-43B4-98B0-5B8185186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5488462"/>
        <c:axId val="76491444"/>
      </c:barChart>
      <c:catAx>
        <c:axId val="6548846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491444"/>
        <c:crosses val="autoZero"/>
        <c:auto val="1"/>
        <c:lblAlgn val="ctr"/>
        <c:lblOffset val="100"/>
        <c:noMultiLvlLbl val="0"/>
      </c:catAx>
      <c:valAx>
        <c:axId val="7649144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884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Actual vs predicted sleep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Model_Data!$H$2:$H$52</c:f>
              <c:numCache>
                <c:formatCode>General</c:formatCode>
                <c:ptCount val="51"/>
                <c:pt idx="0">
                  <c:v>3.8303393498306484</c:v>
                </c:pt>
                <c:pt idx="1">
                  <c:v>11.086801625615305</c:v>
                </c:pt>
                <c:pt idx="2">
                  <c:v>13.484477532830113</c:v>
                </c:pt>
                <c:pt idx="3">
                  <c:v>3.0317908952896317</c:v>
                </c:pt>
                <c:pt idx="4">
                  <c:v>6.967948151933113</c:v>
                </c:pt>
                <c:pt idx="5">
                  <c:v>16.585814029570702</c:v>
                </c:pt>
                <c:pt idx="6">
                  <c:v>4.6000149103111312</c:v>
                </c:pt>
                <c:pt idx="7">
                  <c:v>13.712807278344858</c:v>
                </c:pt>
                <c:pt idx="8">
                  <c:v>10.672172252508858</c:v>
                </c:pt>
                <c:pt idx="9">
                  <c:v>8.5087579273283787</c:v>
                </c:pt>
                <c:pt idx="10">
                  <c:v>3.1970432106378723</c:v>
                </c:pt>
                <c:pt idx="11">
                  <c:v>3.2677022364748609</c:v>
                </c:pt>
                <c:pt idx="12">
                  <c:v>15.063912509283332</c:v>
                </c:pt>
                <c:pt idx="13">
                  <c:v>13.839352490613596</c:v>
                </c:pt>
                <c:pt idx="14">
                  <c:v>12.814718795862598</c:v>
                </c:pt>
                <c:pt idx="15">
                  <c:v>11.885579151678105</c:v>
                </c:pt>
                <c:pt idx="16">
                  <c:v>5.25764944930296</c:v>
                </c:pt>
                <c:pt idx="17">
                  <c:v>15.00681639639545</c:v>
                </c:pt>
                <c:pt idx="18">
                  <c:v>9.8434345787905961</c:v>
                </c:pt>
                <c:pt idx="19">
                  <c:v>9.8899396061870544</c:v>
                </c:pt>
                <c:pt idx="20">
                  <c:v>12.478237710221359</c:v>
                </c:pt>
                <c:pt idx="21">
                  <c:v>13.010271673572145</c:v>
                </c:pt>
                <c:pt idx="22">
                  <c:v>8.9963158574583026</c:v>
                </c:pt>
                <c:pt idx="23">
                  <c:v>3.0382010394551102</c:v>
                </c:pt>
                <c:pt idx="24">
                  <c:v>11.432278483436171</c:v>
                </c:pt>
                <c:pt idx="25">
                  <c:v>12.660923557104324</c:v>
                </c:pt>
                <c:pt idx="26">
                  <c:v>16.443669319524446</c:v>
                </c:pt>
                <c:pt idx="27">
                  <c:v>10.652004382776628</c:v>
                </c:pt>
                <c:pt idx="28">
                  <c:v>13.822339676452589</c:v>
                </c:pt>
                <c:pt idx="29">
                  <c:v>12.558563197785455</c:v>
                </c:pt>
                <c:pt idx="30">
                  <c:v>15.988550550763675</c:v>
                </c:pt>
                <c:pt idx="31">
                  <c:v>11.994467411711707</c:v>
                </c:pt>
                <c:pt idx="32">
                  <c:v>11.327752337448199</c:v>
                </c:pt>
                <c:pt idx="33">
                  <c:v>6.9598245263802188</c:v>
                </c:pt>
                <c:pt idx="34">
                  <c:v>14.340936957481794</c:v>
                </c:pt>
                <c:pt idx="35">
                  <c:v>6.5002016820313226</c:v>
                </c:pt>
                <c:pt idx="36">
                  <c:v>8.7974560359255953</c:v>
                </c:pt>
                <c:pt idx="37">
                  <c:v>11.792760672513936</c:v>
                </c:pt>
                <c:pt idx="38">
                  <c:v>12.781484338251179</c:v>
                </c:pt>
                <c:pt idx="39">
                  <c:v>13.474182943469069</c:v>
                </c:pt>
                <c:pt idx="40">
                  <c:v>10.34202436116931</c:v>
                </c:pt>
                <c:pt idx="41">
                  <c:v>10.125553578690727</c:v>
                </c:pt>
                <c:pt idx="42">
                  <c:v>7.9026457561270433</c:v>
                </c:pt>
                <c:pt idx="43">
                  <c:v>5.4251026449310302</c:v>
                </c:pt>
                <c:pt idx="44">
                  <c:v>4.9344446670268027</c:v>
                </c:pt>
                <c:pt idx="45">
                  <c:v>11.636714757437506</c:v>
                </c:pt>
                <c:pt idx="46">
                  <c:v>12.04433913491221</c:v>
                </c:pt>
                <c:pt idx="47">
                  <c:v>8.4382057603526146</c:v>
                </c:pt>
                <c:pt idx="48">
                  <c:v>13.093386606061596</c:v>
                </c:pt>
                <c:pt idx="49">
                  <c:v>7.0470107817447438</c:v>
                </c:pt>
                <c:pt idx="50">
                  <c:v>15.21307721899367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2-4BF3-B22B-E88232BA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78981"/>
        <c:axId val="28711778"/>
      </c:scatterChart>
      <c:valAx>
        <c:axId val="47478981"/>
        <c:scaling>
          <c:orientation val="minMax"/>
          <c:max val="2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Predicted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11778"/>
        <c:crosses val="autoZero"/>
        <c:crossBetween val="midCat"/>
      </c:valAx>
      <c:valAx>
        <c:axId val="28711778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Actual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47898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Standardised residuals vs predicted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Model_Data!$H$2:$H$52</c:f>
              <c:numCache>
                <c:formatCode>General</c:formatCode>
                <c:ptCount val="51"/>
                <c:pt idx="0">
                  <c:v>3.8303393498306484</c:v>
                </c:pt>
                <c:pt idx="1">
                  <c:v>11.086801625615305</c:v>
                </c:pt>
                <c:pt idx="2">
                  <c:v>13.484477532830113</c:v>
                </c:pt>
                <c:pt idx="3">
                  <c:v>3.0317908952896317</c:v>
                </c:pt>
                <c:pt idx="4">
                  <c:v>6.967948151933113</c:v>
                </c:pt>
                <c:pt idx="5">
                  <c:v>16.585814029570702</c:v>
                </c:pt>
                <c:pt idx="6">
                  <c:v>4.6000149103111312</c:v>
                </c:pt>
                <c:pt idx="7">
                  <c:v>13.712807278344858</c:v>
                </c:pt>
                <c:pt idx="8">
                  <c:v>10.672172252508858</c:v>
                </c:pt>
                <c:pt idx="9">
                  <c:v>8.5087579273283787</c:v>
                </c:pt>
                <c:pt idx="10">
                  <c:v>3.1970432106378723</c:v>
                </c:pt>
                <c:pt idx="11">
                  <c:v>3.2677022364748609</c:v>
                </c:pt>
                <c:pt idx="12">
                  <c:v>15.063912509283332</c:v>
                </c:pt>
                <c:pt idx="13">
                  <c:v>13.839352490613596</c:v>
                </c:pt>
                <c:pt idx="14">
                  <c:v>12.814718795862598</c:v>
                </c:pt>
                <c:pt idx="15">
                  <c:v>11.885579151678105</c:v>
                </c:pt>
                <c:pt idx="16">
                  <c:v>5.25764944930296</c:v>
                </c:pt>
                <c:pt idx="17">
                  <c:v>15.00681639639545</c:v>
                </c:pt>
                <c:pt idx="18">
                  <c:v>9.8434345787905961</c:v>
                </c:pt>
                <c:pt idx="19">
                  <c:v>9.8899396061870544</c:v>
                </c:pt>
                <c:pt idx="20">
                  <c:v>12.478237710221359</c:v>
                </c:pt>
                <c:pt idx="21">
                  <c:v>13.010271673572145</c:v>
                </c:pt>
                <c:pt idx="22">
                  <c:v>8.9963158574583026</c:v>
                </c:pt>
                <c:pt idx="23">
                  <c:v>3.0382010394551102</c:v>
                </c:pt>
                <c:pt idx="24">
                  <c:v>11.432278483436171</c:v>
                </c:pt>
                <c:pt idx="25">
                  <c:v>12.660923557104324</c:v>
                </c:pt>
                <c:pt idx="26">
                  <c:v>16.443669319524446</c:v>
                </c:pt>
                <c:pt idx="27">
                  <c:v>10.652004382776628</c:v>
                </c:pt>
                <c:pt idx="28">
                  <c:v>13.822339676452589</c:v>
                </c:pt>
                <c:pt idx="29">
                  <c:v>12.558563197785455</c:v>
                </c:pt>
                <c:pt idx="30">
                  <c:v>15.988550550763675</c:v>
                </c:pt>
                <c:pt idx="31">
                  <c:v>11.994467411711707</c:v>
                </c:pt>
                <c:pt idx="32">
                  <c:v>11.327752337448199</c:v>
                </c:pt>
                <c:pt idx="33">
                  <c:v>6.9598245263802188</c:v>
                </c:pt>
                <c:pt idx="34">
                  <c:v>14.340936957481794</c:v>
                </c:pt>
                <c:pt idx="35">
                  <c:v>6.5002016820313226</c:v>
                </c:pt>
                <c:pt idx="36">
                  <c:v>8.7974560359255953</c:v>
                </c:pt>
                <c:pt idx="37">
                  <c:v>11.792760672513936</c:v>
                </c:pt>
                <c:pt idx="38">
                  <c:v>12.781484338251179</c:v>
                </c:pt>
                <c:pt idx="39">
                  <c:v>13.474182943469069</c:v>
                </c:pt>
                <c:pt idx="40">
                  <c:v>10.34202436116931</c:v>
                </c:pt>
                <c:pt idx="41">
                  <c:v>10.125553578690727</c:v>
                </c:pt>
                <c:pt idx="42">
                  <c:v>7.9026457561270433</c:v>
                </c:pt>
                <c:pt idx="43">
                  <c:v>5.4251026449310302</c:v>
                </c:pt>
                <c:pt idx="44">
                  <c:v>4.9344446670268027</c:v>
                </c:pt>
                <c:pt idx="45">
                  <c:v>11.636714757437506</c:v>
                </c:pt>
                <c:pt idx="46">
                  <c:v>12.04433913491221</c:v>
                </c:pt>
                <c:pt idx="47">
                  <c:v>8.4382057603526146</c:v>
                </c:pt>
                <c:pt idx="48">
                  <c:v>13.093386606061596</c:v>
                </c:pt>
                <c:pt idx="49">
                  <c:v>7.0470107817447438</c:v>
                </c:pt>
                <c:pt idx="50">
                  <c:v>15.21307721899367</c:v>
                </c:pt>
              </c:numCache>
            </c:numRef>
          </c:xVal>
          <c:yVal>
            <c:numRef>
              <c:f>Model_Data!$J$2:$J$52</c:f>
              <c:numCache>
                <c:formatCode>General</c:formatCode>
                <c:ptCount val="51"/>
                <c:pt idx="0">
                  <c:v>-0.18887132221300826</c:v>
                </c:pt>
                <c:pt idx="1">
                  <c:v>-0.9924719105670734</c:v>
                </c:pt>
                <c:pt idx="2">
                  <c:v>-0.3506048973624134</c:v>
                </c:pt>
                <c:pt idx="3">
                  <c:v>0.30919787795565701</c:v>
                </c:pt>
                <c:pt idx="4">
                  <c:v>1.0085870062083688</c:v>
                </c:pt>
                <c:pt idx="5">
                  <c:v>1.1090642661910777</c:v>
                </c:pt>
                <c:pt idx="6">
                  <c:v>0.56980742520262351</c:v>
                </c:pt>
                <c:pt idx="7">
                  <c:v>0.28034527368738549</c:v>
                </c:pt>
                <c:pt idx="8">
                  <c:v>-0.34622258146369861</c:v>
                </c:pt>
                <c:pt idx="9">
                  <c:v>1.4214128515607884</c:v>
                </c:pt>
                <c:pt idx="10">
                  <c:v>0.25034608182069207</c:v>
                </c:pt>
                <c:pt idx="11">
                  <c:v>-5.9724293796415327E-2</c:v>
                </c:pt>
                <c:pt idx="12">
                  <c:v>-2.3732388840127738</c:v>
                </c:pt>
                <c:pt idx="13">
                  <c:v>-1.865906108528816</c:v>
                </c:pt>
                <c:pt idx="14">
                  <c:v>-0.75312106335464613</c:v>
                </c:pt>
                <c:pt idx="15">
                  <c:v>-0.42222381205001031</c:v>
                </c:pt>
                <c:pt idx="16">
                  <c:v>-0.51911701234469332</c:v>
                </c:pt>
                <c:pt idx="17">
                  <c:v>-0.21610731914262005</c:v>
                </c:pt>
                <c:pt idx="18">
                  <c:v>0.76802402588595231</c:v>
                </c:pt>
                <c:pt idx="19">
                  <c:v>-1.3141091124564719</c:v>
                </c:pt>
                <c:pt idx="20">
                  <c:v>0.18581674843257812</c:v>
                </c:pt>
                <c:pt idx="21">
                  <c:v>0.2812482861193028</c:v>
                </c:pt>
                <c:pt idx="22">
                  <c:v>-0.28359432304120424</c:v>
                </c:pt>
                <c:pt idx="23">
                  <c:v>-4.9217945191949143E-2</c:v>
                </c:pt>
                <c:pt idx="24">
                  <c:v>-0.22517520755636727</c:v>
                </c:pt>
                <c:pt idx="25">
                  <c:v>-1.2681622450691381</c:v>
                </c:pt>
                <c:pt idx="26">
                  <c:v>1.2309132743690641</c:v>
                </c:pt>
                <c:pt idx="27">
                  <c:v>-0.94446616953778983</c:v>
                </c:pt>
                <c:pt idx="28">
                  <c:v>-0.22163567081105856</c:v>
                </c:pt>
                <c:pt idx="29">
                  <c:v>8.5983602913310586E-2</c:v>
                </c:pt>
                <c:pt idx="30">
                  <c:v>1.2149295886602669</c:v>
                </c:pt>
                <c:pt idx="31">
                  <c:v>1.9250883185295056</c:v>
                </c:pt>
                <c:pt idx="32">
                  <c:v>2.0200743472795417</c:v>
                </c:pt>
                <c:pt idx="33">
                  <c:v>1.4032263525070741</c:v>
                </c:pt>
                <c:pt idx="34">
                  <c:v>-0.22825877554329177</c:v>
                </c:pt>
                <c:pt idx="35">
                  <c:v>0.67658079749762701</c:v>
                </c:pt>
                <c:pt idx="36">
                  <c:v>-0.14154719435919522</c:v>
                </c:pt>
                <c:pt idx="37">
                  <c:v>0.25187123479709078</c:v>
                </c:pt>
                <c:pt idx="38">
                  <c:v>0.14904722123031827</c:v>
                </c:pt>
                <c:pt idx="39">
                  <c:v>-1.3084976455303221</c:v>
                </c:pt>
                <c:pt idx="40">
                  <c:v>-0.26425933179022659</c:v>
                </c:pt>
                <c:pt idx="41">
                  <c:v>-1.2555658299780181</c:v>
                </c:pt>
                <c:pt idx="42">
                  <c:v>-0.89127463979700361</c:v>
                </c:pt>
                <c:pt idx="43">
                  <c:v>-1.0061121659291865</c:v>
                </c:pt>
                <c:pt idx="44">
                  <c:v>-0.40401313669684957</c:v>
                </c:pt>
                <c:pt idx="45">
                  <c:v>-0.22675511094577067</c:v>
                </c:pt>
                <c:pt idx="46">
                  <c:v>0.44718222005587877</c:v>
                </c:pt>
                <c:pt idx="47">
                  <c:v>-1.0820052091103847</c:v>
                </c:pt>
                <c:pt idx="48">
                  <c:v>0.96391423830010825</c:v>
                </c:pt>
                <c:pt idx="49">
                  <c:v>1.1584966776323942</c:v>
                </c:pt>
                <c:pt idx="50">
                  <c:v>1.4911012013439151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B0-4D79-AE12-2AE9111C8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7057"/>
        <c:axId val="98967942"/>
      </c:scatterChart>
      <c:valAx>
        <c:axId val="95277057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Predicted (h/day)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67942"/>
        <c:crosses val="autoZero"/>
        <c:crossBetween val="midCat"/>
      </c:valAx>
      <c:valAx>
        <c:axId val="98967942"/>
        <c:scaling>
          <c:orientation val="minMax"/>
          <c:max val="3"/>
          <c:min val="-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Std residual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27705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Standardised effect on sleep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Regression!$A$16:$A$19</c:f>
              <c:strCache>
                <c:ptCount val="4"/>
                <c:pt idx="0">
                  <c:v>log10 body weight (kg)</c:v>
                </c:pt>
                <c:pt idx="1">
                  <c:v>log10 max life span (years)</c:v>
                </c:pt>
                <c:pt idx="2">
                  <c:v>log10 gestation time (days)</c:v>
                </c:pt>
                <c:pt idx="3">
                  <c:v>danger index (1-5)</c:v>
                </c:pt>
              </c:strCache>
            </c:strRef>
          </c:cat>
          <c:val>
            <c:numRef>
              <c:f>Regression!$L$16:$L$19</c:f>
              <c:numCache>
                <c:formatCode>0.000</c:formatCode>
                <c:ptCount val="4"/>
                <c:pt idx="0">
                  <c:v>-0.2824833922831812</c:v>
                </c:pt>
                <c:pt idx="1">
                  <c:v>8.8948694147529497E-2</c:v>
                </c:pt>
                <c:pt idx="2">
                  <c:v>-0.36845975040977524</c:v>
                </c:pt>
                <c:pt idx="3">
                  <c:v>-0.45865431462567768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8-4825-912D-14486879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7818"/>
        <c:axId val="49560881"/>
      </c:barChart>
      <c:catAx>
        <c:axId val="537781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560881"/>
        <c:crosses val="autoZero"/>
        <c:auto val="1"/>
        <c:lblAlgn val="ctr"/>
        <c:lblOffset val="100"/>
        <c:noMultiLvlLbl val="0"/>
      </c:catAx>
      <c:valAx>
        <c:axId val="49560881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78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Average sleep by danger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Dash_Calc!$A$20:$A$24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Dash_Calc!$D$20:$D$24</c:f>
              <c:numCache>
                <c:formatCode>0.00</c:formatCode>
                <c:ptCount val="5"/>
                <c:pt idx="0">
                  <c:v>13.083333333333336</c:v>
                </c:pt>
                <c:pt idx="1">
                  <c:v>11.75</c:v>
                </c:pt>
                <c:pt idx="2">
                  <c:v>10.310000000000002</c:v>
                </c:pt>
                <c:pt idx="3">
                  <c:v>8.8111111111111118</c:v>
                </c:pt>
                <c:pt idx="4">
                  <c:v>4.0714285714285721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F-4097-B66F-ABD111B5F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958836"/>
        <c:axId val="11130927"/>
      </c:barChart>
      <c:catAx>
        <c:axId val="69588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30927"/>
        <c:crosses val="autoZero"/>
        <c:auto val="1"/>
        <c:lblAlgn val="ctr"/>
        <c:lblOffset val="100"/>
        <c:noMultiLvlLbl val="0"/>
      </c:catAx>
      <c:valAx>
        <c:axId val="1113092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88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Average sleep by exposure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Dash_Calc!$A$29:$A$33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Dash_Calc!$D$29:$D$33</c:f>
              <c:numCache>
                <c:formatCode>0.00</c:formatCode>
                <c:ptCount val="5"/>
                <c:pt idx="0">
                  <c:v>12.946153846153846</c:v>
                </c:pt>
                <c:pt idx="1">
                  <c:v>11.115384615384615</c:v>
                </c:pt>
                <c:pt idx="2">
                  <c:v>8.5749999999999993</c:v>
                </c:pt>
                <c:pt idx="3">
                  <c:v>10.719999999999999</c:v>
                </c:pt>
                <c:pt idx="4">
                  <c:v>4.1899999999999995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6-4C2D-BEB6-6495D791B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6694380"/>
        <c:axId val="9491174"/>
      </c:barChart>
      <c:catAx>
        <c:axId val="866943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1174"/>
        <c:crosses val="autoZero"/>
        <c:auto val="1"/>
        <c:lblAlgn val="ctr"/>
        <c:lblOffset val="100"/>
        <c:noMultiLvlLbl val="0"/>
      </c:catAx>
      <c:valAx>
        <c:axId val="94911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943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Average sleep by predation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Dash_Calc!$A$38:$A$42</c:f>
              <c:strCache>
                <c:ptCount val="5"/>
                <c:pt idx="0">
                  <c:v>Index 1</c:v>
                </c:pt>
                <c:pt idx="1">
                  <c:v>Index 2</c:v>
                </c:pt>
                <c:pt idx="2">
                  <c:v>Index 3</c:v>
                </c:pt>
                <c:pt idx="3">
                  <c:v>Index 4</c:v>
                </c:pt>
                <c:pt idx="4">
                  <c:v>Index 5</c:v>
                </c:pt>
              </c:strCache>
            </c:strRef>
          </c:cat>
          <c:val>
            <c:numRef>
              <c:f>Dash_Calc!$D$38:$D$42</c:f>
              <c:numCache>
                <c:formatCode>0.00</c:formatCode>
                <c:ptCount val="5"/>
                <c:pt idx="0">
                  <c:v>12.05</c:v>
                </c:pt>
                <c:pt idx="1">
                  <c:v>12.719999999999999</c:v>
                </c:pt>
                <c:pt idx="2">
                  <c:v>9.120000000000001</c:v>
                </c:pt>
                <c:pt idx="3">
                  <c:v>10.228571428571428</c:v>
                </c:pt>
                <c:pt idx="4">
                  <c:v>7.3833333333333329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F-4C1F-B7C2-8653B913C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9172790"/>
        <c:axId val="4194436"/>
      </c:barChart>
      <c:catAx>
        <c:axId val="2917279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4436"/>
        <c:crosses val="autoZero"/>
        <c:auto val="1"/>
        <c:lblAlgn val="ctr"/>
        <c:lblOffset val="100"/>
        <c:noMultiLvlLbl val="0"/>
      </c:catAx>
      <c:valAx>
        <c:axId val="419443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72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Average sleep by body-size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Dash_Calc!$A$47:$A$50</c:f>
              <c:strCache>
                <c:ptCount val="4"/>
                <c:pt idx="0">
                  <c:v>Tiny (&lt;1 kg)</c:v>
                </c:pt>
                <c:pt idx="1">
                  <c:v>Small (1-10 kg)</c:v>
                </c:pt>
                <c:pt idx="2">
                  <c:v>Medium (10-100 kg)</c:v>
                </c:pt>
                <c:pt idx="3">
                  <c:v>Large (100+ kg)</c:v>
                </c:pt>
              </c:strCache>
            </c:strRef>
          </c:cat>
          <c:val>
            <c:numRef>
              <c:f>Dash_Calc!$D$47:$D$50</c:f>
              <c:numCache>
                <c:formatCode>0.00</c:formatCode>
                <c:ptCount val="4"/>
                <c:pt idx="0">
                  <c:v>12.940000000000001</c:v>
                </c:pt>
                <c:pt idx="1">
                  <c:v>11.142105263157896</c:v>
                </c:pt>
                <c:pt idx="2">
                  <c:v>8.59</c:v>
                </c:pt>
                <c:pt idx="3">
                  <c:v>6.0555555555555545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9-4A4B-9A2E-F376060F8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626429"/>
        <c:axId val="735514"/>
      </c:barChart>
      <c:catAx>
        <c:axId val="36264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514"/>
        <c:crosses val="autoZero"/>
        <c:auto val="1"/>
        <c:lblAlgn val="ctr"/>
        <c:lblOffset val="100"/>
        <c:noMultiLvlLbl val="0"/>
      </c:catAx>
      <c:valAx>
        <c:axId val="7355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6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Distribution of sleep (animals per 2-hour bin)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Dash_Calc!$A$62:$A$70</c:f>
              <c:strCache>
                <c:ptCount val="9"/>
                <c:pt idx="0">
                  <c:v>2-4 h</c:v>
                </c:pt>
                <c:pt idx="1">
                  <c:v>4-6 h</c:v>
                </c:pt>
                <c:pt idx="2">
                  <c:v>6-8 h</c:v>
                </c:pt>
                <c:pt idx="3">
                  <c:v>8-10 h</c:v>
                </c:pt>
                <c:pt idx="4">
                  <c:v>10-12 h</c:v>
                </c:pt>
                <c:pt idx="5">
                  <c:v>12-14 h</c:v>
                </c:pt>
                <c:pt idx="6">
                  <c:v>14-16 h</c:v>
                </c:pt>
                <c:pt idx="7">
                  <c:v>16-18 h</c:v>
                </c:pt>
                <c:pt idx="8">
                  <c:v>18-20 h</c:v>
                </c:pt>
              </c:strCache>
            </c:strRef>
          </c:cat>
          <c:val>
            <c:numRef>
              <c:f>Dash_Calc!$D$62:$D$70</c:f>
              <c:numCache>
                <c:formatCode>#,##0</c:formatCode>
                <c:ptCount val="9"/>
                <c:pt idx="0">
                  <c:v>8</c:v>
                </c:pt>
                <c:pt idx="1">
                  <c:v>2</c:v>
                </c:pt>
                <c:pt idx="2">
                  <c:v>4</c:v>
                </c:pt>
                <c:pt idx="3">
                  <c:v>12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8-4B0F-A545-C7CC658BD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0513976"/>
        <c:axId val="99748513"/>
      </c:barChart>
      <c:catAx>
        <c:axId val="30513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48513"/>
        <c:crosses val="autoZero"/>
        <c:auto val="1"/>
        <c:lblAlgn val="ctr"/>
        <c:lblOffset val="100"/>
        <c:noMultiLvlLbl val="0"/>
      </c:catAx>
      <c:valAx>
        <c:axId val="997485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Animals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139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Animals by sleep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Dash_Calc!$A$55:$A$57</c:f>
              <c:strCache>
                <c:ptCount val="3"/>
                <c:pt idx="0">
                  <c:v>Short (&lt;8h)</c:v>
                </c:pt>
                <c:pt idx="1">
                  <c:v>Medium (8-12h)</c:v>
                </c:pt>
                <c:pt idx="2">
                  <c:v>Long (12h+)</c:v>
                </c:pt>
              </c:strCache>
            </c:strRef>
          </c:cat>
          <c:val>
            <c:numRef>
              <c:f>Dash_Calc!$C$55:$C$57</c:f>
              <c:numCache>
                <c:formatCode>#,##0</c:formatCode>
                <c:ptCount val="3"/>
                <c:pt idx="0">
                  <c:v>14</c:v>
                </c:pt>
                <c:pt idx="1">
                  <c:v>22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C-493F-A770-45B71B1E7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264612"/>
        <c:axId val="96609457"/>
      </c:barChart>
      <c:catAx>
        <c:axId val="682646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609457"/>
        <c:crosses val="autoZero"/>
        <c:auto val="1"/>
        <c:lblAlgn val="ctr"/>
        <c:lblOffset val="100"/>
        <c:noMultiLvlLbl val="0"/>
      </c:catAx>
      <c:valAx>
        <c:axId val="966094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Animals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264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Sleep vs log10 gestation (all complete animals)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5560">
                <a:solidFill>
                  <a:srgbClr val="C00000"/>
                </a:solidFill>
                <a:round/>
              </a:ln>
            </c:spPr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Model_Data!$F$2:$F$52</c:f>
              <c:numCache>
                <c:formatCode>General</c:formatCode>
                <c:ptCount val="51"/>
                <c:pt idx="0">
                  <c:v>2.8095597146352675</c:v>
                </c:pt>
                <c:pt idx="1">
                  <c:v>1.6232492903979006</c:v>
                </c:pt>
                <c:pt idx="2">
                  <c:v>1.7781512503836436</c:v>
                </c:pt>
                <c:pt idx="3">
                  <c:v>2.7951845896824241</c:v>
                </c:pt>
                <c:pt idx="4">
                  <c:v>2.255272505103306</c:v>
                </c:pt>
                <c:pt idx="5">
                  <c:v>1.5440680443502757</c:v>
                </c:pt>
                <c:pt idx="6">
                  <c:v>2.5932860670204572</c:v>
                </c:pt>
                <c:pt idx="7">
                  <c:v>1.7993405494535817</c:v>
                </c:pt>
                <c:pt idx="8">
                  <c:v>2.3617278360175931</c:v>
                </c:pt>
                <c:pt idx="9">
                  <c:v>2.0492180226701815</c:v>
                </c:pt>
                <c:pt idx="10">
                  <c:v>2.4487063199050798</c:v>
                </c:pt>
                <c:pt idx="11">
                  <c:v>2.5622928644564746</c:v>
                </c:pt>
                <c:pt idx="12">
                  <c:v>1.6232492903979006</c:v>
                </c:pt>
                <c:pt idx="13">
                  <c:v>1.4471580313422192</c:v>
                </c:pt>
                <c:pt idx="14">
                  <c:v>1.6232492903979006</c:v>
                </c:pt>
                <c:pt idx="15">
                  <c:v>2.0791812460476247</c:v>
                </c:pt>
                <c:pt idx="16">
                  <c:v>2.1702617153949575</c:v>
                </c:pt>
                <c:pt idx="17">
                  <c:v>1.2041199826559248</c:v>
                </c:pt>
                <c:pt idx="18">
                  <c:v>2.4014005407815442</c:v>
                </c:pt>
                <c:pt idx="19">
                  <c:v>2.4913616938342726</c:v>
                </c:pt>
                <c:pt idx="20">
                  <c:v>1.7993405494535817</c:v>
                </c:pt>
                <c:pt idx="21">
                  <c:v>1.4471580313422192</c:v>
                </c:pt>
                <c:pt idx="22">
                  <c:v>1.8325089127062364</c:v>
                </c:pt>
                <c:pt idx="23">
                  <c:v>2.5263392773898441</c:v>
                </c:pt>
                <c:pt idx="24">
                  <c:v>2</c:v>
                </c:pt>
                <c:pt idx="25">
                  <c:v>1.3324384599156054</c:v>
                </c:pt>
                <c:pt idx="26">
                  <c:v>1.6989700043360187</c:v>
                </c:pt>
                <c:pt idx="27">
                  <c:v>2.4265112613645754</c:v>
                </c:pt>
                <c:pt idx="28">
                  <c:v>1.2787536009528289</c:v>
                </c:pt>
                <c:pt idx="29">
                  <c:v>1.4771212547196624</c:v>
                </c:pt>
                <c:pt idx="30">
                  <c:v>1.0791812460476249</c:v>
                </c:pt>
                <c:pt idx="31">
                  <c:v>2.0791812460476247</c:v>
                </c:pt>
                <c:pt idx="32">
                  <c:v>2.1461280356782382</c:v>
                </c:pt>
                <c:pt idx="33">
                  <c:v>2.2304489213782741</c:v>
                </c:pt>
                <c:pt idx="34">
                  <c:v>1.2304489213782739</c:v>
                </c:pt>
                <c:pt idx="35">
                  <c:v>2.0606978403536118</c:v>
                </c:pt>
                <c:pt idx="36">
                  <c:v>1.4913616938342726</c:v>
                </c:pt>
                <c:pt idx="37">
                  <c:v>1.7993405494535817</c:v>
                </c:pt>
                <c:pt idx="38">
                  <c:v>1.3222192947339193</c:v>
                </c:pt>
                <c:pt idx="39">
                  <c:v>1.7160033436347992</c:v>
                </c:pt>
                <c:pt idx="40">
                  <c:v>2.214843848047698</c:v>
                </c:pt>
                <c:pt idx="41">
                  <c:v>2.3521825181113627</c:v>
                </c:pt>
                <c:pt idx="42">
                  <c:v>2.3521825181113627</c:v>
                </c:pt>
                <c:pt idx="43">
                  <c:v>2.1760912590556813</c:v>
                </c:pt>
                <c:pt idx="44">
                  <c:v>2.1789769472931693</c:v>
                </c:pt>
                <c:pt idx="45">
                  <c:v>1.954242509439325</c:v>
                </c:pt>
                <c:pt idx="46">
                  <c:v>1.7781512503836436</c:v>
                </c:pt>
                <c:pt idx="47">
                  <c:v>2.3010299956639813</c:v>
                </c:pt>
                <c:pt idx="48">
                  <c:v>1.6627578316815741</c:v>
                </c:pt>
                <c:pt idx="49">
                  <c:v>2.3222192947339191</c:v>
                </c:pt>
                <c:pt idx="50">
                  <c:v>1.146128035678238</c:v>
                </c:pt>
              </c:numCache>
            </c:numRef>
          </c:xVal>
          <c:yVal>
            <c:numRef>
              <c:f>Model_Data!$C$2:$C$52</c:f>
              <c:numCache>
                <c:formatCode>General</c:formatCode>
                <c:ptCount val="51"/>
                <c:pt idx="0">
                  <c:v>3.3</c:v>
                </c:pt>
                <c:pt idx="1">
                  <c:v>8.3000000000000007</c:v>
                </c:pt>
                <c:pt idx="2">
                  <c:v>12.5</c:v>
                </c:pt>
                <c:pt idx="3">
                  <c:v>3.9</c:v>
                </c:pt>
                <c:pt idx="4">
                  <c:v>9.8000000000000007</c:v>
                </c:pt>
                <c:pt idx="5">
                  <c:v>19.7</c:v>
                </c:pt>
                <c:pt idx="6">
                  <c:v>6.2</c:v>
                </c:pt>
                <c:pt idx="7">
                  <c:v>14.5</c:v>
                </c:pt>
                <c:pt idx="8">
                  <c:v>9.6999999999999993</c:v>
                </c:pt>
                <c:pt idx="9">
                  <c:v>12.5</c:v>
                </c:pt>
                <c:pt idx="10">
                  <c:v>3.9</c:v>
                </c:pt>
                <c:pt idx="11">
                  <c:v>3.1</c:v>
                </c:pt>
                <c:pt idx="12">
                  <c:v>8.4</c:v>
                </c:pt>
                <c:pt idx="13">
                  <c:v>8.6</c:v>
                </c:pt>
                <c:pt idx="14">
                  <c:v>10.7</c:v>
                </c:pt>
                <c:pt idx="15">
                  <c:v>10.7</c:v>
                </c:pt>
                <c:pt idx="16">
                  <c:v>3.8</c:v>
                </c:pt>
                <c:pt idx="17">
                  <c:v>14.4</c:v>
                </c:pt>
                <c:pt idx="18">
                  <c:v>12</c:v>
                </c:pt>
                <c:pt idx="19">
                  <c:v>6.2</c:v>
                </c:pt>
                <c:pt idx="20">
                  <c:v>13</c:v>
                </c:pt>
                <c:pt idx="21">
                  <c:v>13.8</c:v>
                </c:pt>
                <c:pt idx="22">
                  <c:v>8.1999999999999993</c:v>
                </c:pt>
                <c:pt idx="23">
                  <c:v>2.9</c:v>
                </c:pt>
                <c:pt idx="24">
                  <c:v>10.8</c:v>
                </c:pt>
                <c:pt idx="25">
                  <c:v>9.1</c:v>
                </c:pt>
                <c:pt idx="26">
                  <c:v>19.899999999999999</c:v>
                </c:pt>
                <c:pt idx="27">
                  <c:v>8</c:v>
                </c:pt>
                <c:pt idx="28">
                  <c:v>13.2</c:v>
                </c:pt>
                <c:pt idx="29">
                  <c:v>12.8</c:v>
                </c:pt>
                <c:pt idx="30">
                  <c:v>19.399999999999999</c:v>
                </c:pt>
                <c:pt idx="31">
                  <c:v>17.399999999999999</c:v>
                </c:pt>
                <c:pt idx="32">
                  <c:v>17</c:v>
                </c:pt>
                <c:pt idx="33">
                  <c:v>10.9</c:v>
                </c:pt>
                <c:pt idx="34">
                  <c:v>13.7</c:v>
                </c:pt>
                <c:pt idx="35">
                  <c:v>8.4</c:v>
                </c:pt>
                <c:pt idx="36">
                  <c:v>8.4</c:v>
                </c:pt>
                <c:pt idx="37">
                  <c:v>12.5</c:v>
                </c:pt>
                <c:pt idx="38">
                  <c:v>13.2</c:v>
                </c:pt>
                <c:pt idx="39">
                  <c:v>9.8000000000000007</c:v>
                </c:pt>
                <c:pt idx="40">
                  <c:v>9.6</c:v>
                </c:pt>
                <c:pt idx="41">
                  <c:v>6.6</c:v>
                </c:pt>
                <c:pt idx="42">
                  <c:v>5.4</c:v>
                </c:pt>
                <c:pt idx="43">
                  <c:v>2.6</c:v>
                </c:pt>
                <c:pt idx="44">
                  <c:v>3.8</c:v>
                </c:pt>
                <c:pt idx="45">
                  <c:v>11</c:v>
                </c:pt>
                <c:pt idx="46">
                  <c:v>13.3</c:v>
                </c:pt>
                <c:pt idx="47">
                  <c:v>5.4</c:v>
                </c:pt>
                <c:pt idx="48">
                  <c:v>15.8</c:v>
                </c:pt>
                <c:pt idx="49">
                  <c:v>10.3</c:v>
                </c:pt>
                <c:pt idx="50">
                  <c:v>19.399999999999999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B-4E5C-A90B-3D40A55F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63115"/>
        <c:axId val="38960971"/>
      </c:scatterChart>
      <c:valAx>
        <c:axId val="998631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log10 gestation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60971"/>
        <c:crosses val="autoZero"/>
        <c:crossBetween val="midCat"/>
      </c:valAx>
      <c:valAx>
        <c:axId val="389609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 /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6311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1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US" sz="1100" b="1" strike="noStrike" spc="-1">
                <a:solidFill>
                  <a:srgbClr val="1F3864"/>
                </a:solidFill>
                <a:latin typeface="Calibri"/>
              </a:rPr>
              <a:t>Correlation with sleep (all animals)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Correlation!$L$6:$L$16</c:f>
              <c:strCache>
                <c:ptCount val="11"/>
                <c:pt idx="0">
                  <c:v>log10 gestation_time</c:v>
                </c:pt>
                <c:pt idx="1">
                  <c:v>sleep_exposure_index</c:v>
                </c:pt>
                <c:pt idx="2">
                  <c:v>gestation_time (days)</c:v>
                </c:pt>
                <c:pt idx="3">
                  <c:v>danger_index</c:v>
                </c:pt>
                <c:pt idx="4">
                  <c:v>log10 brain_weight</c:v>
                </c:pt>
                <c:pt idx="5">
                  <c:v>log10 body_weight</c:v>
                </c:pt>
                <c:pt idx="6">
                  <c:v>log10 max_life_span</c:v>
                </c:pt>
                <c:pt idx="7">
                  <c:v>max_life_span (years)</c:v>
                </c:pt>
                <c:pt idx="8">
                  <c:v>predation_index</c:v>
                </c:pt>
                <c:pt idx="9">
                  <c:v>brain_weight (g)</c:v>
                </c:pt>
                <c:pt idx="10">
                  <c:v>body_weight (kg)</c:v>
                </c:pt>
              </c:strCache>
            </c:strRef>
          </c:cat>
          <c:val>
            <c:numRef>
              <c:f>Correlation!$M$6:$M$16</c:f>
              <c:numCache>
                <c:formatCode>0.000</c:formatCode>
                <c:ptCount val="11"/>
                <c:pt idx="0">
                  <c:v>-0.66365598615326815</c:v>
                </c:pt>
                <c:pt idx="1">
                  <c:v>-0.6422845069751526</c:v>
                </c:pt>
                <c:pt idx="2">
                  <c:v>-0.63132620079982515</c:v>
                </c:pt>
                <c:pt idx="3">
                  <c:v>-0.58774240602169692</c:v>
                </c:pt>
                <c:pt idx="4">
                  <c:v>-0.56259576990794202</c:v>
                </c:pt>
                <c:pt idx="5">
                  <c:v>-0.53283449984909004</c:v>
                </c:pt>
                <c:pt idx="6">
                  <c:v>-0.42994086645601248</c:v>
                </c:pt>
                <c:pt idx="7">
                  <c:v>-0.4102023887595499</c:v>
                </c:pt>
                <c:pt idx="8">
                  <c:v>-0.39583497235791382</c:v>
                </c:pt>
                <c:pt idx="9">
                  <c:v>-0.35810202872054581</c:v>
                </c:pt>
                <c:pt idx="10">
                  <c:v>-0.30718591141343737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9-4BFF-B461-FC55D5200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8366849"/>
        <c:axId val="87543246"/>
      </c:barChart>
      <c:catAx>
        <c:axId val="78366849"/>
        <c:scaling>
          <c:orientation val="minMax"/>
        </c:scaling>
        <c:delete val="0"/>
        <c:axPos val="r"/>
        <c:majorGridlines>
          <c:spPr>
            <a:ln w="9360">
              <a:solidFill>
                <a:srgbClr val="E6E6E6"/>
              </a:solidFill>
              <a:round/>
            </a:ln>
          </c:spPr>
        </c:majorGridlines>
        <c:numFmt formatCode="0.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543246"/>
        <c:crosses val="autoZero"/>
        <c:auto val="1"/>
        <c:lblAlgn val="ctr"/>
        <c:lblOffset val="100"/>
        <c:noMultiLvlLbl val="0"/>
      </c:catAx>
      <c:valAx>
        <c:axId val="87543246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66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18360</xdr:rowOff>
    </xdr:from>
    <xdr:to>
      <xdr:col>14</xdr:col>
      <xdr:colOff>584200</xdr:colOff>
      <xdr:row>31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20</xdr:row>
      <xdr:rowOff>131040</xdr:rowOff>
    </xdr:from>
    <xdr:to>
      <xdr:col>11</xdr:col>
      <xdr:colOff>713880</xdr:colOff>
      <xdr:row>35</xdr:row>
      <xdr:rowOff>130320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131040</xdr:rowOff>
    </xdr:from>
    <xdr:to>
      <xdr:col>15</xdr:col>
      <xdr:colOff>428400</xdr:colOff>
      <xdr:row>33</xdr:row>
      <xdr:rowOff>130680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130680</xdr:rowOff>
    </xdr:from>
    <xdr:to>
      <xdr:col>4</xdr:col>
      <xdr:colOff>114120</xdr:colOff>
      <xdr:row>43</xdr:row>
      <xdr:rowOff>130680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28</xdr:row>
      <xdr:rowOff>130680</xdr:rowOff>
    </xdr:from>
    <xdr:to>
      <xdr:col>11</xdr:col>
      <xdr:colOff>1447560</xdr:colOff>
      <xdr:row>43</xdr:row>
      <xdr:rowOff>130680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44</xdr:row>
      <xdr:rowOff>131040</xdr:rowOff>
    </xdr:from>
    <xdr:to>
      <xdr:col>4</xdr:col>
      <xdr:colOff>114120</xdr:colOff>
      <xdr:row>59</xdr:row>
      <xdr:rowOff>130320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44</xdr:row>
      <xdr:rowOff>131040</xdr:rowOff>
    </xdr:from>
    <xdr:to>
      <xdr:col>11</xdr:col>
      <xdr:colOff>1447560</xdr:colOff>
      <xdr:row>59</xdr:row>
      <xdr:rowOff>130320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130680</xdr:rowOff>
    </xdr:from>
    <xdr:to>
      <xdr:col>18</xdr:col>
      <xdr:colOff>66240</xdr:colOff>
      <xdr:row>18</xdr:row>
      <xdr:rowOff>35280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21</xdr:row>
      <xdr:rowOff>131040</xdr:rowOff>
    </xdr:from>
    <xdr:to>
      <xdr:col>18</xdr:col>
      <xdr:colOff>66240</xdr:colOff>
      <xdr:row>34</xdr:row>
      <xdr:rowOff>35640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130680</xdr:rowOff>
    </xdr:from>
    <xdr:to>
      <xdr:col>18</xdr:col>
      <xdr:colOff>66240</xdr:colOff>
      <xdr:row>50</xdr:row>
      <xdr:rowOff>35280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53</xdr:row>
      <xdr:rowOff>130680</xdr:rowOff>
    </xdr:from>
    <xdr:to>
      <xdr:col>18</xdr:col>
      <xdr:colOff>66240</xdr:colOff>
      <xdr:row>66</xdr:row>
      <xdr:rowOff>35280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9</xdr:col>
      <xdr:colOff>533160</xdr:colOff>
      <xdr:row>17</xdr:row>
      <xdr:rowOff>18000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</xdr:row>
      <xdr:rowOff>131040</xdr:rowOff>
    </xdr:from>
    <xdr:to>
      <xdr:col>17</xdr:col>
      <xdr:colOff>228240</xdr:colOff>
      <xdr:row>17</xdr:row>
      <xdr:rowOff>18000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18360</xdr:rowOff>
    </xdr:from>
    <xdr:to>
      <xdr:col>1</xdr:col>
      <xdr:colOff>1875960</xdr:colOff>
      <xdr:row>47</xdr:row>
      <xdr:rowOff>18000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571320</xdr:colOff>
      <xdr:row>30</xdr:row>
      <xdr:rowOff>95040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0</xdr:rowOff>
    </xdr:from>
    <xdr:to>
      <xdr:col>12</xdr:col>
      <xdr:colOff>571320</xdr:colOff>
      <xdr:row>30</xdr:row>
      <xdr:rowOff>95040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571320</xdr:colOff>
      <xdr:row>45</xdr:row>
      <xdr:rowOff>95040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12</xdr:col>
      <xdr:colOff>571320</xdr:colOff>
      <xdr:row>45</xdr:row>
      <xdr:rowOff>95040</xdr:rowOff>
    </xdr:to>
    <xdr:graphicFrame macro="">
      <xdr:nvGraphicFramePr>
        <xdr:cNvPr id="17" name="Chart 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6</xdr:col>
      <xdr:colOff>571320</xdr:colOff>
      <xdr:row>60</xdr:row>
      <xdr:rowOff>95040</xdr:rowOff>
    </xdr:to>
    <xdr:graphicFrame macro="">
      <xdr:nvGraphicFramePr>
        <xdr:cNvPr id="18" name="Chart 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46</xdr:row>
      <xdr:rowOff>0</xdr:rowOff>
    </xdr:from>
    <xdr:to>
      <xdr:col>12</xdr:col>
      <xdr:colOff>571320</xdr:colOff>
      <xdr:row>60</xdr:row>
      <xdr:rowOff>95040</xdr:rowOff>
    </xdr:to>
    <xdr:graphicFrame macro="">
      <xdr:nvGraphicFramePr>
        <xdr:cNvPr id="19" name="Chart 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6</xdr:col>
      <xdr:colOff>571320</xdr:colOff>
      <xdr:row>75</xdr:row>
      <xdr:rowOff>95040</xdr:rowOff>
    </xdr:to>
    <xdr:graphicFrame macro="">
      <xdr:nvGraphicFramePr>
        <xdr:cNvPr id="20" name="Chart 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61</xdr:row>
      <xdr:rowOff>0</xdr:rowOff>
    </xdr:from>
    <xdr:to>
      <xdr:col>12</xdr:col>
      <xdr:colOff>571320</xdr:colOff>
      <xdr:row>75</xdr:row>
      <xdr:rowOff>95040</xdr:rowOff>
    </xdr:to>
    <xdr:graphicFrame macro="">
      <xdr:nvGraphicFramePr>
        <xdr:cNvPr id="21" name="Chart 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5" x14ac:dyDescent="0.25"/>
  <cols>
    <col min="1" max="8" width="20.7265625" customWidth="1"/>
  </cols>
  <sheetData>
    <row r="1" spans="1:8" ht="13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x14ac:dyDescent="0.25">
      <c r="A2">
        <v>6654</v>
      </c>
      <c r="B2">
        <v>5712</v>
      </c>
      <c r="C2">
        <v>38.6</v>
      </c>
      <c r="D2">
        <v>645</v>
      </c>
      <c r="E2">
        <v>3</v>
      </c>
      <c r="F2">
        <v>5</v>
      </c>
      <c r="G2">
        <v>3</v>
      </c>
      <c r="H2">
        <v>3.3</v>
      </c>
    </row>
    <row r="3" spans="1:8" x14ac:dyDescent="0.25">
      <c r="A3">
        <v>1</v>
      </c>
      <c r="B3">
        <v>6.6</v>
      </c>
      <c r="C3">
        <v>4.5</v>
      </c>
      <c r="D3">
        <v>42</v>
      </c>
      <c r="E3">
        <v>3</v>
      </c>
      <c r="F3">
        <v>1</v>
      </c>
      <c r="G3">
        <v>3</v>
      </c>
      <c r="H3">
        <v>8.3000000000000007</v>
      </c>
    </row>
    <row r="4" spans="1:8" x14ac:dyDescent="0.25">
      <c r="A4">
        <v>3.3849999999999998</v>
      </c>
      <c r="B4">
        <v>44.5</v>
      </c>
      <c r="C4">
        <v>14</v>
      </c>
      <c r="D4">
        <v>60</v>
      </c>
      <c r="E4">
        <v>1</v>
      </c>
      <c r="F4">
        <v>1</v>
      </c>
      <c r="G4">
        <v>1</v>
      </c>
      <c r="H4">
        <v>12.5</v>
      </c>
    </row>
    <row r="5" spans="1:8" x14ac:dyDescent="0.25">
      <c r="A5">
        <v>0.92</v>
      </c>
      <c r="B5">
        <v>5.7</v>
      </c>
      <c r="C5" t="s">
        <v>8</v>
      </c>
      <c r="D5">
        <v>25</v>
      </c>
      <c r="E5">
        <v>5</v>
      </c>
      <c r="F5">
        <v>2</v>
      </c>
      <c r="G5">
        <v>3</v>
      </c>
      <c r="H5">
        <v>16.5</v>
      </c>
    </row>
    <row r="6" spans="1:8" x14ac:dyDescent="0.25">
      <c r="A6">
        <v>2547</v>
      </c>
      <c r="B6">
        <v>4603</v>
      </c>
      <c r="C6">
        <v>69</v>
      </c>
      <c r="D6">
        <v>624</v>
      </c>
      <c r="E6">
        <v>3</v>
      </c>
      <c r="F6">
        <v>5</v>
      </c>
      <c r="G6">
        <v>4</v>
      </c>
      <c r="H6">
        <v>3.9</v>
      </c>
    </row>
    <row r="7" spans="1:8" x14ac:dyDescent="0.25">
      <c r="A7">
        <v>10.55</v>
      </c>
      <c r="B7">
        <v>179.5</v>
      </c>
      <c r="C7">
        <v>27</v>
      </c>
      <c r="D7">
        <v>180</v>
      </c>
      <c r="E7">
        <v>4</v>
      </c>
      <c r="F7">
        <v>4</v>
      </c>
      <c r="G7">
        <v>4</v>
      </c>
      <c r="H7">
        <v>9.8000000000000007</v>
      </c>
    </row>
    <row r="8" spans="1:8" x14ac:dyDescent="0.25">
      <c r="A8">
        <v>2.3E-2</v>
      </c>
      <c r="B8">
        <v>0.3</v>
      </c>
      <c r="C8">
        <v>19</v>
      </c>
      <c r="D8">
        <v>35</v>
      </c>
      <c r="E8">
        <v>1</v>
      </c>
      <c r="F8">
        <v>1</v>
      </c>
      <c r="G8">
        <v>1</v>
      </c>
      <c r="H8">
        <v>19.7</v>
      </c>
    </row>
    <row r="9" spans="1:8" x14ac:dyDescent="0.25">
      <c r="A9">
        <v>160</v>
      </c>
      <c r="B9">
        <v>169</v>
      </c>
      <c r="C9">
        <v>30.4</v>
      </c>
      <c r="D9">
        <v>392</v>
      </c>
      <c r="E9">
        <v>4</v>
      </c>
      <c r="F9">
        <v>5</v>
      </c>
      <c r="G9">
        <v>4</v>
      </c>
      <c r="H9">
        <v>6.2</v>
      </c>
    </row>
    <row r="10" spans="1:8" x14ac:dyDescent="0.25">
      <c r="A10">
        <v>3.3</v>
      </c>
      <c r="B10">
        <v>25.6</v>
      </c>
      <c r="C10">
        <v>28</v>
      </c>
      <c r="D10">
        <v>63</v>
      </c>
      <c r="E10">
        <v>1</v>
      </c>
      <c r="F10">
        <v>2</v>
      </c>
      <c r="G10">
        <v>1</v>
      </c>
      <c r="H10">
        <v>14.5</v>
      </c>
    </row>
    <row r="11" spans="1:8" x14ac:dyDescent="0.25">
      <c r="A11">
        <v>52.16</v>
      </c>
      <c r="B11">
        <v>440</v>
      </c>
      <c r="C11">
        <v>50</v>
      </c>
      <c r="D11">
        <v>230</v>
      </c>
      <c r="E11">
        <v>1</v>
      </c>
      <c r="F11">
        <v>1</v>
      </c>
      <c r="G11">
        <v>1</v>
      </c>
      <c r="H11">
        <v>9.6999999999999993</v>
      </c>
    </row>
    <row r="12" spans="1:8" x14ac:dyDescent="0.25">
      <c r="A12">
        <v>0.42499999999999999</v>
      </c>
      <c r="B12">
        <v>6.4</v>
      </c>
      <c r="C12">
        <v>7</v>
      </c>
      <c r="D12">
        <v>112</v>
      </c>
      <c r="E12">
        <v>5</v>
      </c>
      <c r="F12">
        <v>4</v>
      </c>
      <c r="G12">
        <v>4</v>
      </c>
      <c r="H12">
        <v>12.5</v>
      </c>
    </row>
    <row r="13" spans="1:8" x14ac:dyDescent="0.25">
      <c r="A13">
        <v>465</v>
      </c>
      <c r="B13">
        <v>423</v>
      </c>
      <c r="C13">
        <v>30</v>
      </c>
      <c r="D13">
        <v>281</v>
      </c>
      <c r="E13">
        <v>5</v>
      </c>
      <c r="F13">
        <v>5</v>
      </c>
      <c r="G13">
        <v>5</v>
      </c>
      <c r="H13">
        <v>3.9</v>
      </c>
    </row>
    <row r="14" spans="1:8" x14ac:dyDescent="0.25">
      <c r="A14">
        <v>0.55000000000000004</v>
      </c>
      <c r="B14">
        <v>2.4</v>
      </c>
      <c r="C14" t="s">
        <v>8</v>
      </c>
      <c r="D14" t="s">
        <v>8</v>
      </c>
      <c r="E14">
        <v>2</v>
      </c>
      <c r="F14">
        <v>1</v>
      </c>
      <c r="G14">
        <v>2</v>
      </c>
      <c r="H14">
        <v>10.3</v>
      </c>
    </row>
    <row r="15" spans="1:8" x14ac:dyDescent="0.25">
      <c r="A15">
        <v>187.1</v>
      </c>
      <c r="B15">
        <v>419</v>
      </c>
      <c r="C15">
        <v>40</v>
      </c>
      <c r="D15">
        <v>365</v>
      </c>
      <c r="E15">
        <v>5</v>
      </c>
      <c r="F15">
        <v>5</v>
      </c>
      <c r="G15">
        <v>5</v>
      </c>
      <c r="H15">
        <v>3.1</v>
      </c>
    </row>
    <row r="16" spans="1:8" x14ac:dyDescent="0.25">
      <c r="A16">
        <v>7.4999999999999997E-2</v>
      </c>
      <c r="B16">
        <v>1.2</v>
      </c>
      <c r="C16">
        <v>3.5</v>
      </c>
      <c r="D16">
        <v>42</v>
      </c>
      <c r="E16">
        <v>1</v>
      </c>
      <c r="F16">
        <v>1</v>
      </c>
      <c r="G16">
        <v>1</v>
      </c>
      <c r="H16">
        <v>8.4</v>
      </c>
    </row>
    <row r="17" spans="1:8" x14ac:dyDescent="0.25">
      <c r="A17">
        <v>3</v>
      </c>
      <c r="B17">
        <v>25</v>
      </c>
      <c r="C17">
        <v>50</v>
      </c>
      <c r="D17">
        <v>28</v>
      </c>
      <c r="E17">
        <v>2</v>
      </c>
      <c r="F17">
        <v>2</v>
      </c>
      <c r="G17">
        <v>2</v>
      </c>
      <c r="H17">
        <v>8.6</v>
      </c>
    </row>
    <row r="18" spans="1:8" x14ac:dyDescent="0.25">
      <c r="A18">
        <v>0.78500000000000003</v>
      </c>
      <c r="B18">
        <v>3.5</v>
      </c>
      <c r="C18">
        <v>6</v>
      </c>
      <c r="D18">
        <v>42</v>
      </c>
      <c r="E18">
        <v>2</v>
      </c>
      <c r="F18">
        <v>2</v>
      </c>
      <c r="G18">
        <v>2</v>
      </c>
      <c r="H18">
        <v>10.7</v>
      </c>
    </row>
    <row r="19" spans="1:8" x14ac:dyDescent="0.25">
      <c r="A19">
        <v>0.2</v>
      </c>
      <c r="B19">
        <v>5</v>
      </c>
      <c r="C19">
        <v>10.4</v>
      </c>
      <c r="D19">
        <v>120</v>
      </c>
      <c r="E19">
        <v>2</v>
      </c>
      <c r="F19">
        <v>2</v>
      </c>
      <c r="G19">
        <v>2</v>
      </c>
      <c r="H19">
        <v>10.7</v>
      </c>
    </row>
    <row r="20" spans="1:8" x14ac:dyDescent="0.25">
      <c r="A20">
        <v>1.41</v>
      </c>
      <c r="B20">
        <v>17.5</v>
      </c>
      <c r="C20">
        <v>34</v>
      </c>
      <c r="D20" t="s">
        <v>8</v>
      </c>
      <c r="E20">
        <v>1</v>
      </c>
      <c r="F20">
        <v>2</v>
      </c>
      <c r="G20">
        <v>1</v>
      </c>
      <c r="H20">
        <v>6.1</v>
      </c>
    </row>
    <row r="21" spans="1:8" x14ac:dyDescent="0.25">
      <c r="A21">
        <v>60</v>
      </c>
      <c r="B21">
        <v>81</v>
      </c>
      <c r="C21">
        <v>7</v>
      </c>
      <c r="D21" t="s">
        <v>8</v>
      </c>
      <c r="E21">
        <v>1</v>
      </c>
      <c r="F21">
        <v>1</v>
      </c>
      <c r="G21">
        <v>1</v>
      </c>
      <c r="H21">
        <v>18.100000000000001</v>
      </c>
    </row>
    <row r="22" spans="1:8" x14ac:dyDescent="0.25">
      <c r="A22">
        <v>529</v>
      </c>
      <c r="B22">
        <v>680</v>
      </c>
      <c r="C22">
        <v>28</v>
      </c>
      <c r="D22">
        <v>400</v>
      </c>
      <c r="E22">
        <v>5</v>
      </c>
      <c r="F22">
        <v>5</v>
      </c>
      <c r="G22">
        <v>5</v>
      </c>
      <c r="H22" t="s">
        <v>8</v>
      </c>
    </row>
    <row r="23" spans="1:8" x14ac:dyDescent="0.25">
      <c r="A23">
        <v>27.66</v>
      </c>
      <c r="B23">
        <v>115</v>
      </c>
      <c r="C23">
        <v>20</v>
      </c>
      <c r="D23">
        <v>148</v>
      </c>
      <c r="E23">
        <v>5</v>
      </c>
      <c r="F23">
        <v>5</v>
      </c>
      <c r="G23">
        <v>5</v>
      </c>
      <c r="H23">
        <v>3.8</v>
      </c>
    </row>
    <row r="24" spans="1:8" x14ac:dyDescent="0.25">
      <c r="A24">
        <v>0.12</v>
      </c>
      <c r="B24">
        <v>1</v>
      </c>
      <c r="C24">
        <v>3.9</v>
      </c>
      <c r="D24">
        <v>16</v>
      </c>
      <c r="E24">
        <v>3</v>
      </c>
      <c r="F24">
        <v>1</v>
      </c>
      <c r="G24">
        <v>2</v>
      </c>
      <c r="H24">
        <v>14.4</v>
      </c>
    </row>
    <row r="25" spans="1:8" x14ac:dyDescent="0.25">
      <c r="A25">
        <v>207</v>
      </c>
      <c r="B25">
        <v>406</v>
      </c>
      <c r="C25">
        <v>39.299999999999997</v>
      </c>
      <c r="D25">
        <v>252</v>
      </c>
      <c r="E25">
        <v>1</v>
      </c>
      <c r="F25">
        <v>4</v>
      </c>
      <c r="G25">
        <v>1</v>
      </c>
      <c r="H25">
        <v>12</v>
      </c>
    </row>
    <row r="26" spans="1:8" x14ac:dyDescent="0.25">
      <c r="A26">
        <v>85</v>
      </c>
      <c r="B26">
        <v>325</v>
      </c>
      <c r="C26">
        <v>41</v>
      </c>
      <c r="D26">
        <v>310</v>
      </c>
      <c r="E26">
        <v>1</v>
      </c>
      <c r="F26">
        <v>3</v>
      </c>
      <c r="G26">
        <v>1</v>
      </c>
      <c r="H26">
        <v>6.2</v>
      </c>
    </row>
    <row r="27" spans="1:8" x14ac:dyDescent="0.25">
      <c r="A27">
        <v>36.33</v>
      </c>
      <c r="B27">
        <v>119.5</v>
      </c>
      <c r="C27">
        <v>16.2</v>
      </c>
      <c r="D27">
        <v>63</v>
      </c>
      <c r="E27">
        <v>1</v>
      </c>
      <c r="F27">
        <v>1</v>
      </c>
      <c r="G27">
        <v>1</v>
      </c>
      <c r="H27">
        <v>13</v>
      </c>
    </row>
    <row r="28" spans="1:8" x14ac:dyDescent="0.25">
      <c r="A28">
        <v>0.10100000000000001</v>
      </c>
      <c r="B28">
        <v>4</v>
      </c>
      <c r="C28">
        <v>9</v>
      </c>
      <c r="D28">
        <v>28</v>
      </c>
      <c r="E28">
        <v>5</v>
      </c>
      <c r="F28">
        <v>1</v>
      </c>
      <c r="G28">
        <v>3</v>
      </c>
      <c r="H28">
        <v>13.8</v>
      </c>
    </row>
    <row r="29" spans="1:8" x14ac:dyDescent="0.25">
      <c r="A29">
        <v>1.04</v>
      </c>
      <c r="B29">
        <v>5.5</v>
      </c>
      <c r="C29">
        <v>7.6</v>
      </c>
      <c r="D29">
        <v>68</v>
      </c>
      <c r="E29">
        <v>5</v>
      </c>
      <c r="F29">
        <v>3</v>
      </c>
      <c r="G29">
        <v>4</v>
      </c>
      <c r="H29">
        <v>8.1999999999999993</v>
      </c>
    </row>
    <row r="30" spans="1:8" x14ac:dyDescent="0.25">
      <c r="A30">
        <v>521</v>
      </c>
      <c r="B30">
        <v>655</v>
      </c>
      <c r="C30">
        <v>46</v>
      </c>
      <c r="D30">
        <v>336</v>
      </c>
      <c r="E30">
        <v>5</v>
      </c>
      <c r="F30">
        <v>5</v>
      </c>
      <c r="G30">
        <v>5</v>
      </c>
      <c r="H30">
        <v>2.9</v>
      </c>
    </row>
    <row r="31" spans="1:8" x14ac:dyDescent="0.25">
      <c r="A31">
        <v>100</v>
      </c>
      <c r="B31">
        <v>157</v>
      </c>
      <c r="C31">
        <v>22.4</v>
      </c>
      <c r="D31">
        <v>100</v>
      </c>
      <c r="E31">
        <v>1</v>
      </c>
      <c r="F31">
        <v>1</v>
      </c>
      <c r="G31">
        <v>1</v>
      </c>
      <c r="H31">
        <v>10.8</v>
      </c>
    </row>
    <row r="32" spans="1:8" x14ac:dyDescent="0.25">
      <c r="A32">
        <v>35</v>
      </c>
      <c r="B32">
        <v>56</v>
      </c>
      <c r="C32">
        <v>16.3</v>
      </c>
      <c r="D32">
        <v>33</v>
      </c>
      <c r="E32">
        <v>3</v>
      </c>
      <c r="F32">
        <v>5</v>
      </c>
      <c r="G32">
        <v>4</v>
      </c>
      <c r="H32" t="s">
        <v>8</v>
      </c>
    </row>
    <row r="33" spans="1:8" x14ac:dyDescent="0.25">
      <c r="A33">
        <v>5.0000000000000001E-3</v>
      </c>
      <c r="B33">
        <v>0.14000000000000001</v>
      </c>
      <c r="C33">
        <v>2.6</v>
      </c>
      <c r="D33">
        <v>21.5</v>
      </c>
      <c r="E33">
        <v>5</v>
      </c>
      <c r="F33">
        <v>2</v>
      </c>
      <c r="G33">
        <v>4</v>
      </c>
      <c r="H33">
        <v>9.1</v>
      </c>
    </row>
    <row r="34" spans="1:8" x14ac:dyDescent="0.25">
      <c r="A34">
        <v>0.01</v>
      </c>
      <c r="B34">
        <v>0.25</v>
      </c>
      <c r="C34">
        <v>24</v>
      </c>
      <c r="D34">
        <v>50</v>
      </c>
      <c r="E34">
        <v>1</v>
      </c>
      <c r="F34">
        <v>1</v>
      </c>
      <c r="G34">
        <v>1</v>
      </c>
      <c r="H34">
        <v>19.899999999999999</v>
      </c>
    </row>
    <row r="35" spans="1:8" x14ac:dyDescent="0.25">
      <c r="A35">
        <v>62</v>
      </c>
      <c r="B35">
        <v>1320</v>
      </c>
      <c r="C35">
        <v>100</v>
      </c>
      <c r="D35">
        <v>267</v>
      </c>
      <c r="E35">
        <v>1</v>
      </c>
      <c r="F35">
        <v>1</v>
      </c>
      <c r="G35">
        <v>1</v>
      </c>
      <c r="H35">
        <v>8</v>
      </c>
    </row>
    <row r="36" spans="1:8" x14ac:dyDescent="0.25">
      <c r="A36">
        <v>0.122</v>
      </c>
      <c r="B36">
        <v>3</v>
      </c>
      <c r="C36" t="s">
        <v>8</v>
      </c>
      <c r="D36">
        <v>30</v>
      </c>
      <c r="E36">
        <v>2</v>
      </c>
      <c r="F36">
        <v>1</v>
      </c>
      <c r="G36">
        <v>1</v>
      </c>
      <c r="H36">
        <v>10.6</v>
      </c>
    </row>
    <row r="37" spans="1:8" x14ac:dyDescent="0.25">
      <c r="A37">
        <v>1.35</v>
      </c>
      <c r="B37">
        <v>8.1</v>
      </c>
      <c r="C37" t="s">
        <v>8</v>
      </c>
      <c r="D37">
        <v>45</v>
      </c>
      <c r="E37">
        <v>3</v>
      </c>
      <c r="F37">
        <v>1</v>
      </c>
      <c r="G37">
        <v>3</v>
      </c>
      <c r="H37">
        <v>11.2</v>
      </c>
    </row>
    <row r="38" spans="1:8" x14ac:dyDescent="0.25">
      <c r="A38">
        <v>2.3E-2</v>
      </c>
      <c r="B38">
        <v>0.4</v>
      </c>
      <c r="C38">
        <v>3.2</v>
      </c>
      <c r="D38">
        <v>19</v>
      </c>
      <c r="E38">
        <v>4</v>
      </c>
      <c r="F38">
        <v>1</v>
      </c>
      <c r="G38">
        <v>3</v>
      </c>
      <c r="H38">
        <v>13.2</v>
      </c>
    </row>
    <row r="39" spans="1:8" x14ac:dyDescent="0.25">
      <c r="A39">
        <v>4.8000000000000001E-2</v>
      </c>
      <c r="B39">
        <v>0.33</v>
      </c>
      <c r="C39">
        <v>2</v>
      </c>
      <c r="D39">
        <v>30</v>
      </c>
      <c r="E39">
        <v>4</v>
      </c>
      <c r="F39">
        <v>1</v>
      </c>
      <c r="G39">
        <v>3</v>
      </c>
      <c r="H39">
        <v>12.8</v>
      </c>
    </row>
    <row r="40" spans="1:8" x14ac:dyDescent="0.25">
      <c r="A40">
        <v>1.7</v>
      </c>
      <c r="B40">
        <v>6.3</v>
      </c>
      <c r="C40">
        <v>5</v>
      </c>
      <c r="D40">
        <v>12</v>
      </c>
      <c r="E40">
        <v>2</v>
      </c>
      <c r="F40">
        <v>1</v>
      </c>
      <c r="G40">
        <v>1</v>
      </c>
      <c r="H40">
        <v>19.399999999999999</v>
      </c>
    </row>
    <row r="41" spans="1:8" x14ac:dyDescent="0.25">
      <c r="A41">
        <v>3.5</v>
      </c>
      <c r="B41">
        <v>10.8</v>
      </c>
      <c r="C41">
        <v>6.5</v>
      </c>
      <c r="D41">
        <v>120</v>
      </c>
      <c r="E41">
        <v>2</v>
      </c>
      <c r="F41">
        <v>1</v>
      </c>
      <c r="G41">
        <v>1</v>
      </c>
      <c r="H41">
        <v>17.399999999999999</v>
      </c>
    </row>
    <row r="42" spans="1:8" x14ac:dyDescent="0.25">
      <c r="A42">
        <v>250</v>
      </c>
      <c r="B42">
        <v>490</v>
      </c>
      <c r="C42">
        <v>23.6</v>
      </c>
      <c r="D42">
        <v>440</v>
      </c>
      <c r="E42">
        <v>5</v>
      </c>
      <c r="F42">
        <v>5</v>
      </c>
      <c r="G42">
        <v>5</v>
      </c>
      <c r="H42" t="s">
        <v>8</v>
      </c>
    </row>
    <row r="43" spans="1:8" x14ac:dyDescent="0.25">
      <c r="A43">
        <v>0.48</v>
      </c>
      <c r="B43">
        <v>15.5</v>
      </c>
      <c r="C43">
        <v>12</v>
      </c>
      <c r="D43">
        <v>140</v>
      </c>
      <c r="E43">
        <v>2</v>
      </c>
      <c r="F43">
        <v>2</v>
      </c>
      <c r="G43">
        <v>2</v>
      </c>
      <c r="H43">
        <v>17</v>
      </c>
    </row>
    <row r="44" spans="1:8" x14ac:dyDescent="0.25">
      <c r="A44">
        <v>10</v>
      </c>
      <c r="B44">
        <v>115</v>
      </c>
      <c r="C44">
        <v>20.2</v>
      </c>
      <c r="D44">
        <v>170</v>
      </c>
      <c r="E44">
        <v>4</v>
      </c>
      <c r="F44">
        <v>4</v>
      </c>
      <c r="G44">
        <v>4</v>
      </c>
      <c r="H44">
        <v>10.9</v>
      </c>
    </row>
    <row r="45" spans="1:8" x14ac:dyDescent="0.25">
      <c r="A45">
        <v>1.62</v>
      </c>
      <c r="B45">
        <v>11.4</v>
      </c>
      <c r="C45">
        <v>13</v>
      </c>
      <c r="D45">
        <v>17</v>
      </c>
      <c r="E45">
        <v>2</v>
      </c>
      <c r="F45">
        <v>1</v>
      </c>
      <c r="G45">
        <v>2</v>
      </c>
      <c r="H45">
        <v>13.7</v>
      </c>
    </row>
    <row r="46" spans="1:8" x14ac:dyDescent="0.25">
      <c r="A46">
        <v>192</v>
      </c>
      <c r="B46">
        <v>180</v>
      </c>
      <c r="C46">
        <v>27</v>
      </c>
      <c r="D46">
        <v>115</v>
      </c>
      <c r="E46">
        <v>4</v>
      </c>
      <c r="F46">
        <v>4</v>
      </c>
      <c r="G46">
        <v>4</v>
      </c>
      <c r="H46">
        <v>8.4</v>
      </c>
    </row>
    <row r="47" spans="1:8" x14ac:dyDescent="0.25">
      <c r="A47">
        <v>2.5</v>
      </c>
      <c r="B47">
        <v>12.1</v>
      </c>
      <c r="C47">
        <v>18</v>
      </c>
      <c r="D47">
        <v>31</v>
      </c>
      <c r="E47">
        <v>5</v>
      </c>
      <c r="F47">
        <v>5</v>
      </c>
      <c r="G47">
        <v>5</v>
      </c>
      <c r="H47">
        <v>8.4</v>
      </c>
    </row>
    <row r="48" spans="1:8" x14ac:dyDescent="0.25">
      <c r="A48">
        <v>4.2880000000000003</v>
      </c>
      <c r="B48">
        <v>39.200000000000003</v>
      </c>
      <c r="C48">
        <v>13.7</v>
      </c>
      <c r="D48">
        <v>63</v>
      </c>
      <c r="E48">
        <v>2</v>
      </c>
      <c r="F48">
        <v>2</v>
      </c>
      <c r="G48">
        <v>2</v>
      </c>
      <c r="H48">
        <v>12.5</v>
      </c>
    </row>
    <row r="49" spans="1:8" x14ac:dyDescent="0.25">
      <c r="A49">
        <v>0.28000000000000003</v>
      </c>
      <c r="B49">
        <v>1.9</v>
      </c>
      <c r="C49">
        <v>4.7</v>
      </c>
      <c r="D49">
        <v>21</v>
      </c>
      <c r="E49">
        <v>3</v>
      </c>
      <c r="F49">
        <v>1</v>
      </c>
      <c r="G49">
        <v>3</v>
      </c>
      <c r="H49">
        <v>13.2</v>
      </c>
    </row>
    <row r="50" spans="1:8" x14ac:dyDescent="0.25">
      <c r="A50">
        <v>4.2350000000000003</v>
      </c>
      <c r="B50">
        <v>50.4</v>
      </c>
      <c r="C50">
        <v>9.8000000000000007</v>
      </c>
      <c r="D50">
        <v>52</v>
      </c>
      <c r="E50">
        <v>1</v>
      </c>
      <c r="F50">
        <v>1</v>
      </c>
      <c r="G50">
        <v>1</v>
      </c>
      <c r="H50">
        <v>9.8000000000000007</v>
      </c>
    </row>
    <row r="51" spans="1:8" x14ac:dyDescent="0.25">
      <c r="A51">
        <v>6.8</v>
      </c>
      <c r="B51">
        <v>179</v>
      </c>
      <c r="C51">
        <v>29</v>
      </c>
      <c r="D51">
        <v>164</v>
      </c>
      <c r="E51">
        <v>2</v>
      </c>
      <c r="F51">
        <v>3</v>
      </c>
      <c r="G51">
        <v>2</v>
      </c>
      <c r="H51">
        <v>9.6</v>
      </c>
    </row>
    <row r="52" spans="1:8" x14ac:dyDescent="0.25">
      <c r="A52">
        <v>0.75</v>
      </c>
      <c r="B52">
        <v>12.3</v>
      </c>
      <c r="C52">
        <v>7</v>
      </c>
      <c r="D52">
        <v>225</v>
      </c>
      <c r="E52">
        <v>2</v>
      </c>
      <c r="F52">
        <v>2</v>
      </c>
      <c r="G52">
        <v>2</v>
      </c>
      <c r="H52">
        <v>6.6</v>
      </c>
    </row>
    <row r="53" spans="1:8" x14ac:dyDescent="0.25">
      <c r="A53">
        <v>3.6</v>
      </c>
      <c r="B53">
        <v>21</v>
      </c>
      <c r="C53">
        <v>6</v>
      </c>
      <c r="D53">
        <v>225</v>
      </c>
      <c r="E53">
        <v>3</v>
      </c>
      <c r="F53">
        <v>2</v>
      </c>
      <c r="G53">
        <v>3</v>
      </c>
      <c r="H53">
        <v>5.4</v>
      </c>
    </row>
    <row r="54" spans="1:8" x14ac:dyDescent="0.25">
      <c r="A54">
        <v>14.83</v>
      </c>
      <c r="B54">
        <v>98.2</v>
      </c>
      <c r="C54">
        <v>17</v>
      </c>
      <c r="D54">
        <v>150</v>
      </c>
      <c r="E54">
        <v>5</v>
      </c>
      <c r="F54">
        <v>5</v>
      </c>
      <c r="G54">
        <v>5</v>
      </c>
      <c r="H54">
        <v>2.6</v>
      </c>
    </row>
    <row r="55" spans="1:8" x14ac:dyDescent="0.25">
      <c r="A55">
        <v>55.5</v>
      </c>
      <c r="B55">
        <v>175</v>
      </c>
      <c r="C55">
        <v>20</v>
      </c>
      <c r="D55">
        <v>151</v>
      </c>
      <c r="E55">
        <v>5</v>
      </c>
      <c r="F55">
        <v>5</v>
      </c>
      <c r="G55">
        <v>5</v>
      </c>
      <c r="H55">
        <v>3.8</v>
      </c>
    </row>
    <row r="56" spans="1:8" x14ac:dyDescent="0.25">
      <c r="A56">
        <v>1.4</v>
      </c>
      <c r="B56">
        <v>12.5</v>
      </c>
      <c r="C56">
        <v>12.7</v>
      </c>
      <c r="D56">
        <v>90</v>
      </c>
      <c r="E56">
        <v>2</v>
      </c>
      <c r="F56">
        <v>2</v>
      </c>
      <c r="G56">
        <v>2</v>
      </c>
      <c r="H56">
        <v>11</v>
      </c>
    </row>
    <row r="57" spans="1:8" x14ac:dyDescent="0.25">
      <c r="A57">
        <v>0.06</v>
      </c>
      <c r="B57">
        <v>1</v>
      </c>
      <c r="C57">
        <v>3.5</v>
      </c>
      <c r="D57" t="s">
        <v>8</v>
      </c>
      <c r="E57">
        <v>3</v>
      </c>
      <c r="F57">
        <v>1</v>
      </c>
      <c r="G57">
        <v>2</v>
      </c>
      <c r="H57">
        <v>10.3</v>
      </c>
    </row>
    <row r="58" spans="1:8" x14ac:dyDescent="0.25">
      <c r="A58">
        <v>0.9</v>
      </c>
      <c r="B58">
        <v>2.6</v>
      </c>
      <c r="C58">
        <v>4.5</v>
      </c>
      <c r="D58">
        <v>60</v>
      </c>
      <c r="E58">
        <v>2</v>
      </c>
      <c r="F58">
        <v>1</v>
      </c>
      <c r="G58">
        <v>2</v>
      </c>
      <c r="H58">
        <v>13.3</v>
      </c>
    </row>
    <row r="59" spans="1:8" x14ac:dyDescent="0.25">
      <c r="A59">
        <v>2</v>
      </c>
      <c r="B59">
        <v>12.3</v>
      </c>
      <c r="C59">
        <v>7.5</v>
      </c>
      <c r="D59">
        <v>200</v>
      </c>
      <c r="E59">
        <v>3</v>
      </c>
      <c r="F59">
        <v>1</v>
      </c>
      <c r="G59">
        <v>3</v>
      </c>
      <c r="H59">
        <v>5.4</v>
      </c>
    </row>
    <row r="60" spans="1:8" x14ac:dyDescent="0.25">
      <c r="A60">
        <v>0.104</v>
      </c>
      <c r="B60">
        <v>2.5</v>
      </c>
      <c r="C60">
        <v>2.2999999999999998</v>
      </c>
      <c r="D60">
        <v>46</v>
      </c>
      <c r="E60">
        <v>3</v>
      </c>
      <c r="F60">
        <v>2</v>
      </c>
      <c r="G60">
        <v>2</v>
      </c>
      <c r="H60">
        <v>15.8</v>
      </c>
    </row>
    <row r="61" spans="1:8" x14ac:dyDescent="0.25">
      <c r="A61">
        <v>4.1900000000000004</v>
      </c>
      <c r="B61">
        <v>58</v>
      </c>
      <c r="C61">
        <v>24</v>
      </c>
      <c r="D61">
        <v>210</v>
      </c>
      <c r="E61">
        <v>4</v>
      </c>
      <c r="F61">
        <v>3</v>
      </c>
      <c r="G61">
        <v>4</v>
      </c>
      <c r="H61">
        <v>10.3</v>
      </c>
    </row>
    <row r="62" spans="1:8" x14ac:dyDescent="0.25">
      <c r="A62">
        <v>3.5</v>
      </c>
      <c r="B62">
        <v>3.9</v>
      </c>
      <c r="C62">
        <v>3</v>
      </c>
      <c r="D62">
        <v>14</v>
      </c>
      <c r="E62">
        <v>2</v>
      </c>
      <c r="F62">
        <v>1</v>
      </c>
      <c r="G62">
        <v>1</v>
      </c>
      <c r="H62">
        <v>19.399999999999999</v>
      </c>
    </row>
    <row r="63" spans="1:8" x14ac:dyDescent="0.25">
      <c r="A63">
        <v>4.05</v>
      </c>
      <c r="B63">
        <v>17</v>
      </c>
      <c r="C63">
        <v>13</v>
      </c>
      <c r="D63">
        <v>38</v>
      </c>
      <c r="E63">
        <v>3</v>
      </c>
      <c r="F63">
        <v>1</v>
      </c>
      <c r="G63">
        <v>1</v>
      </c>
      <c r="H63" t="s">
        <v>8</v>
      </c>
    </row>
  </sheetData>
  <autoFilter ref="A1:H63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6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2.5" x14ac:dyDescent="0.25"/>
  <cols>
    <col min="1" max="16" width="15.7265625" customWidth="1"/>
  </cols>
  <sheetData>
    <row r="1" spans="1:16" ht="26" x14ac:dyDescent="0.25">
      <c r="A1" s="12" t="s">
        <v>9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10</v>
      </c>
      <c r="K1" s="12" t="s">
        <v>11</v>
      </c>
      <c r="L1" s="12" t="s">
        <v>12</v>
      </c>
      <c r="M1" s="12" t="s">
        <v>13</v>
      </c>
      <c r="N1" s="12" t="s">
        <v>14</v>
      </c>
      <c r="O1" s="12" t="s">
        <v>15</v>
      </c>
      <c r="P1" s="12" t="s">
        <v>16</v>
      </c>
    </row>
    <row r="2" spans="1:16" x14ac:dyDescent="0.25">
      <c r="A2">
        <f t="shared" ref="A2:A33" si="0">ROW()-1</f>
        <v>1</v>
      </c>
      <c r="B2">
        <f>IF(ISNUMBER(Raw_Data!A2),Raw_Data!A2,"")</f>
        <v>6654</v>
      </c>
      <c r="C2">
        <f>IF(ISNUMBER(Raw_Data!B2),Raw_Data!B2,"")</f>
        <v>5712</v>
      </c>
      <c r="D2">
        <f>IF(ISNUMBER(Raw_Data!C2),Raw_Data!C2,"")</f>
        <v>38.6</v>
      </c>
      <c r="E2">
        <f>IF(ISNUMBER(Raw_Data!D2),Raw_Data!D2,"")</f>
        <v>645</v>
      </c>
      <c r="F2">
        <f>IF(ISNUMBER(Raw_Data!E2),Raw_Data!E2,"")</f>
        <v>3</v>
      </c>
      <c r="G2">
        <f>IF(ISNUMBER(Raw_Data!F2),Raw_Data!F2,"")</f>
        <v>5</v>
      </c>
      <c r="H2">
        <f>IF(ISNUMBER(Raw_Data!G2),Raw_Data!G2,"")</f>
        <v>3</v>
      </c>
      <c r="I2">
        <f>IF(ISNUMBER(Raw_Data!H2),Raw_Data!H2,"")</f>
        <v>3.3</v>
      </c>
      <c r="J2">
        <f t="shared" ref="J2:J33" si="1">COUNTBLANK(B2:I2)</f>
        <v>0</v>
      </c>
      <c r="K2">
        <f>COUNTIF(Raw_Data!A2:H2,"~?")</f>
        <v>0</v>
      </c>
      <c r="L2">
        <f t="shared" ref="L2:L33" si="2">J2-K2</f>
        <v>0</v>
      </c>
      <c r="M2">
        <f t="shared" ref="M2:M33" si="3">IF(ISNUMBER(I2),1,0)</f>
        <v>1</v>
      </c>
      <c r="N2">
        <f t="shared" ref="N2:N33" si="4">IF(AND(J2=0,O2=1),1,0)</f>
        <v>1</v>
      </c>
      <c r="O2">
        <f t="shared" ref="O2:O33" si="5">IF(AND(OR(B2="",AND(B2&gt;=lim_w_min,B2&lt;=lim_w_max)),OR(C2="",AND(C2&gt;=lim_w_min,C2&lt;=lim_brain_max)),OR(D2="",AND(D2&gt;0,D2&lt;=lim_life_max)),OR(E2="",AND(E2&gt;0,E2&lt;=lim_gest_max)),MIN(F2:H2)&gt;=lim_idx_min,MAX(F2:H2)&lt;=lim_idx_max,OR(I2="",AND(I2&gt;0,I2&lt;=lim_sleep_max))),1,0)</f>
        <v>1</v>
      </c>
      <c r="P2">
        <f t="shared" ref="P2:P33" si="6">M2*O2</f>
        <v>1</v>
      </c>
    </row>
    <row r="3" spans="1:16" x14ac:dyDescent="0.25">
      <c r="A3">
        <f t="shared" si="0"/>
        <v>2</v>
      </c>
      <c r="B3">
        <f>IF(ISNUMBER(Raw_Data!A3),Raw_Data!A3,"")</f>
        <v>1</v>
      </c>
      <c r="C3">
        <f>IF(ISNUMBER(Raw_Data!B3),Raw_Data!B3,"")</f>
        <v>6.6</v>
      </c>
      <c r="D3">
        <f>IF(ISNUMBER(Raw_Data!C3),Raw_Data!C3,"")</f>
        <v>4.5</v>
      </c>
      <c r="E3">
        <f>IF(ISNUMBER(Raw_Data!D3),Raw_Data!D3,"")</f>
        <v>42</v>
      </c>
      <c r="F3">
        <f>IF(ISNUMBER(Raw_Data!E3),Raw_Data!E3,"")</f>
        <v>3</v>
      </c>
      <c r="G3">
        <f>IF(ISNUMBER(Raw_Data!F3),Raw_Data!F3,"")</f>
        <v>1</v>
      </c>
      <c r="H3">
        <f>IF(ISNUMBER(Raw_Data!G3),Raw_Data!G3,"")</f>
        <v>3</v>
      </c>
      <c r="I3">
        <f>IF(ISNUMBER(Raw_Data!H3),Raw_Data!H3,"")</f>
        <v>8.3000000000000007</v>
      </c>
      <c r="J3">
        <f t="shared" si="1"/>
        <v>0</v>
      </c>
      <c r="K3">
        <f>COUNTIF(Raw_Data!A3:H3,"~?")</f>
        <v>0</v>
      </c>
      <c r="L3">
        <f t="shared" si="2"/>
        <v>0</v>
      </c>
      <c r="M3">
        <f t="shared" si="3"/>
        <v>1</v>
      </c>
      <c r="N3">
        <f t="shared" si="4"/>
        <v>1</v>
      </c>
      <c r="O3">
        <f t="shared" si="5"/>
        <v>1</v>
      </c>
      <c r="P3">
        <f t="shared" si="6"/>
        <v>1</v>
      </c>
    </row>
    <row r="4" spans="1:16" x14ac:dyDescent="0.25">
      <c r="A4">
        <f t="shared" si="0"/>
        <v>3</v>
      </c>
      <c r="B4">
        <f>IF(ISNUMBER(Raw_Data!A4),Raw_Data!A4,"")</f>
        <v>3.3849999999999998</v>
      </c>
      <c r="C4">
        <f>IF(ISNUMBER(Raw_Data!B4),Raw_Data!B4,"")</f>
        <v>44.5</v>
      </c>
      <c r="D4">
        <f>IF(ISNUMBER(Raw_Data!C4),Raw_Data!C4,"")</f>
        <v>14</v>
      </c>
      <c r="E4">
        <f>IF(ISNUMBER(Raw_Data!D4),Raw_Data!D4,"")</f>
        <v>60</v>
      </c>
      <c r="F4">
        <f>IF(ISNUMBER(Raw_Data!E4),Raw_Data!E4,"")</f>
        <v>1</v>
      </c>
      <c r="G4">
        <f>IF(ISNUMBER(Raw_Data!F4),Raw_Data!F4,"")</f>
        <v>1</v>
      </c>
      <c r="H4">
        <f>IF(ISNUMBER(Raw_Data!G4),Raw_Data!G4,"")</f>
        <v>1</v>
      </c>
      <c r="I4">
        <f>IF(ISNUMBER(Raw_Data!H4),Raw_Data!H4,"")</f>
        <v>12.5</v>
      </c>
      <c r="J4">
        <f t="shared" si="1"/>
        <v>0</v>
      </c>
      <c r="K4">
        <f>COUNTIF(Raw_Data!A4:H4,"~?")</f>
        <v>0</v>
      </c>
      <c r="L4">
        <f t="shared" si="2"/>
        <v>0</v>
      </c>
      <c r="M4">
        <f t="shared" si="3"/>
        <v>1</v>
      </c>
      <c r="N4">
        <f t="shared" si="4"/>
        <v>1</v>
      </c>
      <c r="O4">
        <f t="shared" si="5"/>
        <v>1</v>
      </c>
      <c r="P4">
        <f t="shared" si="6"/>
        <v>1</v>
      </c>
    </row>
    <row r="5" spans="1:16" x14ac:dyDescent="0.25">
      <c r="A5">
        <f t="shared" si="0"/>
        <v>4</v>
      </c>
      <c r="B5">
        <f>IF(ISNUMBER(Raw_Data!A5),Raw_Data!A5,"")</f>
        <v>0.92</v>
      </c>
      <c r="C5">
        <f>IF(ISNUMBER(Raw_Data!B5),Raw_Data!B5,"")</f>
        <v>5.7</v>
      </c>
      <c r="D5" t="str">
        <f>IF(ISNUMBER(Raw_Data!C5),Raw_Data!C5,"")</f>
        <v/>
      </c>
      <c r="E5">
        <f>IF(ISNUMBER(Raw_Data!D5),Raw_Data!D5,"")</f>
        <v>25</v>
      </c>
      <c r="F5">
        <f>IF(ISNUMBER(Raw_Data!E5),Raw_Data!E5,"")</f>
        <v>5</v>
      </c>
      <c r="G5">
        <f>IF(ISNUMBER(Raw_Data!F5),Raw_Data!F5,"")</f>
        <v>2</v>
      </c>
      <c r="H5">
        <f>IF(ISNUMBER(Raw_Data!G5),Raw_Data!G5,"")</f>
        <v>3</v>
      </c>
      <c r="I5">
        <f>IF(ISNUMBER(Raw_Data!H5),Raw_Data!H5,"")</f>
        <v>16.5</v>
      </c>
      <c r="J5">
        <f t="shared" si="1"/>
        <v>1</v>
      </c>
      <c r="K5">
        <f>COUNTIF(Raw_Data!A5:H5,"~?")</f>
        <v>1</v>
      </c>
      <c r="L5">
        <f t="shared" si="2"/>
        <v>0</v>
      </c>
      <c r="M5">
        <f t="shared" si="3"/>
        <v>1</v>
      </c>
      <c r="N5">
        <f t="shared" si="4"/>
        <v>0</v>
      </c>
      <c r="O5">
        <f t="shared" si="5"/>
        <v>1</v>
      </c>
      <c r="P5">
        <f t="shared" si="6"/>
        <v>1</v>
      </c>
    </row>
    <row r="6" spans="1:16" x14ac:dyDescent="0.25">
      <c r="A6">
        <f t="shared" si="0"/>
        <v>5</v>
      </c>
      <c r="B6">
        <f>IF(ISNUMBER(Raw_Data!A6),Raw_Data!A6,"")</f>
        <v>2547</v>
      </c>
      <c r="C6">
        <f>IF(ISNUMBER(Raw_Data!B6),Raw_Data!B6,"")</f>
        <v>4603</v>
      </c>
      <c r="D6">
        <f>IF(ISNUMBER(Raw_Data!C6),Raw_Data!C6,"")</f>
        <v>69</v>
      </c>
      <c r="E6">
        <f>IF(ISNUMBER(Raw_Data!D6),Raw_Data!D6,"")</f>
        <v>624</v>
      </c>
      <c r="F6">
        <f>IF(ISNUMBER(Raw_Data!E6),Raw_Data!E6,"")</f>
        <v>3</v>
      </c>
      <c r="G6">
        <f>IF(ISNUMBER(Raw_Data!F6),Raw_Data!F6,"")</f>
        <v>5</v>
      </c>
      <c r="H6">
        <f>IF(ISNUMBER(Raw_Data!G6),Raw_Data!G6,"")</f>
        <v>4</v>
      </c>
      <c r="I6">
        <f>IF(ISNUMBER(Raw_Data!H6),Raw_Data!H6,"")</f>
        <v>3.9</v>
      </c>
      <c r="J6">
        <f t="shared" si="1"/>
        <v>0</v>
      </c>
      <c r="K6">
        <f>COUNTIF(Raw_Data!A6:H6,"~?")</f>
        <v>0</v>
      </c>
      <c r="L6">
        <f t="shared" si="2"/>
        <v>0</v>
      </c>
      <c r="M6">
        <f t="shared" si="3"/>
        <v>1</v>
      </c>
      <c r="N6">
        <f t="shared" si="4"/>
        <v>1</v>
      </c>
      <c r="O6">
        <f t="shared" si="5"/>
        <v>1</v>
      </c>
      <c r="P6">
        <f t="shared" si="6"/>
        <v>1</v>
      </c>
    </row>
    <row r="7" spans="1:16" x14ac:dyDescent="0.25">
      <c r="A7">
        <f t="shared" si="0"/>
        <v>6</v>
      </c>
      <c r="B7">
        <f>IF(ISNUMBER(Raw_Data!A7),Raw_Data!A7,"")</f>
        <v>10.55</v>
      </c>
      <c r="C7">
        <f>IF(ISNUMBER(Raw_Data!B7),Raw_Data!B7,"")</f>
        <v>179.5</v>
      </c>
      <c r="D7">
        <f>IF(ISNUMBER(Raw_Data!C7),Raw_Data!C7,"")</f>
        <v>27</v>
      </c>
      <c r="E7">
        <f>IF(ISNUMBER(Raw_Data!D7),Raw_Data!D7,"")</f>
        <v>180</v>
      </c>
      <c r="F7">
        <f>IF(ISNUMBER(Raw_Data!E7),Raw_Data!E7,"")</f>
        <v>4</v>
      </c>
      <c r="G7">
        <f>IF(ISNUMBER(Raw_Data!F7),Raw_Data!F7,"")</f>
        <v>4</v>
      </c>
      <c r="H7">
        <f>IF(ISNUMBER(Raw_Data!G7),Raw_Data!G7,"")</f>
        <v>4</v>
      </c>
      <c r="I7">
        <f>IF(ISNUMBER(Raw_Data!H7),Raw_Data!H7,"")</f>
        <v>9.8000000000000007</v>
      </c>
      <c r="J7">
        <f t="shared" si="1"/>
        <v>0</v>
      </c>
      <c r="K7">
        <f>COUNTIF(Raw_Data!A7:H7,"~?")</f>
        <v>0</v>
      </c>
      <c r="L7">
        <f t="shared" si="2"/>
        <v>0</v>
      </c>
      <c r="M7">
        <f t="shared" si="3"/>
        <v>1</v>
      </c>
      <c r="N7">
        <f t="shared" si="4"/>
        <v>1</v>
      </c>
      <c r="O7">
        <f t="shared" si="5"/>
        <v>1</v>
      </c>
      <c r="P7">
        <f t="shared" si="6"/>
        <v>1</v>
      </c>
    </row>
    <row r="8" spans="1:16" x14ac:dyDescent="0.25">
      <c r="A8">
        <f t="shared" si="0"/>
        <v>7</v>
      </c>
      <c r="B8">
        <f>IF(ISNUMBER(Raw_Data!A8),Raw_Data!A8,"")</f>
        <v>2.3E-2</v>
      </c>
      <c r="C8">
        <f>IF(ISNUMBER(Raw_Data!B8),Raw_Data!B8,"")</f>
        <v>0.3</v>
      </c>
      <c r="D8">
        <f>IF(ISNUMBER(Raw_Data!C8),Raw_Data!C8,"")</f>
        <v>19</v>
      </c>
      <c r="E8">
        <f>IF(ISNUMBER(Raw_Data!D8),Raw_Data!D8,"")</f>
        <v>35</v>
      </c>
      <c r="F8">
        <f>IF(ISNUMBER(Raw_Data!E8),Raw_Data!E8,"")</f>
        <v>1</v>
      </c>
      <c r="G8">
        <f>IF(ISNUMBER(Raw_Data!F8),Raw_Data!F8,"")</f>
        <v>1</v>
      </c>
      <c r="H8">
        <f>IF(ISNUMBER(Raw_Data!G8),Raw_Data!G8,"")</f>
        <v>1</v>
      </c>
      <c r="I8">
        <f>IF(ISNUMBER(Raw_Data!H8),Raw_Data!H8,"")</f>
        <v>19.7</v>
      </c>
      <c r="J8">
        <f t="shared" si="1"/>
        <v>0</v>
      </c>
      <c r="K8">
        <f>COUNTIF(Raw_Data!A8:H8,"~?")</f>
        <v>0</v>
      </c>
      <c r="L8">
        <f t="shared" si="2"/>
        <v>0</v>
      </c>
      <c r="M8">
        <f t="shared" si="3"/>
        <v>1</v>
      </c>
      <c r="N8">
        <f t="shared" si="4"/>
        <v>1</v>
      </c>
      <c r="O8">
        <f t="shared" si="5"/>
        <v>1</v>
      </c>
      <c r="P8">
        <f t="shared" si="6"/>
        <v>1</v>
      </c>
    </row>
    <row r="9" spans="1:16" x14ac:dyDescent="0.25">
      <c r="A9">
        <f t="shared" si="0"/>
        <v>8</v>
      </c>
      <c r="B9">
        <f>IF(ISNUMBER(Raw_Data!A9),Raw_Data!A9,"")</f>
        <v>160</v>
      </c>
      <c r="C9">
        <f>IF(ISNUMBER(Raw_Data!B9),Raw_Data!B9,"")</f>
        <v>169</v>
      </c>
      <c r="D9">
        <f>IF(ISNUMBER(Raw_Data!C9),Raw_Data!C9,"")</f>
        <v>30.4</v>
      </c>
      <c r="E9">
        <f>IF(ISNUMBER(Raw_Data!D9),Raw_Data!D9,"")</f>
        <v>392</v>
      </c>
      <c r="F9">
        <f>IF(ISNUMBER(Raw_Data!E9),Raw_Data!E9,"")</f>
        <v>4</v>
      </c>
      <c r="G9">
        <f>IF(ISNUMBER(Raw_Data!F9),Raw_Data!F9,"")</f>
        <v>5</v>
      </c>
      <c r="H9">
        <f>IF(ISNUMBER(Raw_Data!G9),Raw_Data!G9,"")</f>
        <v>4</v>
      </c>
      <c r="I9">
        <f>IF(ISNUMBER(Raw_Data!H9),Raw_Data!H9,"")</f>
        <v>6.2</v>
      </c>
      <c r="J9">
        <f t="shared" si="1"/>
        <v>0</v>
      </c>
      <c r="K9">
        <f>COUNTIF(Raw_Data!A9:H9,"~?")</f>
        <v>0</v>
      </c>
      <c r="L9">
        <f t="shared" si="2"/>
        <v>0</v>
      </c>
      <c r="M9">
        <f t="shared" si="3"/>
        <v>1</v>
      </c>
      <c r="N9">
        <f t="shared" si="4"/>
        <v>1</v>
      </c>
      <c r="O9">
        <f t="shared" si="5"/>
        <v>1</v>
      </c>
      <c r="P9">
        <f t="shared" si="6"/>
        <v>1</v>
      </c>
    </row>
    <row r="10" spans="1:16" x14ac:dyDescent="0.25">
      <c r="A10">
        <f t="shared" si="0"/>
        <v>9</v>
      </c>
      <c r="B10">
        <f>IF(ISNUMBER(Raw_Data!A10),Raw_Data!A10,"")</f>
        <v>3.3</v>
      </c>
      <c r="C10">
        <f>IF(ISNUMBER(Raw_Data!B10),Raw_Data!B10,"")</f>
        <v>25.6</v>
      </c>
      <c r="D10">
        <f>IF(ISNUMBER(Raw_Data!C10),Raw_Data!C10,"")</f>
        <v>28</v>
      </c>
      <c r="E10">
        <f>IF(ISNUMBER(Raw_Data!D10),Raw_Data!D10,"")</f>
        <v>63</v>
      </c>
      <c r="F10">
        <f>IF(ISNUMBER(Raw_Data!E10),Raw_Data!E10,"")</f>
        <v>1</v>
      </c>
      <c r="G10">
        <f>IF(ISNUMBER(Raw_Data!F10),Raw_Data!F10,"")</f>
        <v>2</v>
      </c>
      <c r="H10">
        <f>IF(ISNUMBER(Raw_Data!G10),Raw_Data!G10,"")</f>
        <v>1</v>
      </c>
      <c r="I10">
        <f>IF(ISNUMBER(Raw_Data!H10),Raw_Data!H10,"")</f>
        <v>14.5</v>
      </c>
      <c r="J10">
        <f t="shared" si="1"/>
        <v>0</v>
      </c>
      <c r="K10">
        <f>COUNTIF(Raw_Data!A10:H10,"~?")</f>
        <v>0</v>
      </c>
      <c r="L10">
        <f t="shared" si="2"/>
        <v>0</v>
      </c>
      <c r="M10">
        <f t="shared" si="3"/>
        <v>1</v>
      </c>
      <c r="N10">
        <f t="shared" si="4"/>
        <v>1</v>
      </c>
      <c r="O10">
        <f t="shared" si="5"/>
        <v>1</v>
      </c>
      <c r="P10">
        <f t="shared" si="6"/>
        <v>1</v>
      </c>
    </row>
    <row r="11" spans="1:16" x14ac:dyDescent="0.25">
      <c r="A11">
        <f t="shared" si="0"/>
        <v>10</v>
      </c>
      <c r="B11">
        <f>IF(ISNUMBER(Raw_Data!A11),Raw_Data!A11,"")</f>
        <v>52.16</v>
      </c>
      <c r="C11">
        <f>IF(ISNUMBER(Raw_Data!B11),Raw_Data!B11,"")</f>
        <v>440</v>
      </c>
      <c r="D11">
        <f>IF(ISNUMBER(Raw_Data!C11),Raw_Data!C11,"")</f>
        <v>50</v>
      </c>
      <c r="E11">
        <f>IF(ISNUMBER(Raw_Data!D11),Raw_Data!D11,"")</f>
        <v>230</v>
      </c>
      <c r="F11">
        <f>IF(ISNUMBER(Raw_Data!E11),Raw_Data!E11,"")</f>
        <v>1</v>
      </c>
      <c r="G11">
        <f>IF(ISNUMBER(Raw_Data!F11),Raw_Data!F11,"")</f>
        <v>1</v>
      </c>
      <c r="H11">
        <f>IF(ISNUMBER(Raw_Data!G11),Raw_Data!G11,"")</f>
        <v>1</v>
      </c>
      <c r="I11">
        <f>IF(ISNUMBER(Raw_Data!H11),Raw_Data!H11,"")</f>
        <v>9.6999999999999993</v>
      </c>
      <c r="J11">
        <f t="shared" si="1"/>
        <v>0</v>
      </c>
      <c r="K11">
        <f>COUNTIF(Raw_Data!A11:H11,"~?")</f>
        <v>0</v>
      </c>
      <c r="L11">
        <f t="shared" si="2"/>
        <v>0</v>
      </c>
      <c r="M11">
        <f t="shared" si="3"/>
        <v>1</v>
      </c>
      <c r="N11">
        <f t="shared" si="4"/>
        <v>1</v>
      </c>
      <c r="O11">
        <f t="shared" si="5"/>
        <v>1</v>
      </c>
      <c r="P11">
        <f t="shared" si="6"/>
        <v>1</v>
      </c>
    </row>
    <row r="12" spans="1:16" x14ac:dyDescent="0.25">
      <c r="A12">
        <f t="shared" si="0"/>
        <v>11</v>
      </c>
      <c r="B12">
        <f>IF(ISNUMBER(Raw_Data!A12),Raw_Data!A12,"")</f>
        <v>0.42499999999999999</v>
      </c>
      <c r="C12">
        <f>IF(ISNUMBER(Raw_Data!B12),Raw_Data!B12,"")</f>
        <v>6.4</v>
      </c>
      <c r="D12">
        <f>IF(ISNUMBER(Raw_Data!C12),Raw_Data!C12,"")</f>
        <v>7</v>
      </c>
      <c r="E12">
        <f>IF(ISNUMBER(Raw_Data!D12),Raw_Data!D12,"")</f>
        <v>112</v>
      </c>
      <c r="F12">
        <f>IF(ISNUMBER(Raw_Data!E12),Raw_Data!E12,"")</f>
        <v>5</v>
      </c>
      <c r="G12">
        <f>IF(ISNUMBER(Raw_Data!F12),Raw_Data!F12,"")</f>
        <v>4</v>
      </c>
      <c r="H12">
        <f>IF(ISNUMBER(Raw_Data!G12),Raw_Data!G12,"")</f>
        <v>4</v>
      </c>
      <c r="I12">
        <f>IF(ISNUMBER(Raw_Data!H12),Raw_Data!H12,"")</f>
        <v>12.5</v>
      </c>
      <c r="J12">
        <f t="shared" si="1"/>
        <v>0</v>
      </c>
      <c r="K12">
        <f>COUNTIF(Raw_Data!A12:H12,"~?")</f>
        <v>0</v>
      </c>
      <c r="L12">
        <f t="shared" si="2"/>
        <v>0</v>
      </c>
      <c r="M12">
        <f t="shared" si="3"/>
        <v>1</v>
      </c>
      <c r="N12">
        <f t="shared" si="4"/>
        <v>1</v>
      </c>
      <c r="O12">
        <f t="shared" si="5"/>
        <v>1</v>
      </c>
      <c r="P12">
        <f t="shared" si="6"/>
        <v>1</v>
      </c>
    </row>
    <row r="13" spans="1:16" x14ac:dyDescent="0.25">
      <c r="A13">
        <f t="shared" si="0"/>
        <v>12</v>
      </c>
      <c r="B13">
        <f>IF(ISNUMBER(Raw_Data!A13),Raw_Data!A13,"")</f>
        <v>465</v>
      </c>
      <c r="C13">
        <f>IF(ISNUMBER(Raw_Data!B13),Raw_Data!B13,"")</f>
        <v>423</v>
      </c>
      <c r="D13">
        <f>IF(ISNUMBER(Raw_Data!C13),Raw_Data!C13,"")</f>
        <v>30</v>
      </c>
      <c r="E13">
        <f>IF(ISNUMBER(Raw_Data!D13),Raw_Data!D13,"")</f>
        <v>281</v>
      </c>
      <c r="F13">
        <f>IF(ISNUMBER(Raw_Data!E13),Raw_Data!E13,"")</f>
        <v>5</v>
      </c>
      <c r="G13">
        <f>IF(ISNUMBER(Raw_Data!F13),Raw_Data!F13,"")</f>
        <v>5</v>
      </c>
      <c r="H13">
        <f>IF(ISNUMBER(Raw_Data!G13),Raw_Data!G13,"")</f>
        <v>5</v>
      </c>
      <c r="I13">
        <f>IF(ISNUMBER(Raw_Data!H13),Raw_Data!H13,"")</f>
        <v>3.9</v>
      </c>
      <c r="J13">
        <f t="shared" si="1"/>
        <v>0</v>
      </c>
      <c r="K13">
        <f>COUNTIF(Raw_Data!A13:H13,"~?")</f>
        <v>0</v>
      </c>
      <c r="L13">
        <f t="shared" si="2"/>
        <v>0</v>
      </c>
      <c r="M13">
        <f t="shared" si="3"/>
        <v>1</v>
      </c>
      <c r="N13">
        <f t="shared" si="4"/>
        <v>1</v>
      </c>
      <c r="O13">
        <f t="shared" si="5"/>
        <v>1</v>
      </c>
      <c r="P13">
        <f t="shared" si="6"/>
        <v>1</v>
      </c>
    </row>
    <row r="14" spans="1:16" x14ac:dyDescent="0.25">
      <c r="A14">
        <f t="shared" si="0"/>
        <v>13</v>
      </c>
      <c r="B14">
        <f>IF(ISNUMBER(Raw_Data!A14),Raw_Data!A14,"")</f>
        <v>0.55000000000000004</v>
      </c>
      <c r="C14">
        <f>IF(ISNUMBER(Raw_Data!B14),Raw_Data!B14,"")</f>
        <v>2.4</v>
      </c>
      <c r="D14" t="str">
        <f>IF(ISNUMBER(Raw_Data!C14),Raw_Data!C14,"")</f>
        <v/>
      </c>
      <c r="E14" t="str">
        <f>IF(ISNUMBER(Raw_Data!D14),Raw_Data!D14,"")</f>
        <v/>
      </c>
      <c r="F14">
        <f>IF(ISNUMBER(Raw_Data!E14),Raw_Data!E14,"")</f>
        <v>2</v>
      </c>
      <c r="G14">
        <f>IF(ISNUMBER(Raw_Data!F14),Raw_Data!F14,"")</f>
        <v>1</v>
      </c>
      <c r="H14">
        <f>IF(ISNUMBER(Raw_Data!G14),Raw_Data!G14,"")</f>
        <v>2</v>
      </c>
      <c r="I14">
        <f>IF(ISNUMBER(Raw_Data!H14),Raw_Data!H14,"")</f>
        <v>10.3</v>
      </c>
      <c r="J14">
        <f t="shared" si="1"/>
        <v>2</v>
      </c>
      <c r="K14">
        <f>COUNTIF(Raw_Data!A14:H14,"~?")</f>
        <v>2</v>
      </c>
      <c r="L14">
        <f t="shared" si="2"/>
        <v>0</v>
      </c>
      <c r="M14">
        <f t="shared" si="3"/>
        <v>1</v>
      </c>
      <c r="N14">
        <f t="shared" si="4"/>
        <v>0</v>
      </c>
      <c r="O14">
        <f t="shared" si="5"/>
        <v>1</v>
      </c>
      <c r="P14">
        <f t="shared" si="6"/>
        <v>1</v>
      </c>
    </row>
    <row r="15" spans="1:16" x14ac:dyDescent="0.25">
      <c r="A15">
        <f t="shared" si="0"/>
        <v>14</v>
      </c>
      <c r="B15">
        <f>IF(ISNUMBER(Raw_Data!A15),Raw_Data!A15,"")</f>
        <v>187.1</v>
      </c>
      <c r="C15">
        <f>IF(ISNUMBER(Raw_Data!B15),Raw_Data!B15,"")</f>
        <v>419</v>
      </c>
      <c r="D15">
        <f>IF(ISNUMBER(Raw_Data!C15),Raw_Data!C15,"")</f>
        <v>40</v>
      </c>
      <c r="E15">
        <f>IF(ISNUMBER(Raw_Data!D15),Raw_Data!D15,"")</f>
        <v>365</v>
      </c>
      <c r="F15">
        <f>IF(ISNUMBER(Raw_Data!E15),Raw_Data!E15,"")</f>
        <v>5</v>
      </c>
      <c r="G15">
        <f>IF(ISNUMBER(Raw_Data!F15),Raw_Data!F15,"")</f>
        <v>5</v>
      </c>
      <c r="H15">
        <f>IF(ISNUMBER(Raw_Data!G15),Raw_Data!G15,"")</f>
        <v>5</v>
      </c>
      <c r="I15">
        <f>IF(ISNUMBER(Raw_Data!H15),Raw_Data!H15,"")</f>
        <v>3.1</v>
      </c>
      <c r="J15">
        <f t="shared" si="1"/>
        <v>0</v>
      </c>
      <c r="K15">
        <f>COUNTIF(Raw_Data!A15:H15,"~?")</f>
        <v>0</v>
      </c>
      <c r="L15">
        <f t="shared" si="2"/>
        <v>0</v>
      </c>
      <c r="M15">
        <f t="shared" si="3"/>
        <v>1</v>
      </c>
      <c r="N15">
        <f t="shared" si="4"/>
        <v>1</v>
      </c>
      <c r="O15">
        <f t="shared" si="5"/>
        <v>1</v>
      </c>
      <c r="P15">
        <f t="shared" si="6"/>
        <v>1</v>
      </c>
    </row>
    <row r="16" spans="1:16" x14ac:dyDescent="0.25">
      <c r="A16">
        <f t="shared" si="0"/>
        <v>15</v>
      </c>
      <c r="B16">
        <f>IF(ISNUMBER(Raw_Data!A16),Raw_Data!A16,"")</f>
        <v>7.4999999999999997E-2</v>
      </c>
      <c r="C16">
        <f>IF(ISNUMBER(Raw_Data!B16),Raw_Data!B16,"")</f>
        <v>1.2</v>
      </c>
      <c r="D16">
        <f>IF(ISNUMBER(Raw_Data!C16),Raw_Data!C16,"")</f>
        <v>3.5</v>
      </c>
      <c r="E16">
        <f>IF(ISNUMBER(Raw_Data!D16),Raw_Data!D16,"")</f>
        <v>42</v>
      </c>
      <c r="F16">
        <f>IF(ISNUMBER(Raw_Data!E16),Raw_Data!E16,"")</f>
        <v>1</v>
      </c>
      <c r="G16">
        <f>IF(ISNUMBER(Raw_Data!F16),Raw_Data!F16,"")</f>
        <v>1</v>
      </c>
      <c r="H16">
        <f>IF(ISNUMBER(Raw_Data!G16),Raw_Data!G16,"")</f>
        <v>1</v>
      </c>
      <c r="I16">
        <f>IF(ISNUMBER(Raw_Data!H16),Raw_Data!H16,"")</f>
        <v>8.4</v>
      </c>
      <c r="J16">
        <f t="shared" si="1"/>
        <v>0</v>
      </c>
      <c r="K16">
        <f>COUNTIF(Raw_Data!A16:H16,"~?")</f>
        <v>0</v>
      </c>
      <c r="L16">
        <f t="shared" si="2"/>
        <v>0</v>
      </c>
      <c r="M16">
        <f t="shared" si="3"/>
        <v>1</v>
      </c>
      <c r="N16">
        <f t="shared" si="4"/>
        <v>1</v>
      </c>
      <c r="O16">
        <f t="shared" si="5"/>
        <v>1</v>
      </c>
      <c r="P16">
        <f t="shared" si="6"/>
        <v>1</v>
      </c>
    </row>
    <row r="17" spans="1:16" x14ac:dyDescent="0.25">
      <c r="A17">
        <f t="shared" si="0"/>
        <v>16</v>
      </c>
      <c r="B17">
        <f>IF(ISNUMBER(Raw_Data!A17),Raw_Data!A17,"")</f>
        <v>3</v>
      </c>
      <c r="C17">
        <f>IF(ISNUMBER(Raw_Data!B17),Raw_Data!B17,"")</f>
        <v>25</v>
      </c>
      <c r="D17">
        <f>IF(ISNUMBER(Raw_Data!C17),Raw_Data!C17,"")</f>
        <v>50</v>
      </c>
      <c r="E17">
        <f>IF(ISNUMBER(Raw_Data!D17),Raw_Data!D17,"")</f>
        <v>28</v>
      </c>
      <c r="F17">
        <f>IF(ISNUMBER(Raw_Data!E17),Raw_Data!E17,"")</f>
        <v>2</v>
      </c>
      <c r="G17">
        <f>IF(ISNUMBER(Raw_Data!F17),Raw_Data!F17,"")</f>
        <v>2</v>
      </c>
      <c r="H17">
        <f>IF(ISNUMBER(Raw_Data!G17),Raw_Data!G17,"")</f>
        <v>2</v>
      </c>
      <c r="I17">
        <f>IF(ISNUMBER(Raw_Data!H17),Raw_Data!H17,"")</f>
        <v>8.6</v>
      </c>
      <c r="J17">
        <f t="shared" si="1"/>
        <v>0</v>
      </c>
      <c r="K17">
        <f>COUNTIF(Raw_Data!A17:H17,"~?")</f>
        <v>0</v>
      </c>
      <c r="L17">
        <f t="shared" si="2"/>
        <v>0</v>
      </c>
      <c r="M17">
        <f t="shared" si="3"/>
        <v>1</v>
      </c>
      <c r="N17">
        <f t="shared" si="4"/>
        <v>1</v>
      </c>
      <c r="O17">
        <f t="shared" si="5"/>
        <v>1</v>
      </c>
      <c r="P17">
        <f t="shared" si="6"/>
        <v>1</v>
      </c>
    </row>
    <row r="18" spans="1:16" x14ac:dyDescent="0.25">
      <c r="A18">
        <f t="shared" si="0"/>
        <v>17</v>
      </c>
      <c r="B18">
        <f>IF(ISNUMBER(Raw_Data!A18),Raw_Data!A18,"")</f>
        <v>0.78500000000000003</v>
      </c>
      <c r="C18">
        <f>IF(ISNUMBER(Raw_Data!B18),Raw_Data!B18,"")</f>
        <v>3.5</v>
      </c>
      <c r="D18">
        <f>IF(ISNUMBER(Raw_Data!C18),Raw_Data!C18,"")</f>
        <v>6</v>
      </c>
      <c r="E18">
        <f>IF(ISNUMBER(Raw_Data!D18),Raw_Data!D18,"")</f>
        <v>42</v>
      </c>
      <c r="F18">
        <f>IF(ISNUMBER(Raw_Data!E18),Raw_Data!E18,"")</f>
        <v>2</v>
      </c>
      <c r="G18">
        <f>IF(ISNUMBER(Raw_Data!F18),Raw_Data!F18,"")</f>
        <v>2</v>
      </c>
      <c r="H18">
        <f>IF(ISNUMBER(Raw_Data!G18),Raw_Data!G18,"")</f>
        <v>2</v>
      </c>
      <c r="I18">
        <f>IF(ISNUMBER(Raw_Data!H18),Raw_Data!H18,"")</f>
        <v>10.7</v>
      </c>
      <c r="J18">
        <f t="shared" si="1"/>
        <v>0</v>
      </c>
      <c r="K18">
        <f>COUNTIF(Raw_Data!A18:H18,"~?")</f>
        <v>0</v>
      </c>
      <c r="L18">
        <f t="shared" si="2"/>
        <v>0</v>
      </c>
      <c r="M18">
        <f t="shared" si="3"/>
        <v>1</v>
      </c>
      <c r="N18">
        <f t="shared" si="4"/>
        <v>1</v>
      </c>
      <c r="O18">
        <f t="shared" si="5"/>
        <v>1</v>
      </c>
      <c r="P18">
        <f t="shared" si="6"/>
        <v>1</v>
      </c>
    </row>
    <row r="19" spans="1:16" x14ac:dyDescent="0.25">
      <c r="A19">
        <f t="shared" si="0"/>
        <v>18</v>
      </c>
      <c r="B19">
        <f>IF(ISNUMBER(Raw_Data!A19),Raw_Data!A19,"")</f>
        <v>0.2</v>
      </c>
      <c r="C19">
        <f>IF(ISNUMBER(Raw_Data!B19),Raw_Data!B19,"")</f>
        <v>5</v>
      </c>
      <c r="D19">
        <f>IF(ISNUMBER(Raw_Data!C19),Raw_Data!C19,"")</f>
        <v>10.4</v>
      </c>
      <c r="E19">
        <f>IF(ISNUMBER(Raw_Data!D19),Raw_Data!D19,"")</f>
        <v>120</v>
      </c>
      <c r="F19">
        <f>IF(ISNUMBER(Raw_Data!E19),Raw_Data!E19,"")</f>
        <v>2</v>
      </c>
      <c r="G19">
        <f>IF(ISNUMBER(Raw_Data!F19),Raw_Data!F19,"")</f>
        <v>2</v>
      </c>
      <c r="H19">
        <f>IF(ISNUMBER(Raw_Data!G19),Raw_Data!G19,"")</f>
        <v>2</v>
      </c>
      <c r="I19">
        <f>IF(ISNUMBER(Raw_Data!H19),Raw_Data!H19,"")</f>
        <v>10.7</v>
      </c>
      <c r="J19">
        <f t="shared" si="1"/>
        <v>0</v>
      </c>
      <c r="K19">
        <f>COUNTIF(Raw_Data!A19:H19,"~?")</f>
        <v>0</v>
      </c>
      <c r="L19">
        <f t="shared" si="2"/>
        <v>0</v>
      </c>
      <c r="M19">
        <f t="shared" si="3"/>
        <v>1</v>
      </c>
      <c r="N19">
        <f t="shared" si="4"/>
        <v>1</v>
      </c>
      <c r="O19">
        <f t="shared" si="5"/>
        <v>1</v>
      </c>
      <c r="P19">
        <f t="shared" si="6"/>
        <v>1</v>
      </c>
    </row>
    <row r="20" spans="1:16" x14ac:dyDescent="0.25">
      <c r="A20">
        <f t="shared" si="0"/>
        <v>19</v>
      </c>
      <c r="B20">
        <f>IF(ISNUMBER(Raw_Data!A20),Raw_Data!A20,"")</f>
        <v>1.41</v>
      </c>
      <c r="C20">
        <f>IF(ISNUMBER(Raw_Data!B20),Raw_Data!B20,"")</f>
        <v>17.5</v>
      </c>
      <c r="D20">
        <f>IF(ISNUMBER(Raw_Data!C20),Raw_Data!C20,"")</f>
        <v>34</v>
      </c>
      <c r="E20" t="str">
        <f>IF(ISNUMBER(Raw_Data!D20),Raw_Data!D20,"")</f>
        <v/>
      </c>
      <c r="F20">
        <f>IF(ISNUMBER(Raw_Data!E20),Raw_Data!E20,"")</f>
        <v>1</v>
      </c>
      <c r="G20">
        <f>IF(ISNUMBER(Raw_Data!F20),Raw_Data!F20,"")</f>
        <v>2</v>
      </c>
      <c r="H20">
        <f>IF(ISNUMBER(Raw_Data!G20),Raw_Data!G20,"")</f>
        <v>1</v>
      </c>
      <c r="I20">
        <f>IF(ISNUMBER(Raw_Data!H20),Raw_Data!H20,"")</f>
        <v>6.1</v>
      </c>
      <c r="J20">
        <f t="shared" si="1"/>
        <v>1</v>
      </c>
      <c r="K20">
        <f>COUNTIF(Raw_Data!A20:H20,"~?")</f>
        <v>1</v>
      </c>
      <c r="L20">
        <f t="shared" si="2"/>
        <v>0</v>
      </c>
      <c r="M20">
        <f t="shared" si="3"/>
        <v>1</v>
      </c>
      <c r="N20">
        <f t="shared" si="4"/>
        <v>0</v>
      </c>
      <c r="O20">
        <f t="shared" si="5"/>
        <v>1</v>
      </c>
      <c r="P20">
        <f t="shared" si="6"/>
        <v>1</v>
      </c>
    </row>
    <row r="21" spans="1:16" x14ac:dyDescent="0.25">
      <c r="A21">
        <f t="shared" si="0"/>
        <v>20</v>
      </c>
      <c r="B21">
        <f>IF(ISNUMBER(Raw_Data!A21),Raw_Data!A21,"")</f>
        <v>60</v>
      </c>
      <c r="C21">
        <f>IF(ISNUMBER(Raw_Data!B21),Raw_Data!B21,"")</f>
        <v>81</v>
      </c>
      <c r="D21">
        <f>IF(ISNUMBER(Raw_Data!C21),Raw_Data!C21,"")</f>
        <v>7</v>
      </c>
      <c r="E21" t="str">
        <f>IF(ISNUMBER(Raw_Data!D21),Raw_Data!D21,"")</f>
        <v/>
      </c>
      <c r="F21">
        <f>IF(ISNUMBER(Raw_Data!E21),Raw_Data!E21,"")</f>
        <v>1</v>
      </c>
      <c r="G21">
        <f>IF(ISNUMBER(Raw_Data!F21),Raw_Data!F21,"")</f>
        <v>1</v>
      </c>
      <c r="H21">
        <f>IF(ISNUMBER(Raw_Data!G21),Raw_Data!G21,"")</f>
        <v>1</v>
      </c>
      <c r="I21">
        <f>IF(ISNUMBER(Raw_Data!H21),Raw_Data!H21,"")</f>
        <v>18.100000000000001</v>
      </c>
      <c r="J21">
        <f t="shared" si="1"/>
        <v>1</v>
      </c>
      <c r="K21">
        <f>COUNTIF(Raw_Data!A21:H21,"~?")</f>
        <v>1</v>
      </c>
      <c r="L21">
        <f t="shared" si="2"/>
        <v>0</v>
      </c>
      <c r="M21">
        <f t="shared" si="3"/>
        <v>1</v>
      </c>
      <c r="N21">
        <f t="shared" si="4"/>
        <v>0</v>
      </c>
      <c r="O21">
        <f t="shared" si="5"/>
        <v>1</v>
      </c>
      <c r="P21">
        <f t="shared" si="6"/>
        <v>1</v>
      </c>
    </row>
    <row r="22" spans="1:16" x14ac:dyDescent="0.25">
      <c r="A22">
        <f t="shared" si="0"/>
        <v>21</v>
      </c>
      <c r="B22">
        <f>IF(ISNUMBER(Raw_Data!A22),Raw_Data!A22,"")</f>
        <v>529</v>
      </c>
      <c r="C22">
        <f>IF(ISNUMBER(Raw_Data!B22),Raw_Data!B22,"")</f>
        <v>680</v>
      </c>
      <c r="D22">
        <f>IF(ISNUMBER(Raw_Data!C22),Raw_Data!C22,"")</f>
        <v>28</v>
      </c>
      <c r="E22">
        <f>IF(ISNUMBER(Raw_Data!D22),Raw_Data!D22,"")</f>
        <v>400</v>
      </c>
      <c r="F22">
        <f>IF(ISNUMBER(Raw_Data!E22),Raw_Data!E22,"")</f>
        <v>5</v>
      </c>
      <c r="G22">
        <f>IF(ISNUMBER(Raw_Data!F22),Raw_Data!F22,"")</f>
        <v>5</v>
      </c>
      <c r="H22">
        <f>IF(ISNUMBER(Raw_Data!G22),Raw_Data!G22,"")</f>
        <v>5</v>
      </c>
      <c r="I22" t="str">
        <f>IF(ISNUMBER(Raw_Data!H22),Raw_Data!H22,"")</f>
        <v/>
      </c>
      <c r="J22">
        <f t="shared" si="1"/>
        <v>1</v>
      </c>
      <c r="K22">
        <f>COUNTIF(Raw_Data!A22:H22,"~?")</f>
        <v>1</v>
      </c>
      <c r="L22">
        <f t="shared" si="2"/>
        <v>0</v>
      </c>
      <c r="M22">
        <f t="shared" si="3"/>
        <v>0</v>
      </c>
      <c r="N22">
        <f t="shared" si="4"/>
        <v>0</v>
      </c>
      <c r="O22">
        <f t="shared" si="5"/>
        <v>1</v>
      </c>
      <c r="P22">
        <f t="shared" si="6"/>
        <v>0</v>
      </c>
    </row>
    <row r="23" spans="1:16" x14ac:dyDescent="0.25">
      <c r="A23">
        <f t="shared" si="0"/>
        <v>22</v>
      </c>
      <c r="B23">
        <f>IF(ISNUMBER(Raw_Data!A23),Raw_Data!A23,"")</f>
        <v>27.66</v>
      </c>
      <c r="C23">
        <f>IF(ISNUMBER(Raw_Data!B23),Raw_Data!B23,"")</f>
        <v>115</v>
      </c>
      <c r="D23">
        <f>IF(ISNUMBER(Raw_Data!C23),Raw_Data!C23,"")</f>
        <v>20</v>
      </c>
      <c r="E23">
        <f>IF(ISNUMBER(Raw_Data!D23),Raw_Data!D23,"")</f>
        <v>148</v>
      </c>
      <c r="F23">
        <f>IF(ISNUMBER(Raw_Data!E23),Raw_Data!E23,"")</f>
        <v>5</v>
      </c>
      <c r="G23">
        <f>IF(ISNUMBER(Raw_Data!F23),Raw_Data!F23,"")</f>
        <v>5</v>
      </c>
      <c r="H23">
        <f>IF(ISNUMBER(Raw_Data!G23),Raw_Data!G23,"")</f>
        <v>5</v>
      </c>
      <c r="I23">
        <f>IF(ISNUMBER(Raw_Data!H23),Raw_Data!H23,"")</f>
        <v>3.8</v>
      </c>
      <c r="J23">
        <f t="shared" si="1"/>
        <v>0</v>
      </c>
      <c r="K23">
        <f>COUNTIF(Raw_Data!A23:H23,"~?")</f>
        <v>0</v>
      </c>
      <c r="L23">
        <f t="shared" si="2"/>
        <v>0</v>
      </c>
      <c r="M23">
        <f t="shared" si="3"/>
        <v>1</v>
      </c>
      <c r="N23">
        <f t="shared" si="4"/>
        <v>1</v>
      </c>
      <c r="O23">
        <f t="shared" si="5"/>
        <v>1</v>
      </c>
      <c r="P23">
        <f t="shared" si="6"/>
        <v>1</v>
      </c>
    </row>
    <row r="24" spans="1:16" x14ac:dyDescent="0.25">
      <c r="A24">
        <f t="shared" si="0"/>
        <v>23</v>
      </c>
      <c r="B24">
        <f>IF(ISNUMBER(Raw_Data!A24),Raw_Data!A24,"")</f>
        <v>0.12</v>
      </c>
      <c r="C24">
        <f>IF(ISNUMBER(Raw_Data!B24),Raw_Data!B24,"")</f>
        <v>1</v>
      </c>
      <c r="D24">
        <f>IF(ISNUMBER(Raw_Data!C24),Raw_Data!C24,"")</f>
        <v>3.9</v>
      </c>
      <c r="E24">
        <f>IF(ISNUMBER(Raw_Data!D24),Raw_Data!D24,"")</f>
        <v>16</v>
      </c>
      <c r="F24">
        <f>IF(ISNUMBER(Raw_Data!E24),Raw_Data!E24,"")</f>
        <v>3</v>
      </c>
      <c r="G24">
        <f>IF(ISNUMBER(Raw_Data!F24),Raw_Data!F24,"")</f>
        <v>1</v>
      </c>
      <c r="H24">
        <f>IF(ISNUMBER(Raw_Data!G24),Raw_Data!G24,"")</f>
        <v>2</v>
      </c>
      <c r="I24">
        <f>IF(ISNUMBER(Raw_Data!H24),Raw_Data!H24,"")</f>
        <v>14.4</v>
      </c>
      <c r="J24">
        <f t="shared" si="1"/>
        <v>0</v>
      </c>
      <c r="K24">
        <f>COUNTIF(Raw_Data!A24:H24,"~?")</f>
        <v>0</v>
      </c>
      <c r="L24">
        <f t="shared" si="2"/>
        <v>0</v>
      </c>
      <c r="M24">
        <f t="shared" si="3"/>
        <v>1</v>
      </c>
      <c r="N24">
        <f t="shared" si="4"/>
        <v>1</v>
      </c>
      <c r="O24">
        <f t="shared" si="5"/>
        <v>1</v>
      </c>
      <c r="P24">
        <f t="shared" si="6"/>
        <v>1</v>
      </c>
    </row>
    <row r="25" spans="1:16" x14ac:dyDescent="0.25">
      <c r="A25">
        <f t="shared" si="0"/>
        <v>24</v>
      </c>
      <c r="B25">
        <f>IF(ISNUMBER(Raw_Data!A25),Raw_Data!A25,"")</f>
        <v>207</v>
      </c>
      <c r="C25">
        <f>IF(ISNUMBER(Raw_Data!B25),Raw_Data!B25,"")</f>
        <v>406</v>
      </c>
      <c r="D25">
        <f>IF(ISNUMBER(Raw_Data!C25),Raw_Data!C25,"")</f>
        <v>39.299999999999997</v>
      </c>
      <c r="E25">
        <f>IF(ISNUMBER(Raw_Data!D25),Raw_Data!D25,"")</f>
        <v>252</v>
      </c>
      <c r="F25">
        <f>IF(ISNUMBER(Raw_Data!E25),Raw_Data!E25,"")</f>
        <v>1</v>
      </c>
      <c r="G25">
        <f>IF(ISNUMBER(Raw_Data!F25),Raw_Data!F25,"")</f>
        <v>4</v>
      </c>
      <c r="H25">
        <f>IF(ISNUMBER(Raw_Data!G25),Raw_Data!G25,"")</f>
        <v>1</v>
      </c>
      <c r="I25">
        <f>IF(ISNUMBER(Raw_Data!H25),Raw_Data!H25,"")</f>
        <v>12</v>
      </c>
      <c r="J25">
        <f t="shared" si="1"/>
        <v>0</v>
      </c>
      <c r="K25">
        <f>COUNTIF(Raw_Data!A25:H25,"~?")</f>
        <v>0</v>
      </c>
      <c r="L25">
        <f t="shared" si="2"/>
        <v>0</v>
      </c>
      <c r="M25">
        <f t="shared" si="3"/>
        <v>1</v>
      </c>
      <c r="N25">
        <f t="shared" si="4"/>
        <v>1</v>
      </c>
      <c r="O25">
        <f t="shared" si="5"/>
        <v>1</v>
      </c>
      <c r="P25">
        <f t="shared" si="6"/>
        <v>1</v>
      </c>
    </row>
    <row r="26" spans="1:16" x14ac:dyDescent="0.25">
      <c r="A26">
        <f t="shared" si="0"/>
        <v>25</v>
      </c>
      <c r="B26">
        <f>IF(ISNUMBER(Raw_Data!A26),Raw_Data!A26,"")</f>
        <v>85</v>
      </c>
      <c r="C26">
        <f>IF(ISNUMBER(Raw_Data!B26),Raw_Data!B26,"")</f>
        <v>325</v>
      </c>
      <c r="D26">
        <f>IF(ISNUMBER(Raw_Data!C26),Raw_Data!C26,"")</f>
        <v>41</v>
      </c>
      <c r="E26">
        <f>IF(ISNUMBER(Raw_Data!D26),Raw_Data!D26,"")</f>
        <v>310</v>
      </c>
      <c r="F26">
        <f>IF(ISNUMBER(Raw_Data!E26),Raw_Data!E26,"")</f>
        <v>1</v>
      </c>
      <c r="G26">
        <f>IF(ISNUMBER(Raw_Data!F26),Raw_Data!F26,"")</f>
        <v>3</v>
      </c>
      <c r="H26">
        <f>IF(ISNUMBER(Raw_Data!G26),Raw_Data!G26,"")</f>
        <v>1</v>
      </c>
      <c r="I26">
        <f>IF(ISNUMBER(Raw_Data!H26),Raw_Data!H26,"")</f>
        <v>6.2</v>
      </c>
      <c r="J26">
        <f t="shared" si="1"/>
        <v>0</v>
      </c>
      <c r="K26">
        <f>COUNTIF(Raw_Data!A26:H26,"~?")</f>
        <v>0</v>
      </c>
      <c r="L26">
        <f t="shared" si="2"/>
        <v>0</v>
      </c>
      <c r="M26">
        <f t="shared" si="3"/>
        <v>1</v>
      </c>
      <c r="N26">
        <f t="shared" si="4"/>
        <v>1</v>
      </c>
      <c r="O26">
        <f t="shared" si="5"/>
        <v>1</v>
      </c>
      <c r="P26">
        <f t="shared" si="6"/>
        <v>1</v>
      </c>
    </row>
    <row r="27" spans="1:16" x14ac:dyDescent="0.25">
      <c r="A27">
        <f t="shared" si="0"/>
        <v>26</v>
      </c>
      <c r="B27">
        <f>IF(ISNUMBER(Raw_Data!A27),Raw_Data!A27,"")</f>
        <v>36.33</v>
      </c>
      <c r="C27">
        <f>IF(ISNUMBER(Raw_Data!B27),Raw_Data!B27,"")</f>
        <v>119.5</v>
      </c>
      <c r="D27">
        <f>IF(ISNUMBER(Raw_Data!C27),Raw_Data!C27,"")</f>
        <v>16.2</v>
      </c>
      <c r="E27">
        <f>IF(ISNUMBER(Raw_Data!D27),Raw_Data!D27,"")</f>
        <v>63</v>
      </c>
      <c r="F27">
        <f>IF(ISNUMBER(Raw_Data!E27),Raw_Data!E27,"")</f>
        <v>1</v>
      </c>
      <c r="G27">
        <f>IF(ISNUMBER(Raw_Data!F27),Raw_Data!F27,"")</f>
        <v>1</v>
      </c>
      <c r="H27">
        <f>IF(ISNUMBER(Raw_Data!G27),Raw_Data!G27,"")</f>
        <v>1</v>
      </c>
      <c r="I27">
        <f>IF(ISNUMBER(Raw_Data!H27),Raw_Data!H27,"")</f>
        <v>13</v>
      </c>
      <c r="J27">
        <f t="shared" si="1"/>
        <v>0</v>
      </c>
      <c r="K27">
        <f>COUNTIF(Raw_Data!A27:H27,"~?")</f>
        <v>0</v>
      </c>
      <c r="L27">
        <f t="shared" si="2"/>
        <v>0</v>
      </c>
      <c r="M27">
        <f t="shared" si="3"/>
        <v>1</v>
      </c>
      <c r="N27">
        <f t="shared" si="4"/>
        <v>1</v>
      </c>
      <c r="O27">
        <f t="shared" si="5"/>
        <v>1</v>
      </c>
      <c r="P27">
        <f t="shared" si="6"/>
        <v>1</v>
      </c>
    </row>
    <row r="28" spans="1:16" x14ac:dyDescent="0.25">
      <c r="A28">
        <f t="shared" si="0"/>
        <v>27</v>
      </c>
      <c r="B28">
        <f>IF(ISNUMBER(Raw_Data!A28),Raw_Data!A28,"")</f>
        <v>0.10100000000000001</v>
      </c>
      <c r="C28">
        <f>IF(ISNUMBER(Raw_Data!B28),Raw_Data!B28,"")</f>
        <v>4</v>
      </c>
      <c r="D28">
        <f>IF(ISNUMBER(Raw_Data!C28),Raw_Data!C28,"")</f>
        <v>9</v>
      </c>
      <c r="E28">
        <f>IF(ISNUMBER(Raw_Data!D28),Raw_Data!D28,"")</f>
        <v>28</v>
      </c>
      <c r="F28">
        <f>IF(ISNUMBER(Raw_Data!E28),Raw_Data!E28,"")</f>
        <v>5</v>
      </c>
      <c r="G28">
        <f>IF(ISNUMBER(Raw_Data!F28),Raw_Data!F28,"")</f>
        <v>1</v>
      </c>
      <c r="H28">
        <f>IF(ISNUMBER(Raw_Data!G28),Raw_Data!G28,"")</f>
        <v>3</v>
      </c>
      <c r="I28">
        <f>IF(ISNUMBER(Raw_Data!H28),Raw_Data!H28,"")</f>
        <v>13.8</v>
      </c>
      <c r="J28">
        <f t="shared" si="1"/>
        <v>0</v>
      </c>
      <c r="K28">
        <f>COUNTIF(Raw_Data!A28:H28,"~?")</f>
        <v>0</v>
      </c>
      <c r="L28">
        <f t="shared" si="2"/>
        <v>0</v>
      </c>
      <c r="M28">
        <f t="shared" si="3"/>
        <v>1</v>
      </c>
      <c r="N28">
        <f t="shared" si="4"/>
        <v>1</v>
      </c>
      <c r="O28">
        <f t="shared" si="5"/>
        <v>1</v>
      </c>
      <c r="P28">
        <f t="shared" si="6"/>
        <v>1</v>
      </c>
    </row>
    <row r="29" spans="1:16" x14ac:dyDescent="0.25">
      <c r="A29">
        <f t="shared" si="0"/>
        <v>28</v>
      </c>
      <c r="B29">
        <f>IF(ISNUMBER(Raw_Data!A29),Raw_Data!A29,"")</f>
        <v>1.04</v>
      </c>
      <c r="C29">
        <f>IF(ISNUMBER(Raw_Data!B29),Raw_Data!B29,"")</f>
        <v>5.5</v>
      </c>
      <c r="D29">
        <f>IF(ISNUMBER(Raw_Data!C29),Raw_Data!C29,"")</f>
        <v>7.6</v>
      </c>
      <c r="E29">
        <f>IF(ISNUMBER(Raw_Data!D29),Raw_Data!D29,"")</f>
        <v>68</v>
      </c>
      <c r="F29">
        <f>IF(ISNUMBER(Raw_Data!E29),Raw_Data!E29,"")</f>
        <v>5</v>
      </c>
      <c r="G29">
        <f>IF(ISNUMBER(Raw_Data!F29),Raw_Data!F29,"")</f>
        <v>3</v>
      </c>
      <c r="H29">
        <f>IF(ISNUMBER(Raw_Data!G29),Raw_Data!G29,"")</f>
        <v>4</v>
      </c>
      <c r="I29">
        <f>IF(ISNUMBER(Raw_Data!H29),Raw_Data!H29,"")</f>
        <v>8.1999999999999993</v>
      </c>
      <c r="J29">
        <f t="shared" si="1"/>
        <v>0</v>
      </c>
      <c r="K29">
        <f>COUNTIF(Raw_Data!A29:H29,"~?")</f>
        <v>0</v>
      </c>
      <c r="L29">
        <f t="shared" si="2"/>
        <v>0</v>
      </c>
      <c r="M29">
        <f t="shared" si="3"/>
        <v>1</v>
      </c>
      <c r="N29">
        <f t="shared" si="4"/>
        <v>1</v>
      </c>
      <c r="O29">
        <f t="shared" si="5"/>
        <v>1</v>
      </c>
      <c r="P29">
        <f t="shared" si="6"/>
        <v>1</v>
      </c>
    </row>
    <row r="30" spans="1:16" x14ac:dyDescent="0.25">
      <c r="A30">
        <f t="shared" si="0"/>
        <v>29</v>
      </c>
      <c r="B30">
        <f>IF(ISNUMBER(Raw_Data!A30),Raw_Data!A30,"")</f>
        <v>521</v>
      </c>
      <c r="C30">
        <f>IF(ISNUMBER(Raw_Data!B30),Raw_Data!B30,"")</f>
        <v>655</v>
      </c>
      <c r="D30">
        <f>IF(ISNUMBER(Raw_Data!C30),Raw_Data!C30,"")</f>
        <v>46</v>
      </c>
      <c r="E30">
        <f>IF(ISNUMBER(Raw_Data!D30),Raw_Data!D30,"")</f>
        <v>336</v>
      </c>
      <c r="F30">
        <f>IF(ISNUMBER(Raw_Data!E30),Raw_Data!E30,"")</f>
        <v>5</v>
      </c>
      <c r="G30">
        <f>IF(ISNUMBER(Raw_Data!F30),Raw_Data!F30,"")</f>
        <v>5</v>
      </c>
      <c r="H30">
        <f>IF(ISNUMBER(Raw_Data!G30),Raw_Data!G30,"")</f>
        <v>5</v>
      </c>
      <c r="I30">
        <f>IF(ISNUMBER(Raw_Data!H30),Raw_Data!H30,"")</f>
        <v>2.9</v>
      </c>
      <c r="J30">
        <f t="shared" si="1"/>
        <v>0</v>
      </c>
      <c r="K30">
        <f>COUNTIF(Raw_Data!A30:H30,"~?")</f>
        <v>0</v>
      </c>
      <c r="L30">
        <f t="shared" si="2"/>
        <v>0</v>
      </c>
      <c r="M30">
        <f t="shared" si="3"/>
        <v>1</v>
      </c>
      <c r="N30">
        <f t="shared" si="4"/>
        <v>1</v>
      </c>
      <c r="O30">
        <f t="shared" si="5"/>
        <v>1</v>
      </c>
      <c r="P30">
        <f t="shared" si="6"/>
        <v>1</v>
      </c>
    </row>
    <row r="31" spans="1:16" x14ac:dyDescent="0.25">
      <c r="A31">
        <f t="shared" si="0"/>
        <v>30</v>
      </c>
      <c r="B31">
        <f>IF(ISNUMBER(Raw_Data!A31),Raw_Data!A31,"")</f>
        <v>100</v>
      </c>
      <c r="C31">
        <f>IF(ISNUMBER(Raw_Data!B31),Raw_Data!B31,"")</f>
        <v>157</v>
      </c>
      <c r="D31">
        <f>IF(ISNUMBER(Raw_Data!C31),Raw_Data!C31,"")</f>
        <v>22.4</v>
      </c>
      <c r="E31">
        <f>IF(ISNUMBER(Raw_Data!D31),Raw_Data!D31,"")</f>
        <v>100</v>
      </c>
      <c r="F31">
        <f>IF(ISNUMBER(Raw_Data!E31),Raw_Data!E31,"")</f>
        <v>1</v>
      </c>
      <c r="G31">
        <f>IF(ISNUMBER(Raw_Data!F31),Raw_Data!F31,"")</f>
        <v>1</v>
      </c>
      <c r="H31">
        <f>IF(ISNUMBER(Raw_Data!G31),Raw_Data!G31,"")</f>
        <v>1</v>
      </c>
      <c r="I31">
        <f>IF(ISNUMBER(Raw_Data!H31),Raw_Data!H31,"")</f>
        <v>10.8</v>
      </c>
      <c r="J31">
        <f t="shared" si="1"/>
        <v>0</v>
      </c>
      <c r="K31">
        <f>COUNTIF(Raw_Data!A31:H31,"~?")</f>
        <v>0</v>
      </c>
      <c r="L31">
        <f t="shared" si="2"/>
        <v>0</v>
      </c>
      <c r="M31">
        <f t="shared" si="3"/>
        <v>1</v>
      </c>
      <c r="N31">
        <f t="shared" si="4"/>
        <v>1</v>
      </c>
      <c r="O31">
        <f t="shared" si="5"/>
        <v>1</v>
      </c>
      <c r="P31">
        <f t="shared" si="6"/>
        <v>1</v>
      </c>
    </row>
    <row r="32" spans="1:16" x14ac:dyDescent="0.25">
      <c r="A32">
        <f t="shared" si="0"/>
        <v>31</v>
      </c>
      <c r="B32">
        <f>IF(ISNUMBER(Raw_Data!A32),Raw_Data!A32,"")</f>
        <v>35</v>
      </c>
      <c r="C32">
        <f>IF(ISNUMBER(Raw_Data!B32),Raw_Data!B32,"")</f>
        <v>56</v>
      </c>
      <c r="D32">
        <f>IF(ISNUMBER(Raw_Data!C32),Raw_Data!C32,"")</f>
        <v>16.3</v>
      </c>
      <c r="E32">
        <f>IF(ISNUMBER(Raw_Data!D32),Raw_Data!D32,"")</f>
        <v>33</v>
      </c>
      <c r="F32">
        <f>IF(ISNUMBER(Raw_Data!E32),Raw_Data!E32,"")</f>
        <v>3</v>
      </c>
      <c r="G32">
        <f>IF(ISNUMBER(Raw_Data!F32),Raw_Data!F32,"")</f>
        <v>5</v>
      </c>
      <c r="H32">
        <f>IF(ISNUMBER(Raw_Data!G32),Raw_Data!G32,"")</f>
        <v>4</v>
      </c>
      <c r="I32" t="str">
        <f>IF(ISNUMBER(Raw_Data!H32),Raw_Data!H32,"")</f>
        <v/>
      </c>
      <c r="J32">
        <f t="shared" si="1"/>
        <v>1</v>
      </c>
      <c r="K32">
        <f>COUNTIF(Raw_Data!A32:H32,"~?")</f>
        <v>1</v>
      </c>
      <c r="L32">
        <f t="shared" si="2"/>
        <v>0</v>
      </c>
      <c r="M32">
        <f t="shared" si="3"/>
        <v>0</v>
      </c>
      <c r="N32">
        <f t="shared" si="4"/>
        <v>0</v>
      </c>
      <c r="O32">
        <f t="shared" si="5"/>
        <v>1</v>
      </c>
      <c r="P32">
        <f t="shared" si="6"/>
        <v>0</v>
      </c>
    </row>
    <row r="33" spans="1:16" x14ac:dyDescent="0.25">
      <c r="A33">
        <f t="shared" si="0"/>
        <v>32</v>
      </c>
      <c r="B33">
        <f>IF(ISNUMBER(Raw_Data!A33),Raw_Data!A33,"")</f>
        <v>5.0000000000000001E-3</v>
      </c>
      <c r="C33">
        <f>IF(ISNUMBER(Raw_Data!B33),Raw_Data!B33,"")</f>
        <v>0.14000000000000001</v>
      </c>
      <c r="D33">
        <f>IF(ISNUMBER(Raw_Data!C33),Raw_Data!C33,"")</f>
        <v>2.6</v>
      </c>
      <c r="E33">
        <f>IF(ISNUMBER(Raw_Data!D33),Raw_Data!D33,"")</f>
        <v>21.5</v>
      </c>
      <c r="F33">
        <f>IF(ISNUMBER(Raw_Data!E33),Raw_Data!E33,"")</f>
        <v>5</v>
      </c>
      <c r="G33">
        <f>IF(ISNUMBER(Raw_Data!F33),Raw_Data!F33,"")</f>
        <v>2</v>
      </c>
      <c r="H33">
        <f>IF(ISNUMBER(Raw_Data!G33),Raw_Data!G33,"")</f>
        <v>4</v>
      </c>
      <c r="I33">
        <f>IF(ISNUMBER(Raw_Data!H33),Raw_Data!H33,"")</f>
        <v>9.1</v>
      </c>
      <c r="J33">
        <f t="shared" si="1"/>
        <v>0</v>
      </c>
      <c r="K33">
        <f>COUNTIF(Raw_Data!A33:H33,"~?")</f>
        <v>0</v>
      </c>
      <c r="L33">
        <f t="shared" si="2"/>
        <v>0</v>
      </c>
      <c r="M33">
        <f t="shared" si="3"/>
        <v>1</v>
      </c>
      <c r="N33">
        <f t="shared" si="4"/>
        <v>1</v>
      </c>
      <c r="O33">
        <f t="shared" si="5"/>
        <v>1</v>
      </c>
      <c r="P33">
        <f t="shared" si="6"/>
        <v>1</v>
      </c>
    </row>
    <row r="34" spans="1:16" x14ac:dyDescent="0.25">
      <c r="A34">
        <f t="shared" ref="A34:A63" si="7">ROW()-1</f>
        <v>33</v>
      </c>
      <c r="B34">
        <f>IF(ISNUMBER(Raw_Data!A34),Raw_Data!A34,"")</f>
        <v>0.01</v>
      </c>
      <c r="C34">
        <f>IF(ISNUMBER(Raw_Data!B34),Raw_Data!B34,"")</f>
        <v>0.25</v>
      </c>
      <c r="D34">
        <f>IF(ISNUMBER(Raw_Data!C34),Raw_Data!C34,"")</f>
        <v>24</v>
      </c>
      <c r="E34">
        <f>IF(ISNUMBER(Raw_Data!D34),Raw_Data!D34,"")</f>
        <v>50</v>
      </c>
      <c r="F34">
        <f>IF(ISNUMBER(Raw_Data!E34),Raw_Data!E34,"")</f>
        <v>1</v>
      </c>
      <c r="G34">
        <f>IF(ISNUMBER(Raw_Data!F34),Raw_Data!F34,"")</f>
        <v>1</v>
      </c>
      <c r="H34">
        <f>IF(ISNUMBER(Raw_Data!G34),Raw_Data!G34,"")</f>
        <v>1</v>
      </c>
      <c r="I34">
        <f>IF(ISNUMBER(Raw_Data!H34),Raw_Data!H34,"")</f>
        <v>19.899999999999999</v>
      </c>
      <c r="J34">
        <f t="shared" ref="J34:J65" si="8">COUNTBLANK(B34:I34)</f>
        <v>0</v>
      </c>
      <c r="K34">
        <f>COUNTIF(Raw_Data!A34:H34,"~?")</f>
        <v>0</v>
      </c>
      <c r="L34">
        <f t="shared" ref="L34:L65" si="9">J34-K34</f>
        <v>0</v>
      </c>
      <c r="M34">
        <f t="shared" ref="M34:M63" si="10">IF(ISNUMBER(I34),1,0)</f>
        <v>1</v>
      </c>
      <c r="N34">
        <f t="shared" ref="N34:N65" si="11">IF(AND(J34=0,O34=1),1,0)</f>
        <v>1</v>
      </c>
      <c r="O34">
        <f t="shared" ref="O34:O63" si="12">IF(AND(OR(B34="",AND(B34&gt;=lim_w_min,B34&lt;=lim_w_max)),OR(C34="",AND(C34&gt;=lim_w_min,C34&lt;=lim_brain_max)),OR(D34="",AND(D34&gt;0,D34&lt;=lim_life_max)),OR(E34="",AND(E34&gt;0,E34&lt;=lim_gest_max)),MIN(F34:H34)&gt;=lim_idx_min,MAX(F34:H34)&lt;=lim_idx_max,OR(I34="",AND(I34&gt;0,I34&lt;=lim_sleep_max))),1,0)</f>
        <v>1</v>
      </c>
      <c r="P34">
        <f t="shared" ref="P34:P65" si="13">M34*O34</f>
        <v>1</v>
      </c>
    </row>
    <row r="35" spans="1:16" x14ac:dyDescent="0.25">
      <c r="A35">
        <f t="shared" si="7"/>
        <v>34</v>
      </c>
      <c r="B35">
        <f>IF(ISNUMBER(Raw_Data!A35),Raw_Data!A35,"")</f>
        <v>62</v>
      </c>
      <c r="C35">
        <f>IF(ISNUMBER(Raw_Data!B35),Raw_Data!B35,"")</f>
        <v>1320</v>
      </c>
      <c r="D35">
        <f>IF(ISNUMBER(Raw_Data!C35),Raw_Data!C35,"")</f>
        <v>100</v>
      </c>
      <c r="E35">
        <f>IF(ISNUMBER(Raw_Data!D35),Raw_Data!D35,"")</f>
        <v>267</v>
      </c>
      <c r="F35">
        <f>IF(ISNUMBER(Raw_Data!E35),Raw_Data!E35,"")</f>
        <v>1</v>
      </c>
      <c r="G35">
        <f>IF(ISNUMBER(Raw_Data!F35),Raw_Data!F35,"")</f>
        <v>1</v>
      </c>
      <c r="H35">
        <f>IF(ISNUMBER(Raw_Data!G35),Raw_Data!G35,"")</f>
        <v>1</v>
      </c>
      <c r="I35">
        <f>IF(ISNUMBER(Raw_Data!H35),Raw_Data!H35,"")</f>
        <v>8</v>
      </c>
      <c r="J35">
        <f t="shared" si="8"/>
        <v>0</v>
      </c>
      <c r="K35">
        <f>COUNTIF(Raw_Data!A35:H35,"~?")</f>
        <v>0</v>
      </c>
      <c r="L35">
        <f t="shared" si="9"/>
        <v>0</v>
      </c>
      <c r="M35">
        <f t="shared" si="10"/>
        <v>1</v>
      </c>
      <c r="N35">
        <f t="shared" si="11"/>
        <v>1</v>
      </c>
      <c r="O35">
        <f t="shared" si="12"/>
        <v>1</v>
      </c>
      <c r="P35">
        <f t="shared" si="13"/>
        <v>1</v>
      </c>
    </row>
    <row r="36" spans="1:16" x14ac:dyDescent="0.25">
      <c r="A36">
        <f t="shared" si="7"/>
        <v>35</v>
      </c>
      <c r="B36">
        <f>IF(ISNUMBER(Raw_Data!A36),Raw_Data!A36,"")</f>
        <v>0.122</v>
      </c>
      <c r="C36">
        <f>IF(ISNUMBER(Raw_Data!B36),Raw_Data!B36,"")</f>
        <v>3</v>
      </c>
      <c r="D36" t="str">
        <f>IF(ISNUMBER(Raw_Data!C36),Raw_Data!C36,"")</f>
        <v/>
      </c>
      <c r="E36">
        <f>IF(ISNUMBER(Raw_Data!D36),Raw_Data!D36,"")</f>
        <v>30</v>
      </c>
      <c r="F36">
        <f>IF(ISNUMBER(Raw_Data!E36),Raw_Data!E36,"")</f>
        <v>2</v>
      </c>
      <c r="G36">
        <f>IF(ISNUMBER(Raw_Data!F36),Raw_Data!F36,"")</f>
        <v>1</v>
      </c>
      <c r="H36">
        <f>IF(ISNUMBER(Raw_Data!G36),Raw_Data!G36,"")</f>
        <v>1</v>
      </c>
      <c r="I36">
        <f>IF(ISNUMBER(Raw_Data!H36),Raw_Data!H36,"")</f>
        <v>10.6</v>
      </c>
      <c r="J36">
        <f t="shared" si="8"/>
        <v>1</v>
      </c>
      <c r="K36">
        <f>COUNTIF(Raw_Data!A36:H36,"~?")</f>
        <v>1</v>
      </c>
      <c r="L36">
        <f t="shared" si="9"/>
        <v>0</v>
      </c>
      <c r="M36">
        <f t="shared" si="10"/>
        <v>1</v>
      </c>
      <c r="N36">
        <f t="shared" si="11"/>
        <v>0</v>
      </c>
      <c r="O36">
        <f t="shared" si="12"/>
        <v>1</v>
      </c>
      <c r="P36">
        <f t="shared" si="13"/>
        <v>1</v>
      </c>
    </row>
    <row r="37" spans="1:16" x14ac:dyDescent="0.25">
      <c r="A37">
        <f t="shared" si="7"/>
        <v>36</v>
      </c>
      <c r="B37">
        <f>IF(ISNUMBER(Raw_Data!A37),Raw_Data!A37,"")</f>
        <v>1.35</v>
      </c>
      <c r="C37">
        <f>IF(ISNUMBER(Raw_Data!B37),Raw_Data!B37,"")</f>
        <v>8.1</v>
      </c>
      <c r="D37" t="str">
        <f>IF(ISNUMBER(Raw_Data!C37),Raw_Data!C37,"")</f>
        <v/>
      </c>
      <c r="E37">
        <f>IF(ISNUMBER(Raw_Data!D37),Raw_Data!D37,"")</f>
        <v>45</v>
      </c>
      <c r="F37">
        <f>IF(ISNUMBER(Raw_Data!E37),Raw_Data!E37,"")</f>
        <v>3</v>
      </c>
      <c r="G37">
        <f>IF(ISNUMBER(Raw_Data!F37),Raw_Data!F37,"")</f>
        <v>1</v>
      </c>
      <c r="H37">
        <f>IF(ISNUMBER(Raw_Data!G37),Raw_Data!G37,"")</f>
        <v>3</v>
      </c>
      <c r="I37">
        <f>IF(ISNUMBER(Raw_Data!H37),Raw_Data!H37,"")</f>
        <v>11.2</v>
      </c>
      <c r="J37">
        <f t="shared" si="8"/>
        <v>1</v>
      </c>
      <c r="K37">
        <f>COUNTIF(Raw_Data!A37:H37,"~?")</f>
        <v>1</v>
      </c>
      <c r="L37">
        <f t="shared" si="9"/>
        <v>0</v>
      </c>
      <c r="M37">
        <f t="shared" si="10"/>
        <v>1</v>
      </c>
      <c r="N37">
        <f t="shared" si="11"/>
        <v>0</v>
      </c>
      <c r="O37">
        <f t="shared" si="12"/>
        <v>1</v>
      </c>
      <c r="P37">
        <f t="shared" si="13"/>
        <v>1</v>
      </c>
    </row>
    <row r="38" spans="1:16" x14ac:dyDescent="0.25">
      <c r="A38">
        <f t="shared" si="7"/>
        <v>37</v>
      </c>
      <c r="B38">
        <f>IF(ISNUMBER(Raw_Data!A38),Raw_Data!A38,"")</f>
        <v>2.3E-2</v>
      </c>
      <c r="C38">
        <f>IF(ISNUMBER(Raw_Data!B38),Raw_Data!B38,"")</f>
        <v>0.4</v>
      </c>
      <c r="D38">
        <f>IF(ISNUMBER(Raw_Data!C38),Raw_Data!C38,"")</f>
        <v>3.2</v>
      </c>
      <c r="E38">
        <f>IF(ISNUMBER(Raw_Data!D38),Raw_Data!D38,"")</f>
        <v>19</v>
      </c>
      <c r="F38">
        <f>IF(ISNUMBER(Raw_Data!E38),Raw_Data!E38,"")</f>
        <v>4</v>
      </c>
      <c r="G38">
        <f>IF(ISNUMBER(Raw_Data!F38),Raw_Data!F38,"")</f>
        <v>1</v>
      </c>
      <c r="H38">
        <f>IF(ISNUMBER(Raw_Data!G38),Raw_Data!G38,"")</f>
        <v>3</v>
      </c>
      <c r="I38">
        <f>IF(ISNUMBER(Raw_Data!H38),Raw_Data!H38,"")</f>
        <v>13.2</v>
      </c>
      <c r="J38">
        <f t="shared" si="8"/>
        <v>0</v>
      </c>
      <c r="K38">
        <f>COUNTIF(Raw_Data!A38:H38,"~?")</f>
        <v>0</v>
      </c>
      <c r="L38">
        <f t="shared" si="9"/>
        <v>0</v>
      </c>
      <c r="M38">
        <f t="shared" si="10"/>
        <v>1</v>
      </c>
      <c r="N38">
        <f t="shared" si="11"/>
        <v>1</v>
      </c>
      <c r="O38">
        <f t="shared" si="12"/>
        <v>1</v>
      </c>
      <c r="P38">
        <f t="shared" si="13"/>
        <v>1</v>
      </c>
    </row>
    <row r="39" spans="1:16" x14ac:dyDescent="0.25">
      <c r="A39">
        <f t="shared" si="7"/>
        <v>38</v>
      </c>
      <c r="B39">
        <f>IF(ISNUMBER(Raw_Data!A39),Raw_Data!A39,"")</f>
        <v>4.8000000000000001E-2</v>
      </c>
      <c r="C39">
        <f>IF(ISNUMBER(Raw_Data!B39),Raw_Data!B39,"")</f>
        <v>0.33</v>
      </c>
      <c r="D39">
        <f>IF(ISNUMBER(Raw_Data!C39),Raw_Data!C39,"")</f>
        <v>2</v>
      </c>
      <c r="E39">
        <f>IF(ISNUMBER(Raw_Data!D39),Raw_Data!D39,"")</f>
        <v>30</v>
      </c>
      <c r="F39">
        <f>IF(ISNUMBER(Raw_Data!E39),Raw_Data!E39,"")</f>
        <v>4</v>
      </c>
      <c r="G39">
        <f>IF(ISNUMBER(Raw_Data!F39),Raw_Data!F39,"")</f>
        <v>1</v>
      </c>
      <c r="H39">
        <f>IF(ISNUMBER(Raw_Data!G39),Raw_Data!G39,"")</f>
        <v>3</v>
      </c>
      <c r="I39">
        <f>IF(ISNUMBER(Raw_Data!H39),Raw_Data!H39,"")</f>
        <v>12.8</v>
      </c>
      <c r="J39">
        <f t="shared" si="8"/>
        <v>0</v>
      </c>
      <c r="K39">
        <f>COUNTIF(Raw_Data!A39:H39,"~?")</f>
        <v>0</v>
      </c>
      <c r="L39">
        <f t="shared" si="9"/>
        <v>0</v>
      </c>
      <c r="M39">
        <f t="shared" si="10"/>
        <v>1</v>
      </c>
      <c r="N39">
        <f t="shared" si="11"/>
        <v>1</v>
      </c>
      <c r="O39">
        <f t="shared" si="12"/>
        <v>1</v>
      </c>
      <c r="P39">
        <f t="shared" si="13"/>
        <v>1</v>
      </c>
    </row>
    <row r="40" spans="1:16" x14ac:dyDescent="0.25">
      <c r="A40">
        <f t="shared" si="7"/>
        <v>39</v>
      </c>
      <c r="B40">
        <f>IF(ISNUMBER(Raw_Data!A40),Raw_Data!A40,"")</f>
        <v>1.7</v>
      </c>
      <c r="C40">
        <f>IF(ISNUMBER(Raw_Data!B40),Raw_Data!B40,"")</f>
        <v>6.3</v>
      </c>
      <c r="D40">
        <f>IF(ISNUMBER(Raw_Data!C40),Raw_Data!C40,"")</f>
        <v>5</v>
      </c>
      <c r="E40">
        <f>IF(ISNUMBER(Raw_Data!D40),Raw_Data!D40,"")</f>
        <v>12</v>
      </c>
      <c r="F40">
        <f>IF(ISNUMBER(Raw_Data!E40),Raw_Data!E40,"")</f>
        <v>2</v>
      </c>
      <c r="G40">
        <f>IF(ISNUMBER(Raw_Data!F40),Raw_Data!F40,"")</f>
        <v>1</v>
      </c>
      <c r="H40">
        <f>IF(ISNUMBER(Raw_Data!G40),Raw_Data!G40,"")</f>
        <v>1</v>
      </c>
      <c r="I40">
        <f>IF(ISNUMBER(Raw_Data!H40),Raw_Data!H40,"")</f>
        <v>19.399999999999999</v>
      </c>
      <c r="J40">
        <f t="shared" si="8"/>
        <v>0</v>
      </c>
      <c r="K40">
        <f>COUNTIF(Raw_Data!A40:H40,"~?")</f>
        <v>0</v>
      </c>
      <c r="L40">
        <f t="shared" si="9"/>
        <v>0</v>
      </c>
      <c r="M40">
        <f t="shared" si="10"/>
        <v>1</v>
      </c>
      <c r="N40">
        <f t="shared" si="11"/>
        <v>1</v>
      </c>
      <c r="O40">
        <f t="shared" si="12"/>
        <v>1</v>
      </c>
      <c r="P40">
        <f t="shared" si="13"/>
        <v>1</v>
      </c>
    </row>
    <row r="41" spans="1:16" x14ac:dyDescent="0.25">
      <c r="A41">
        <f t="shared" si="7"/>
        <v>40</v>
      </c>
      <c r="B41">
        <f>IF(ISNUMBER(Raw_Data!A41),Raw_Data!A41,"")</f>
        <v>3.5</v>
      </c>
      <c r="C41">
        <f>IF(ISNUMBER(Raw_Data!B41),Raw_Data!B41,"")</f>
        <v>10.8</v>
      </c>
      <c r="D41">
        <f>IF(ISNUMBER(Raw_Data!C41),Raw_Data!C41,"")</f>
        <v>6.5</v>
      </c>
      <c r="E41">
        <f>IF(ISNUMBER(Raw_Data!D41),Raw_Data!D41,"")</f>
        <v>120</v>
      </c>
      <c r="F41">
        <f>IF(ISNUMBER(Raw_Data!E41),Raw_Data!E41,"")</f>
        <v>2</v>
      </c>
      <c r="G41">
        <f>IF(ISNUMBER(Raw_Data!F41),Raw_Data!F41,"")</f>
        <v>1</v>
      </c>
      <c r="H41">
        <f>IF(ISNUMBER(Raw_Data!G41),Raw_Data!G41,"")</f>
        <v>1</v>
      </c>
      <c r="I41">
        <f>IF(ISNUMBER(Raw_Data!H41),Raw_Data!H41,"")</f>
        <v>17.399999999999999</v>
      </c>
      <c r="J41">
        <f t="shared" si="8"/>
        <v>0</v>
      </c>
      <c r="K41">
        <f>COUNTIF(Raw_Data!A41:H41,"~?")</f>
        <v>0</v>
      </c>
      <c r="L41">
        <f t="shared" si="9"/>
        <v>0</v>
      </c>
      <c r="M41">
        <f t="shared" si="10"/>
        <v>1</v>
      </c>
      <c r="N41">
        <f t="shared" si="11"/>
        <v>1</v>
      </c>
      <c r="O41">
        <f t="shared" si="12"/>
        <v>1</v>
      </c>
      <c r="P41">
        <f t="shared" si="13"/>
        <v>1</v>
      </c>
    </row>
    <row r="42" spans="1:16" x14ac:dyDescent="0.25">
      <c r="A42">
        <f t="shared" si="7"/>
        <v>41</v>
      </c>
      <c r="B42">
        <f>IF(ISNUMBER(Raw_Data!A42),Raw_Data!A42,"")</f>
        <v>250</v>
      </c>
      <c r="C42">
        <f>IF(ISNUMBER(Raw_Data!B42),Raw_Data!B42,"")</f>
        <v>490</v>
      </c>
      <c r="D42">
        <f>IF(ISNUMBER(Raw_Data!C42),Raw_Data!C42,"")</f>
        <v>23.6</v>
      </c>
      <c r="E42">
        <f>IF(ISNUMBER(Raw_Data!D42),Raw_Data!D42,"")</f>
        <v>440</v>
      </c>
      <c r="F42">
        <f>IF(ISNUMBER(Raw_Data!E42),Raw_Data!E42,"")</f>
        <v>5</v>
      </c>
      <c r="G42">
        <f>IF(ISNUMBER(Raw_Data!F42),Raw_Data!F42,"")</f>
        <v>5</v>
      </c>
      <c r="H42">
        <f>IF(ISNUMBER(Raw_Data!G42),Raw_Data!G42,"")</f>
        <v>5</v>
      </c>
      <c r="I42" t="str">
        <f>IF(ISNUMBER(Raw_Data!H42),Raw_Data!H42,"")</f>
        <v/>
      </c>
      <c r="J42">
        <f t="shared" si="8"/>
        <v>1</v>
      </c>
      <c r="K42">
        <f>COUNTIF(Raw_Data!A42:H42,"~?")</f>
        <v>1</v>
      </c>
      <c r="L42">
        <f t="shared" si="9"/>
        <v>0</v>
      </c>
      <c r="M42">
        <f t="shared" si="10"/>
        <v>0</v>
      </c>
      <c r="N42">
        <f t="shared" si="11"/>
        <v>0</v>
      </c>
      <c r="O42">
        <f t="shared" si="12"/>
        <v>1</v>
      </c>
      <c r="P42">
        <f t="shared" si="13"/>
        <v>0</v>
      </c>
    </row>
    <row r="43" spans="1:16" x14ac:dyDescent="0.25">
      <c r="A43">
        <f t="shared" si="7"/>
        <v>42</v>
      </c>
      <c r="B43">
        <f>IF(ISNUMBER(Raw_Data!A43),Raw_Data!A43,"")</f>
        <v>0.48</v>
      </c>
      <c r="C43">
        <f>IF(ISNUMBER(Raw_Data!B43),Raw_Data!B43,"")</f>
        <v>15.5</v>
      </c>
      <c r="D43">
        <f>IF(ISNUMBER(Raw_Data!C43),Raw_Data!C43,"")</f>
        <v>12</v>
      </c>
      <c r="E43">
        <f>IF(ISNUMBER(Raw_Data!D43),Raw_Data!D43,"")</f>
        <v>140</v>
      </c>
      <c r="F43">
        <f>IF(ISNUMBER(Raw_Data!E43),Raw_Data!E43,"")</f>
        <v>2</v>
      </c>
      <c r="G43">
        <f>IF(ISNUMBER(Raw_Data!F43),Raw_Data!F43,"")</f>
        <v>2</v>
      </c>
      <c r="H43">
        <f>IF(ISNUMBER(Raw_Data!G43),Raw_Data!G43,"")</f>
        <v>2</v>
      </c>
      <c r="I43">
        <f>IF(ISNUMBER(Raw_Data!H43),Raw_Data!H43,"")</f>
        <v>17</v>
      </c>
      <c r="J43">
        <f t="shared" si="8"/>
        <v>0</v>
      </c>
      <c r="K43">
        <f>COUNTIF(Raw_Data!A43:H43,"~?")</f>
        <v>0</v>
      </c>
      <c r="L43">
        <f t="shared" si="9"/>
        <v>0</v>
      </c>
      <c r="M43">
        <f t="shared" si="10"/>
        <v>1</v>
      </c>
      <c r="N43">
        <f t="shared" si="11"/>
        <v>1</v>
      </c>
      <c r="O43">
        <f t="shared" si="12"/>
        <v>1</v>
      </c>
      <c r="P43">
        <f t="shared" si="13"/>
        <v>1</v>
      </c>
    </row>
    <row r="44" spans="1:16" x14ac:dyDescent="0.25">
      <c r="A44">
        <f t="shared" si="7"/>
        <v>43</v>
      </c>
      <c r="B44">
        <f>IF(ISNUMBER(Raw_Data!A44),Raw_Data!A44,"")</f>
        <v>10</v>
      </c>
      <c r="C44">
        <f>IF(ISNUMBER(Raw_Data!B44),Raw_Data!B44,"")</f>
        <v>115</v>
      </c>
      <c r="D44">
        <f>IF(ISNUMBER(Raw_Data!C44),Raw_Data!C44,"")</f>
        <v>20.2</v>
      </c>
      <c r="E44">
        <f>IF(ISNUMBER(Raw_Data!D44),Raw_Data!D44,"")</f>
        <v>170</v>
      </c>
      <c r="F44">
        <f>IF(ISNUMBER(Raw_Data!E44),Raw_Data!E44,"")</f>
        <v>4</v>
      </c>
      <c r="G44">
        <f>IF(ISNUMBER(Raw_Data!F44),Raw_Data!F44,"")</f>
        <v>4</v>
      </c>
      <c r="H44">
        <f>IF(ISNUMBER(Raw_Data!G44),Raw_Data!G44,"")</f>
        <v>4</v>
      </c>
      <c r="I44">
        <f>IF(ISNUMBER(Raw_Data!H44),Raw_Data!H44,"")</f>
        <v>10.9</v>
      </c>
      <c r="J44">
        <f t="shared" si="8"/>
        <v>0</v>
      </c>
      <c r="K44">
        <f>COUNTIF(Raw_Data!A44:H44,"~?")</f>
        <v>0</v>
      </c>
      <c r="L44">
        <f t="shared" si="9"/>
        <v>0</v>
      </c>
      <c r="M44">
        <f t="shared" si="10"/>
        <v>1</v>
      </c>
      <c r="N44">
        <f t="shared" si="11"/>
        <v>1</v>
      </c>
      <c r="O44">
        <f t="shared" si="12"/>
        <v>1</v>
      </c>
      <c r="P44">
        <f t="shared" si="13"/>
        <v>1</v>
      </c>
    </row>
    <row r="45" spans="1:16" x14ac:dyDescent="0.25">
      <c r="A45">
        <f t="shared" si="7"/>
        <v>44</v>
      </c>
      <c r="B45">
        <f>IF(ISNUMBER(Raw_Data!A45),Raw_Data!A45,"")</f>
        <v>1.62</v>
      </c>
      <c r="C45">
        <f>IF(ISNUMBER(Raw_Data!B45),Raw_Data!B45,"")</f>
        <v>11.4</v>
      </c>
      <c r="D45">
        <f>IF(ISNUMBER(Raw_Data!C45),Raw_Data!C45,"")</f>
        <v>13</v>
      </c>
      <c r="E45">
        <f>IF(ISNUMBER(Raw_Data!D45),Raw_Data!D45,"")</f>
        <v>17</v>
      </c>
      <c r="F45">
        <f>IF(ISNUMBER(Raw_Data!E45),Raw_Data!E45,"")</f>
        <v>2</v>
      </c>
      <c r="G45">
        <f>IF(ISNUMBER(Raw_Data!F45),Raw_Data!F45,"")</f>
        <v>1</v>
      </c>
      <c r="H45">
        <f>IF(ISNUMBER(Raw_Data!G45),Raw_Data!G45,"")</f>
        <v>2</v>
      </c>
      <c r="I45">
        <f>IF(ISNUMBER(Raw_Data!H45),Raw_Data!H45,"")</f>
        <v>13.7</v>
      </c>
      <c r="J45">
        <f t="shared" si="8"/>
        <v>0</v>
      </c>
      <c r="K45">
        <f>COUNTIF(Raw_Data!A45:H45,"~?")</f>
        <v>0</v>
      </c>
      <c r="L45">
        <f t="shared" si="9"/>
        <v>0</v>
      </c>
      <c r="M45">
        <f t="shared" si="10"/>
        <v>1</v>
      </c>
      <c r="N45">
        <f t="shared" si="11"/>
        <v>1</v>
      </c>
      <c r="O45">
        <f t="shared" si="12"/>
        <v>1</v>
      </c>
      <c r="P45">
        <f t="shared" si="13"/>
        <v>1</v>
      </c>
    </row>
    <row r="46" spans="1:16" x14ac:dyDescent="0.25">
      <c r="A46">
        <f t="shared" si="7"/>
        <v>45</v>
      </c>
      <c r="B46">
        <f>IF(ISNUMBER(Raw_Data!A46),Raw_Data!A46,"")</f>
        <v>192</v>
      </c>
      <c r="C46">
        <f>IF(ISNUMBER(Raw_Data!B46),Raw_Data!B46,"")</f>
        <v>180</v>
      </c>
      <c r="D46">
        <f>IF(ISNUMBER(Raw_Data!C46),Raw_Data!C46,"")</f>
        <v>27</v>
      </c>
      <c r="E46">
        <f>IF(ISNUMBER(Raw_Data!D46),Raw_Data!D46,"")</f>
        <v>115</v>
      </c>
      <c r="F46">
        <f>IF(ISNUMBER(Raw_Data!E46),Raw_Data!E46,"")</f>
        <v>4</v>
      </c>
      <c r="G46">
        <f>IF(ISNUMBER(Raw_Data!F46),Raw_Data!F46,"")</f>
        <v>4</v>
      </c>
      <c r="H46">
        <f>IF(ISNUMBER(Raw_Data!G46),Raw_Data!G46,"")</f>
        <v>4</v>
      </c>
      <c r="I46">
        <f>IF(ISNUMBER(Raw_Data!H46),Raw_Data!H46,"")</f>
        <v>8.4</v>
      </c>
      <c r="J46">
        <f t="shared" si="8"/>
        <v>0</v>
      </c>
      <c r="K46">
        <f>COUNTIF(Raw_Data!A46:H46,"~?")</f>
        <v>0</v>
      </c>
      <c r="L46">
        <f t="shared" si="9"/>
        <v>0</v>
      </c>
      <c r="M46">
        <f t="shared" si="10"/>
        <v>1</v>
      </c>
      <c r="N46">
        <f t="shared" si="11"/>
        <v>1</v>
      </c>
      <c r="O46">
        <f t="shared" si="12"/>
        <v>1</v>
      </c>
      <c r="P46">
        <f t="shared" si="13"/>
        <v>1</v>
      </c>
    </row>
    <row r="47" spans="1:16" x14ac:dyDescent="0.25">
      <c r="A47">
        <f t="shared" si="7"/>
        <v>46</v>
      </c>
      <c r="B47">
        <f>IF(ISNUMBER(Raw_Data!A47),Raw_Data!A47,"")</f>
        <v>2.5</v>
      </c>
      <c r="C47">
        <f>IF(ISNUMBER(Raw_Data!B47),Raw_Data!B47,"")</f>
        <v>12.1</v>
      </c>
      <c r="D47">
        <f>IF(ISNUMBER(Raw_Data!C47),Raw_Data!C47,"")</f>
        <v>18</v>
      </c>
      <c r="E47">
        <f>IF(ISNUMBER(Raw_Data!D47),Raw_Data!D47,"")</f>
        <v>31</v>
      </c>
      <c r="F47">
        <f>IF(ISNUMBER(Raw_Data!E47),Raw_Data!E47,"")</f>
        <v>5</v>
      </c>
      <c r="G47">
        <f>IF(ISNUMBER(Raw_Data!F47),Raw_Data!F47,"")</f>
        <v>5</v>
      </c>
      <c r="H47">
        <f>IF(ISNUMBER(Raw_Data!G47),Raw_Data!G47,"")</f>
        <v>5</v>
      </c>
      <c r="I47">
        <f>IF(ISNUMBER(Raw_Data!H47),Raw_Data!H47,"")</f>
        <v>8.4</v>
      </c>
      <c r="J47">
        <f t="shared" si="8"/>
        <v>0</v>
      </c>
      <c r="K47">
        <f>COUNTIF(Raw_Data!A47:H47,"~?")</f>
        <v>0</v>
      </c>
      <c r="L47">
        <f t="shared" si="9"/>
        <v>0</v>
      </c>
      <c r="M47">
        <f t="shared" si="10"/>
        <v>1</v>
      </c>
      <c r="N47">
        <f t="shared" si="11"/>
        <v>1</v>
      </c>
      <c r="O47">
        <f t="shared" si="12"/>
        <v>1</v>
      </c>
      <c r="P47">
        <f t="shared" si="13"/>
        <v>1</v>
      </c>
    </row>
    <row r="48" spans="1:16" x14ac:dyDescent="0.25">
      <c r="A48">
        <f t="shared" si="7"/>
        <v>47</v>
      </c>
      <c r="B48">
        <f>IF(ISNUMBER(Raw_Data!A48),Raw_Data!A48,"")</f>
        <v>4.2880000000000003</v>
      </c>
      <c r="C48">
        <f>IF(ISNUMBER(Raw_Data!B48),Raw_Data!B48,"")</f>
        <v>39.200000000000003</v>
      </c>
      <c r="D48">
        <f>IF(ISNUMBER(Raw_Data!C48),Raw_Data!C48,"")</f>
        <v>13.7</v>
      </c>
      <c r="E48">
        <f>IF(ISNUMBER(Raw_Data!D48),Raw_Data!D48,"")</f>
        <v>63</v>
      </c>
      <c r="F48">
        <f>IF(ISNUMBER(Raw_Data!E48),Raw_Data!E48,"")</f>
        <v>2</v>
      </c>
      <c r="G48">
        <f>IF(ISNUMBER(Raw_Data!F48),Raw_Data!F48,"")</f>
        <v>2</v>
      </c>
      <c r="H48">
        <f>IF(ISNUMBER(Raw_Data!G48),Raw_Data!G48,"")</f>
        <v>2</v>
      </c>
      <c r="I48">
        <f>IF(ISNUMBER(Raw_Data!H48),Raw_Data!H48,"")</f>
        <v>12.5</v>
      </c>
      <c r="J48">
        <f t="shared" si="8"/>
        <v>0</v>
      </c>
      <c r="K48">
        <f>COUNTIF(Raw_Data!A48:H48,"~?")</f>
        <v>0</v>
      </c>
      <c r="L48">
        <f t="shared" si="9"/>
        <v>0</v>
      </c>
      <c r="M48">
        <f t="shared" si="10"/>
        <v>1</v>
      </c>
      <c r="N48">
        <f t="shared" si="11"/>
        <v>1</v>
      </c>
      <c r="O48">
        <f t="shared" si="12"/>
        <v>1</v>
      </c>
      <c r="P48">
        <f t="shared" si="13"/>
        <v>1</v>
      </c>
    </row>
    <row r="49" spans="1:16" x14ac:dyDescent="0.25">
      <c r="A49">
        <f t="shared" si="7"/>
        <v>48</v>
      </c>
      <c r="B49">
        <f>IF(ISNUMBER(Raw_Data!A49),Raw_Data!A49,"")</f>
        <v>0.28000000000000003</v>
      </c>
      <c r="C49">
        <f>IF(ISNUMBER(Raw_Data!B49),Raw_Data!B49,"")</f>
        <v>1.9</v>
      </c>
      <c r="D49">
        <f>IF(ISNUMBER(Raw_Data!C49),Raw_Data!C49,"")</f>
        <v>4.7</v>
      </c>
      <c r="E49">
        <f>IF(ISNUMBER(Raw_Data!D49),Raw_Data!D49,"")</f>
        <v>21</v>
      </c>
      <c r="F49">
        <f>IF(ISNUMBER(Raw_Data!E49),Raw_Data!E49,"")</f>
        <v>3</v>
      </c>
      <c r="G49">
        <f>IF(ISNUMBER(Raw_Data!F49),Raw_Data!F49,"")</f>
        <v>1</v>
      </c>
      <c r="H49">
        <f>IF(ISNUMBER(Raw_Data!G49),Raw_Data!G49,"")</f>
        <v>3</v>
      </c>
      <c r="I49">
        <f>IF(ISNUMBER(Raw_Data!H49),Raw_Data!H49,"")</f>
        <v>13.2</v>
      </c>
      <c r="J49">
        <f t="shared" si="8"/>
        <v>0</v>
      </c>
      <c r="K49">
        <f>COUNTIF(Raw_Data!A49:H49,"~?")</f>
        <v>0</v>
      </c>
      <c r="L49">
        <f t="shared" si="9"/>
        <v>0</v>
      </c>
      <c r="M49">
        <f t="shared" si="10"/>
        <v>1</v>
      </c>
      <c r="N49">
        <f t="shared" si="11"/>
        <v>1</v>
      </c>
      <c r="O49">
        <f t="shared" si="12"/>
        <v>1</v>
      </c>
      <c r="P49">
        <f t="shared" si="13"/>
        <v>1</v>
      </c>
    </row>
    <row r="50" spans="1:16" x14ac:dyDescent="0.25">
      <c r="A50">
        <f t="shared" si="7"/>
        <v>49</v>
      </c>
      <c r="B50">
        <f>IF(ISNUMBER(Raw_Data!A50),Raw_Data!A50,"")</f>
        <v>4.2350000000000003</v>
      </c>
      <c r="C50">
        <f>IF(ISNUMBER(Raw_Data!B50),Raw_Data!B50,"")</f>
        <v>50.4</v>
      </c>
      <c r="D50">
        <f>IF(ISNUMBER(Raw_Data!C50),Raw_Data!C50,"")</f>
        <v>9.8000000000000007</v>
      </c>
      <c r="E50">
        <f>IF(ISNUMBER(Raw_Data!D50),Raw_Data!D50,"")</f>
        <v>52</v>
      </c>
      <c r="F50">
        <f>IF(ISNUMBER(Raw_Data!E50),Raw_Data!E50,"")</f>
        <v>1</v>
      </c>
      <c r="G50">
        <f>IF(ISNUMBER(Raw_Data!F50),Raw_Data!F50,"")</f>
        <v>1</v>
      </c>
      <c r="H50">
        <f>IF(ISNUMBER(Raw_Data!G50),Raw_Data!G50,"")</f>
        <v>1</v>
      </c>
      <c r="I50">
        <f>IF(ISNUMBER(Raw_Data!H50),Raw_Data!H50,"")</f>
        <v>9.8000000000000007</v>
      </c>
      <c r="J50">
        <f t="shared" si="8"/>
        <v>0</v>
      </c>
      <c r="K50">
        <f>COUNTIF(Raw_Data!A50:H50,"~?")</f>
        <v>0</v>
      </c>
      <c r="L50">
        <f t="shared" si="9"/>
        <v>0</v>
      </c>
      <c r="M50">
        <f t="shared" si="10"/>
        <v>1</v>
      </c>
      <c r="N50">
        <f t="shared" si="11"/>
        <v>1</v>
      </c>
      <c r="O50">
        <f t="shared" si="12"/>
        <v>1</v>
      </c>
      <c r="P50">
        <f t="shared" si="13"/>
        <v>1</v>
      </c>
    </row>
    <row r="51" spans="1:16" x14ac:dyDescent="0.25">
      <c r="A51">
        <f t="shared" si="7"/>
        <v>50</v>
      </c>
      <c r="B51">
        <f>IF(ISNUMBER(Raw_Data!A51),Raw_Data!A51,"")</f>
        <v>6.8</v>
      </c>
      <c r="C51">
        <f>IF(ISNUMBER(Raw_Data!B51),Raw_Data!B51,"")</f>
        <v>179</v>
      </c>
      <c r="D51">
        <f>IF(ISNUMBER(Raw_Data!C51),Raw_Data!C51,"")</f>
        <v>29</v>
      </c>
      <c r="E51">
        <f>IF(ISNUMBER(Raw_Data!D51),Raw_Data!D51,"")</f>
        <v>164</v>
      </c>
      <c r="F51">
        <f>IF(ISNUMBER(Raw_Data!E51),Raw_Data!E51,"")</f>
        <v>2</v>
      </c>
      <c r="G51">
        <f>IF(ISNUMBER(Raw_Data!F51),Raw_Data!F51,"")</f>
        <v>3</v>
      </c>
      <c r="H51">
        <f>IF(ISNUMBER(Raw_Data!G51),Raw_Data!G51,"")</f>
        <v>2</v>
      </c>
      <c r="I51">
        <f>IF(ISNUMBER(Raw_Data!H51),Raw_Data!H51,"")</f>
        <v>9.6</v>
      </c>
      <c r="J51">
        <f t="shared" si="8"/>
        <v>0</v>
      </c>
      <c r="K51">
        <f>COUNTIF(Raw_Data!A51:H51,"~?")</f>
        <v>0</v>
      </c>
      <c r="L51">
        <f t="shared" si="9"/>
        <v>0</v>
      </c>
      <c r="M51">
        <f t="shared" si="10"/>
        <v>1</v>
      </c>
      <c r="N51">
        <f t="shared" si="11"/>
        <v>1</v>
      </c>
      <c r="O51">
        <f t="shared" si="12"/>
        <v>1</v>
      </c>
      <c r="P51">
        <f t="shared" si="13"/>
        <v>1</v>
      </c>
    </row>
    <row r="52" spans="1:16" x14ac:dyDescent="0.25">
      <c r="A52">
        <f t="shared" si="7"/>
        <v>51</v>
      </c>
      <c r="B52">
        <f>IF(ISNUMBER(Raw_Data!A52),Raw_Data!A52,"")</f>
        <v>0.75</v>
      </c>
      <c r="C52">
        <f>IF(ISNUMBER(Raw_Data!B52),Raw_Data!B52,"")</f>
        <v>12.3</v>
      </c>
      <c r="D52">
        <f>IF(ISNUMBER(Raw_Data!C52),Raw_Data!C52,"")</f>
        <v>7</v>
      </c>
      <c r="E52">
        <f>IF(ISNUMBER(Raw_Data!D52),Raw_Data!D52,"")</f>
        <v>225</v>
      </c>
      <c r="F52">
        <f>IF(ISNUMBER(Raw_Data!E52),Raw_Data!E52,"")</f>
        <v>2</v>
      </c>
      <c r="G52">
        <f>IF(ISNUMBER(Raw_Data!F52),Raw_Data!F52,"")</f>
        <v>2</v>
      </c>
      <c r="H52">
        <f>IF(ISNUMBER(Raw_Data!G52),Raw_Data!G52,"")</f>
        <v>2</v>
      </c>
      <c r="I52">
        <f>IF(ISNUMBER(Raw_Data!H52),Raw_Data!H52,"")</f>
        <v>6.6</v>
      </c>
      <c r="J52">
        <f t="shared" si="8"/>
        <v>0</v>
      </c>
      <c r="K52">
        <f>COUNTIF(Raw_Data!A52:H52,"~?")</f>
        <v>0</v>
      </c>
      <c r="L52">
        <f t="shared" si="9"/>
        <v>0</v>
      </c>
      <c r="M52">
        <f t="shared" si="10"/>
        <v>1</v>
      </c>
      <c r="N52">
        <f t="shared" si="11"/>
        <v>1</v>
      </c>
      <c r="O52">
        <f t="shared" si="12"/>
        <v>1</v>
      </c>
      <c r="P52">
        <f t="shared" si="13"/>
        <v>1</v>
      </c>
    </row>
    <row r="53" spans="1:16" x14ac:dyDescent="0.25">
      <c r="A53">
        <f t="shared" si="7"/>
        <v>52</v>
      </c>
      <c r="B53">
        <f>IF(ISNUMBER(Raw_Data!A53),Raw_Data!A53,"")</f>
        <v>3.6</v>
      </c>
      <c r="C53">
        <f>IF(ISNUMBER(Raw_Data!B53),Raw_Data!B53,"")</f>
        <v>21</v>
      </c>
      <c r="D53">
        <f>IF(ISNUMBER(Raw_Data!C53),Raw_Data!C53,"")</f>
        <v>6</v>
      </c>
      <c r="E53">
        <f>IF(ISNUMBER(Raw_Data!D53),Raw_Data!D53,"")</f>
        <v>225</v>
      </c>
      <c r="F53">
        <f>IF(ISNUMBER(Raw_Data!E53),Raw_Data!E53,"")</f>
        <v>3</v>
      </c>
      <c r="G53">
        <f>IF(ISNUMBER(Raw_Data!F53),Raw_Data!F53,"")</f>
        <v>2</v>
      </c>
      <c r="H53">
        <f>IF(ISNUMBER(Raw_Data!G53),Raw_Data!G53,"")</f>
        <v>3</v>
      </c>
      <c r="I53">
        <f>IF(ISNUMBER(Raw_Data!H53),Raw_Data!H53,"")</f>
        <v>5.4</v>
      </c>
      <c r="J53">
        <f t="shared" si="8"/>
        <v>0</v>
      </c>
      <c r="K53">
        <f>COUNTIF(Raw_Data!A53:H53,"~?")</f>
        <v>0</v>
      </c>
      <c r="L53">
        <f t="shared" si="9"/>
        <v>0</v>
      </c>
      <c r="M53">
        <f t="shared" si="10"/>
        <v>1</v>
      </c>
      <c r="N53">
        <f t="shared" si="11"/>
        <v>1</v>
      </c>
      <c r="O53">
        <f t="shared" si="12"/>
        <v>1</v>
      </c>
      <c r="P53">
        <f t="shared" si="13"/>
        <v>1</v>
      </c>
    </row>
    <row r="54" spans="1:16" x14ac:dyDescent="0.25">
      <c r="A54">
        <f t="shared" si="7"/>
        <v>53</v>
      </c>
      <c r="B54">
        <f>IF(ISNUMBER(Raw_Data!A54),Raw_Data!A54,"")</f>
        <v>14.83</v>
      </c>
      <c r="C54">
        <f>IF(ISNUMBER(Raw_Data!B54),Raw_Data!B54,"")</f>
        <v>98.2</v>
      </c>
      <c r="D54">
        <f>IF(ISNUMBER(Raw_Data!C54),Raw_Data!C54,"")</f>
        <v>17</v>
      </c>
      <c r="E54">
        <f>IF(ISNUMBER(Raw_Data!D54),Raw_Data!D54,"")</f>
        <v>150</v>
      </c>
      <c r="F54">
        <f>IF(ISNUMBER(Raw_Data!E54),Raw_Data!E54,"")</f>
        <v>5</v>
      </c>
      <c r="G54">
        <f>IF(ISNUMBER(Raw_Data!F54),Raw_Data!F54,"")</f>
        <v>5</v>
      </c>
      <c r="H54">
        <f>IF(ISNUMBER(Raw_Data!G54),Raw_Data!G54,"")</f>
        <v>5</v>
      </c>
      <c r="I54">
        <f>IF(ISNUMBER(Raw_Data!H54),Raw_Data!H54,"")</f>
        <v>2.6</v>
      </c>
      <c r="J54">
        <f t="shared" si="8"/>
        <v>0</v>
      </c>
      <c r="K54">
        <f>COUNTIF(Raw_Data!A54:H54,"~?")</f>
        <v>0</v>
      </c>
      <c r="L54">
        <f t="shared" si="9"/>
        <v>0</v>
      </c>
      <c r="M54">
        <f t="shared" si="10"/>
        <v>1</v>
      </c>
      <c r="N54">
        <f t="shared" si="11"/>
        <v>1</v>
      </c>
      <c r="O54">
        <f t="shared" si="12"/>
        <v>1</v>
      </c>
      <c r="P54">
        <f t="shared" si="13"/>
        <v>1</v>
      </c>
    </row>
    <row r="55" spans="1:16" x14ac:dyDescent="0.25">
      <c r="A55">
        <f t="shared" si="7"/>
        <v>54</v>
      </c>
      <c r="B55">
        <f>IF(ISNUMBER(Raw_Data!A55),Raw_Data!A55,"")</f>
        <v>55.5</v>
      </c>
      <c r="C55">
        <f>IF(ISNUMBER(Raw_Data!B55),Raw_Data!B55,"")</f>
        <v>175</v>
      </c>
      <c r="D55">
        <f>IF(ISNUMBER(Raw_Data!C55),Raw_Data!C55,"")</f>
        <v>20</v>
      </c>
      <c r="E55">
        <f>IF(ISNUMBER(Raw_Data!D55),Raw_Data!D55,"")</f>
        <v>151</v>
      </c>
      <c r="F55">
        <f>IF(ISNUMBER(Raw_Data!E55),Raw_Data!E55,"")</f>
        <v>5</v>
      </c>
      <c r="G55">
        <f>IF(ISNUMBER(Raw_Data!F55),Raw_Data!F55,"")</f>
        <v>5</v>
      </c>
      <c r="H55">
        <f>IF(ISNUMBER(Raw_Data!G55),Raw_Data!G55,"")</f>
        <v>5</v>
      </c>
      <c r="I55">
        <f>IF(ISNUMBER(Raw_Data!H55),Raw_Data!H55,"")</f>
        <v>3.8</v>
      </c>
      <c r="J55">
        <f t="shared" si="8"/>
        <v>0</v>
      </c>
      <c r="K55">
        <f>COUNTIF(Raw_Data!A55:H55,"~?")</f>
        <v>0</v>
      </c>
      <c r="L55">
        <f t="shared" si="9"/>
        <v>0</v>
      </c>
      <c r="M55">
        <f t="shared" si="10"/>
        <v>1</v>
      </c>
      <c r="N55">
        <f t="shared" si="11"/>
        <v>1</v>
      </c>
      <c r="O55">
        <f t="shared" si="12"/>
        <v>1</v>
      </c>
      <c r="P55">
        <f t="shared" si="13"/>
        <v>1</v>
      </c>
    </row>
    <row r="56" spans="1:16" x14ac:dyDescent="0.25">
      <c r="A56">
        <f t="shared" si="7"/>
        <v>55</v>
      </c>
      <c r="B56">
        <f>IF(ISNUMBER(Raw_Data!A56),Raw_Data!A56,"")</f>
        <v>1.4</v>
      </c>
      <c r="C56">
        <f>IF(ISNUMBER(Raw_Data!B56),Raw_Data!B56,"")</f>
        <v>12.5</v>
      </c>
      <c r="D56">
        <f>IF(ISNUMBER(Raw_Data!C56),Raw_Data!C56,"")</f>
        <v>12.7</v>
      </c>
      <c r="E56">
        <f>IF(ISNUMBER(Raw_Data!D56),Raw_Data!D56,"")</f>
        <v>90</v>
      </c>
      <c r="F56">
        <f>IF(ISNUMBER(Raw_Data!E56),Raw_Data!E56,"")</f>
        <v>2</v>
      </c>
      <c r="G56">
        <f>IF(ISNUMBER(Raw_Data!F56),Raw_Data!F56,"")</f>
        <v>2</v>
      </c>
      <c r="H56">
        <f>IF(ISNUMBER(Raw_Data!G56),Raw_Data!G56,"")</f>
        <v>2</v>
      </c>
      <c r="I56">
        <f>IF(ISNUMBER(Raw_Data!H56),Raw_Data!H56,"")</f>
        <v>11</v>
      </c>
      <c r="J56">
        <f t="shared" si="8"/>
        <v>0</v>
      </c>
      <c r="K56">
        <f>COUNTIF(Raw_Data!A56:H56,"~?")</f>
        <v>0</v>
      </c>
      <c r="L56">
        <f t="shared" si="9"/>
        <v>0</v>
      </c>
      <c r="M56">
        <f t="shared" si="10"/>
        <v>1</v>
      </c>
      <c r="N56">
        <f t="shared" si="11"/>
        <v>1</v>
      </c>
      <c r="O56">
        <f t="shared" si="12"/>
        <v>1</v>
      </c>
      <c r="P56">
        <f t="shared" si="13"/>
        <v>1</v>
      </c>
    </row>
    <row r="57" spans="1:16" x14ac:dyDescent="0.25">
      <c r="A57">
        <f t="shared" si="7"/>
        <v>56</v>
      </c>
      <c r="B57">
        <f>IF(ISNUMBER(Raw_Data!A57),Raw_Data!A57,"")</f>
        <v>0.06</v>
      </c>
      <c r="C57">
        <f>IF(ISNUMBER(Raw_Data!B57),Raw_Data!B57,"")</f>
        <v>1</v>
      </c>
      <c r="D57">
        <f>IF(ISNUMBER(Raw_Data!C57),Raw_Data!C57,"")</f>
        <v>3.5</v>
      </c>
      <c r="E57" t="str">
        <f>IF(ISNUMBER(Raw_Data!D57),Raw_Data!D57,"")</f>
        <v/>
      </c>
      <c r="F57">
        <f>IF(ISNUMBER(Raw_Data!E57),Raw_Data!E57,"")</f>
        <v>3</v>
      </c>
      <c r="G57">
        <f>IF(ISNUMBER(Raw_Data!F57),Raw_Data!F57,"")</f>
        <v>1</v>
      </c>
      <c r="H57">
        <f>IF(ISNUMBER(Raw_Data!G57),Raw_Data!G57,"")</f>
        <v>2</v>
      </c>
      <c r="I57">
        <f>IF(ISNUMBER(Raw_Data!H57),Raw_Data!H57,"")</f>
        <v>10.3</v>
      </c>
      <c r="J57">
        <f t="shared" si="8"/>
        <v>1</v>
      </c>
      <c r="K57">
        <f>COUNTIF(Raw_Data!A57:H57,"~?")</f>
        <v>1</v>
      </c>
      <c r="L57">
        <f t="shared" si="9"/>
        <v>0</v>
      </c>
      <c r="M57">
        <f t="shared" si="10"/>
        <v>1</v>
      </c>
      <c r="N57">
        <f t="shared" si="11"/>
        <v>0</v>
      </c>
      <c r="O57">
        <f t="shared" si="12"/>
        <v>1</v>
      </c>
      <c r="P57">
        <f t="shared" si="13"/>
        <v>1</v>
      </c>
    </row>
    <row r="58" spans="1:16" x14ac:dyDescent="0.25">
      <c r="A58">
        <f t="shared" si="7"/>
        <v>57</v>
      </c>
      <c r="B58">
        <f>IF(ISNUMBER(Raw_Data!A58),Raw_Data!A58,"")</f>
        <v>0.9</v>
      </c>
      <c r="C58">
        <f>IF(ISNUMBER(Raw_Data!B58),Raw_Data!B58,"")</f>
        <v>2.6</v>
      </c>
      <c r="D58">
        <f>IF(ISNUMBER(Raw_Data!C58),Raw_Data!C58,"")</f>
        <v>4.5</v>
      </c>
      <c r="E58">
        <f>IF(ISNUMBER(Raw_Data!D58),Raw_Data!D58,"")</f>
        <v>60</v>
      </c>
      <c r="F58">
        <f>IF(ISNUMBER(Raw_Data!E58),Raw_Data!E58,"")</f>
        <v>2</v>
      </c>
      <c r="G58">
        <f>IF(ISNUMBER(Raw_Data!F58),Raw_Data!F58,"")</f>
        <v>1</v>
      </c>
      <c r="H58">
        <f>IF(ISNUMBER(Raw_Data!G58),Raw_Data!G58,"")</f>
        <v>2</v>
      </c>
      <c r="I58">
        <f>IF(ISNUMBER(Raw_Data!H58),Raw_Data!H58,"")</f>
        <v>13.3</v>
      </c>
      <c r="J58">
        <f t="shared" si="8"/>
        <v>0</v>
      </c>
      <c r="K58">
        <f>COUNTIF(Raw_Data!A58:H58,"~?")</f>
        <v>0</v>
      </c>
      <c r="L58">
        <f t="shared" si="9"/>
        <v>0</v>
      </c>
      <c r="M58">
        <f t="shared" si="10"/>
        <v>1</v>
      </c>
      <c r="N58">
        <f t="shared" si="11"/>
        <v>1</v>
      </c>
      <c r="O58">
        <f t="shared" si="12"/>
        <v>1</v>
      </c>
      <c r="P58">
        <f t="shared" si="13"/>
        <v>1</v>
      </c>
    </row>
    <row r="59" spans="1:16" x14ac:dyDescent="0.25">
      <c r="A59">
        <f t="shared" si="7"/>
        <v>58</v>
      </c>
      <c r="B59">
        <f>IF(ISNUMBER(Raw_Data!A59),Raw_Data!A59,"")</f>
        <v>2</v>
      </c>
      <c r="C59">
        <f>IF(ISNUMBER(Raw_Data!B59),Raw_Data!B59,"")</f>
        <v>12.3</v>
      </c>
      <c r="D59">
        <f>IF(ISNUMBER(Raw_Data!C59),Raw_Data!C59,"")</f>
        <v>7.5</v>
      </c>
      <c r="E59">
        <f>IF(ISNUMBER(Raw_Data!D59),Raw_Data!D59,"")</f>
        <v>200</v>
      </c>
      <c r="F59">
        <f>IF(ISNUMBER(Raw_Data!E59),Raw_Data!E59,"")</f>
        <v>3</v>
      </c>
      <c r="G59">
        <f>IF(ISNUMBER(Raw_Data!F59),Raw_Data!F59,"")</f>
        <v>1</v>
      </c>
      <c r="H59">
        <f>IF(ISNUMBER(Raw_Data!G59),Raw_Data!G59,"")</f>
        <v>3</v>
      </c>
      <c r="I59">
        <f>IF(ISNUMBER(Raw_Data!H59),Raw_Data!H59,"")</f>
        <v>5.4</v>
      </c>
      <c r="J59">
        <f t="shared" si="8"/>
        <v>0</v>
      </c>
      <c r="K59">
        <f>COUNTIF(Raw_Data!A59:H59,"~?")</f>
        <v>0</v>
      </c>
      <c r="L59">
        <f t="shared" si="9"/>
        <v>0</v>
      </c>
      <c r="M59">
        <f t="shared" si="10"/>
        <v>1</v>
      </c>
      <c r="N59">
        <f t="shared" si="11"/>
        <v>1</v>
      </c>
      <c r="O59">
        <f t="shared" si="12"/>
        <v>1</v>
      </c>
      <c r="P59">
        <f t="shared" si="13"/>
        <v>1</v>
      </c>
    </row>
    <row r="60" spans="1:16" x14ac:dyDescent="0.25">
      <c r="A60">
        <f t="shared" si="7"/>
        <v>59</v>
      </c>
      <c r="B60">
        <f>IF(ISNUMBER(Raw_Data!A60),Raw_Data!A60,"")</f>
        <v>0.104</v>
      </c>
      <c r="C60">
        <f>IF(ISNUMBER(Raw_Data!B60),Raw_Data!B60,"")</f>
        <v>2.5</v>
      </c>
      <c r="D60">
        <f>IF(ISNUMBER(Raw_Data!C60),Raw_Data!C60,"")</f>
        <v>2.2999999999999998</v>
      </c>
      <c r="E60">
        <f>IF(ISNUMBER(Raw_Data!D60),Raw_Data!D60,"")</f>
        <v>46</v>
      </c>
      <c r="F60">
        <f>IF(ISNUMBER(Raw_Data!E60),Raw_Data!E60,"")</f>
        <v>3</v>
      </c>
      <c r="G60">
        <f>IF(ISNUMBER(Raw_Data!F60),Raw_Data!F60,"")</f>
        <v>2</v>
      </c>
      <c r="H60">
        <f>IF(ISNUMBER(Raw_Data!G60),Raw_Data!G60,"")</f>
        <v>2</v>
      </c>
      <c r="I60">
        <f>IF(ISNUMBER(Raw_Data!H60),Raw_Data!H60,"")</f>
        <v>15.8</v>
      </c>
      <c r="J60">
        <f t="shared" si="8"/>
        <v>0</v>
      </c>
      <c r="K60">
        <f>COUNTIF(Raw_Data!A60:H60,"~?")</f>
        <v>0</v>
      </c>
      <c r="L60">
        <f t="shared" si="9"/>
        <v>0</v>
      </c>
      <c r="M60">
        <f t="shared" si="10"/>
        <v>1</v>
      </c>
      <c r="N60">
        <f t="shared" si="11"/>
        <v>1</v>
      </c>
      <c r="O60">
        <f t="shared" si="12"/>
        <v>1</v>
      </c>
      <c r="P60">
        <f t="shared" si="13"/>
        <v>1</v>
      </c>
    </row>
    <row r="61" spans="1:16" x14ac:dyDescent="0.25">
      <c r="A61">
        <f t="shared" si="7"/>
        <v>60</v>
      </c>
      <c r="B61">
        <f>IF(ISNUMBER(Raw_Data!A61),Raw_Data!A61,"")</f>
        <v>4.1900000000000004</v>
      </c>
      <c r="C61">
        <f>IF(ISNUMBER(Raw_Data!B61),Raw_Data!B61,"")</f>
        <v>58</v>
      </c>
      <c r="D61">
        <f>IF(ISNUMBER(Raw_Data!C61),Raw_Data!C61,"")</f>
        <v>24</v>
      </c>
      <c r="E61">
        <f>IF(ISNUMBER(Raw_Data!D61),Raw_Data!D61,"")</f>
        <v>210</v>
      </c>
      <c r="F61">
        <f>IF(ISNUMBER(Raw_Data!E61),Raw_Data!E61,"")</f>
        <v>4</v>
      </c>
      <c r="G61">
        <f>IF(ISNUMBER(Raw_Data!F61),Raw_Data!F61,"")</f>
        <v>3</v>
      </c>
      <c r="H61">
        <f>IF(ISNUMBER(Raw_Data!G61),Raw_Data!G61,"")</f>
        <v>4</v>
      </c>
      <c r="I61">
        <f>IF(ISNUMBER(Raw_Data!H61),Raw_Data!H61,"")</f>
        <v>10.3</v>
      </c>
      <c r="J61">
        <f t="shared" si="8"/>
        <v>0</v>
      </c>
      <c r="K61">
        <f>COUNTIF(Raw_Data!A61:H61,"~?")</f>
        <v>0</v>
      </c>
      <c r="L61">
        <f t="shared" si="9"/>
        <v>0</v>
      </c>
      <c r="M61">
        <f t="shared" si="10"/>
        <v>1</v>
      </c>
      <c r="N61">
        <f t="shared" si="11"/>
        <v>1</v>
      </c>
      <c r="O61">
        <f t="shared" si="12"/>
        <v>1</v>
      </c>
      <c r="P61">
        <f t="shared" si="13"/>
        <v>1</v>
      </c>
    </row>
    <row r="62" spans="1:16" x14ac:dyDescent="0.25">
      <c r="A62">
        <f t="shared" si="7"/>
        <v>61</v>
      </c>
      <c r="B62">
        <f>IF(ISNUMBER(Raw_Data!A62),Raw_Data!A62,"")</f>
        <v>3.5</v>
      </c>
      <c r="C62">
        <f>IF(ISNUMBER(Raw_Data!B62),Raw_Data!B62,"")</f>
        <v>3.9</v>
      </c>
      <c r="D62">
        <f>IF(ISNUMBER(Raw_Data!C62),Raw_Data!C62,"")</f>
        <v>3</v>
      </c>
      <c r="E62">
        <f>IF(ISNUMBER(Raw_Data!D62),Raw_Data!D62,"")</f>
        <v>14</v>
      </c>
      <c r="F62">
        <f>IF(ISNUMBER(Raw_Data!E62),Raw_Data!E62,"")</f>
        <v>2</v>
      </c>
      <c r="G62">
        <f>IF(ISNUMBER(Raw_Data!F62),Raw_Data!F62,"")</f>
        <v>1</v>
      </c>
      <c r="H62">
        <f>IF(ISNUMBER(Raw_Data!G62),Raw_Data!G62,"")</f>
        <v>1</v>
      </c>
      <c r="I62">
        <f>IF(ISNUMBER(Raw_Data!H62),Raw_Data!H62,"")</f>
        <v>19.399999999999999</v>
      </c>
      <c r="J62">
        <f t="shared" si="8"/>
        <v>0</v>
      </c>
      <c r="K62">
        <f>COUNTIF(Raw_Data!A62:H62,"~?")</f>
        <v>0</v>
      </c>
      <c r="L62">
        <f t="shared" si="9"/>
        <v>0</v>
      </c>
      <c r="M62">
        <f t="shared" si="10"/>
        <v>1</v>
      </c>
      <c r="N62">
        <f t="shared" si="11"/>
        <v>1</v>
      </c>
      <c r="O62">
        <f t="shared" si="12"/>
        <v>1</v>
      </c>
      <c r="P62">
        <f t="shared" si="13"/>
        <v>1</v>
      </c>
    </row>
    <row r="63" spans="1:16" x14ac:dyDescent="0.25">
      <c r="A63">
        <f t="shared" si="7"/>
        <v>62</v>
      </c>
      <c r="B63">
        <f>IF(ISNUMBER(Raw_Data!A63),Raw_Data!A63,"")</f>
        <v>4.05</v>
      </c>
      <c r="C63">
        <f>IF(ISNUMBER(Raw_Data!B63),Raw_Data!B63,"")</f>
        <v>17</v>
      </c>
      <c r="D63">
        <f>IF(ISNUMBER(Raw_Data!C63),Raw_Data!C63,"")</f>
        <v>13</v>
      </c>
      <c r="E63">
        <f>IF(ISNUMBER(Raw_Data!D63),Raw_Data!D63,"")</f>
        <v>38</v>
      </c>
      <c r="F63">
        <f>IF(ISNUMBER(Raw_Data!E63),Raw_Data!E63,"")</f>
        <v>3</v>
      </c>
      <c r="G63">
        <f>IF(ISNUMBER(Raw_Data!F63),Raw_Data!F63,"")</f>
        <v>1</v>
      </c>
      <c r="H63">
        <f>IF(ISNUMBER(Raw_Data!G63),Raw_Data!G63,"")</f>
        <v>1</v>
      </c>
      <c r="I63" t="str">
        <f>IF(ISNUMBER(Raw_Data!H63),Raw_Data!H63,"")</f>
        <v/>
      </c>
      <c r="J63">
        <f t="shared" si="8"/>
        <v>1</v>
      </c>
      <c r="K63">
        <f>COUNTIF(Raw_Data!A63:H63,"~?")</f>
        <v>1</v>
      </c>
      <c r="L63">
        <f t="shared" si="9"/>
        <v>0</v>
      </c>
      <c r="M63">
        <f t="shared" si="10"/>
        <v>0</v>
      </c>
      <c r="N63">
        <f t="shared" si="11"/>
        <v>0</v>
      </c>
      <c r="O63">
        <f t="shared" si="12"/>
        <v>1</v>
      </c>
      <c r="P63">
        <f t="shared" si="13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M6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2.5" x14ac:dyDescent="0.25"/>
  <cols>
    <col min="1" max="13" width="17.7265625" customWidth="1"/>
  </cols>
  <sheetData>
    <row r="1" spans="1:13" ht="26" x14ac:dyDescent="0.25">
      <c r="A1" s="12" t="s">
        <v>9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16</v>
      </c>
      <c r="L1" s="12" t="s">
        <v>14</v>
      </c>
      <c r="M1" s="12" t="s">
        <v>26</v>
      </c>
    </row>
    <row r="2" spans="1:13" x14ac:dyDescent="0.25">
      <c r="A2">
        <f>Clean_1_Numeric!A2</f>
        <v>1</v>
      </c>
      <c r="B2">
        <f>IF(ISNUMBER(Clean_1_Numeric!B2),LOG10(Clean_1_Numeric!B2),"")</f>
        <v>3.8230827965328036</v>
      </c>
      <c r="C2">
        <f>IF(ISNUMBER(Clean_1_Numeric!C2),LOG10(Clean_1_Numeric!C2),"")</f>
        <v>3.7567881987681178</v>
      </c>
      <c r="D2">
        <f>IF(ISNUMBER(Clean_1_Numeric!D2),LOG10(Clean_1_Numeric!D2),"")</f>
        <v>1.5865873046717549</v>
      </c>
      <c r="E2">
        <f>IF(ISNUMBER(Clean_1_Numeric!E2),LOG10(Clean_1_Numeric!E2),"")</f>
        <v>2.8095597146352675</v>
      </c>
      <c r="F2">
        <f>IF(AND(ISNUMBER(Clean_1_Numeric!B2),ISNUMBER(Clean_1_Numeric!C2)),Clean_1_Numeric!C2/Clean_1_Numeric!B2,"")</f>
        <v>0.8584310189359784</v>
      </c>
      <c r="G2" t="str">
        <f>IF(ISNUMBER(Clean_1_Numeric!I2),LOOKUP(Clean_1_Numeric!I2,sleep_lo,sleep_lbl),"")</f>
        <v>Short (&lt;8h)</v>
      </c>
      <c r="H2" t="str">
        <f>IF(ISNUMBER(Clean_1_Numeric!B2),LOOKUP(Clean_1_Numeric!B2,size_lo,size_lbl),"")</f>
        <v>Large (100+ kg)</v>
      </c>
      <c r="I2" t="str">
        <f>LOOKUP(Clean_1_Numeric!H2,danger_lo,danger_lbl)</f>
        <v>Moderate (3)</v>
      </c>
      <c r="J2">
        <f>IF(ISNUMBER(Clean_1_Numeric!I2),Clean_1_Numeric!I2^2,"")</f>
        <v>10.889999999999999</v>
      </c>
      <c r="K2">
        <f>Clean_1_Numeric!P2</f>
        <v>1</v>
      </c>
      <c r="L2">
        <f>Clean_1_Numeric!N2</f>
        <v>1</v>
      </c>
      <c r="M2">
        <f>IF(L2=1,COUNTIF(L$2:L2,1),"")</f>
        <v>1</v>
      </c>
    </row>
    <row r="3" spans="1:13" x14ac:dyDescent="0.25">
      <c r="A3">
        <f>Clean_1_Numeric!A3</f>
        <v>2</v>
      </c>
      <c r="B3">
        <f>IF(ISNUMBER(Clean_1_Numeric!B3),LOG10(Clean_1_Numeric!B3),"")</f>
        <v>0</v>
      </c>
      <c r="C3">
        <f>IF(ISNUMBER(Clean_1_Numeric!C3),LOG10(Clean_1_Numeric!C3),"")</f>
        <v>0.81954393554186866</v>
      </c>
      <c r="D3">
        <f>IF(ISNUMBER(Clean_1_Numeric!D3),LOG10(Clean_1_Numeric!D3),"")</f>
        <v>0.65321251377534373</v>
      </c>
      <c r="E3">
        <f>IF(ISNUMBER(Clean_1_Numeric!E3),LOG10(Clean_1_Numeric!E3),"")</f>
        <v>1.6232492903979006</v>
      </c>
      <c r="F3">
        <f>IF(AND(ISNUMBER(Clean_1_Numeric!B3),ISNUMBER(Clean_1_Numeric!C3)),Clean_1_Numeric!C3/Clean_1_Numeric!B3,"")</f>
        <v>6.6</v>
      </c>
      <c r="G3" t="str">
        <f>IF(ISNUMBER(Clean_1_Numeric!I3),LOOKUP(Clean_1_Numeric!I3,sleep_lo,sleep_lbl),"")</f>
        <v>Medium (8-12h)</v>
      </c>
      <c r="H3" t="str">
        <f>IF(ISNUMBER(Clean_1_Numeric!B3),LOOKUP(Clean_1_Numeric!B3,size_lo,size_lbl),"")</f>
        <v>Small (1-10 kg)</v>
      </c>
      <c r="I3" t="str">
        <f>LOOKUP(Clean_1_Numeric!H3,danger_lo,danger_lbl)</f>
        <v>Moderate (3)</v>
      </c>
      <c r="J3">
        <f>IF(ISNUMBER(Clean_1_Numeric!I3),Clean_1_Numeric!I3^2,"")</f>
        <v>68.890000000000015</v>
      </c>
      <c r="K3">
        <f>Clean_1_Numeric!P3</f>
        <v>1</v>
      </c>
      <c r="L3">
        <f>Clean_1_Numeric!N3</f>
        <v>1</v>
      </c>
      <c r="M3">
        <f>IF(L3=1,COUNTIF(L$2:L3,1),"")</f>
        <v>2</v>
      </c>
    </row>
    <row r="4" spans="1:13" x14ac:dyDescent="0.25">
      <c r="A4">
        <f>Clean_1_Numeric!A4</f>
        <v>3</v>
      </c>
      <c r="B4">
        <f>IF(ISNUMBER(Clean_1_Numeric!B4),LOG10(Clean_1_Numeric!B4),"")</f>
        <v>0.52955867302116311</v>
      </c>
      <c r="C4">
        <f>IF(ISNUMBER(Clean_1_Numeric!C4),LOG10(Clean_1_Numeric!C4),"")</f>
        <v>1.6483600109809315</v>
      </c>
      <c r="D4">
        <f>IF(ISNUMBER(Clean_1_Numeric!D4),LOG10(Clean_1_Numeric!D4),"")</f>
        <v>1.146128035678238</v>
      </c>
      <c r="E4">
        <f>IF(ISNUMBER(Clean_1_Numeric!E4),LOG10(Clean_1_Numeric!E4),"")</f>
        <v>1.7781512503836436</v>
      </c>
      <c r="F4">
        <f>IF(AND(ISNUMBER(Clean_1_Numeric!B4),ISNUMBER(Clean_1_Numeric!C4)),Clean_1_Numeric!C4/Clean_1_Numeric!B4,"")</f>
        <v>13.146233382570163</v>
      </c>
      <c r="G4" t="str">
        <f>IF(ISNUMBER(Clean_1_Numeric!I4),LOOKUP(Clean_1_Numeric!I4,sleep_lo,sleep_lbl),"")</f>
        <v>Long (12h+)</v>
      </c>
      <c r="H4" t="str">
        <f>IF(ISNUMBER(Clean_1_Numeric!B4),LOOKUP(Clean_1_Numeric!B4,size_lo,size_lbl),"")</f>
        <v>Small (1-10 kg)</v>
      </c>
      <c r="I4" t="str">
        <f>LOOKUP(Clean_1_Numeric!H4,danger_lo,danger_lbl)</f>
        <v>Low (1-2)</v>
      </c>
      <c r="J4">
        <f>IF(ISNUMBER(Clean_1_Numeric!I4),Clean_1_Numeric!I4^2,"")</f>
        <v>156.25</v>
      </c>
      <c r="K4">
        <f>Clean_1_Numeric!P4</f>
        <v>1</v>
      </c>
      <c r="L4">
        <f>Clean_1_Numeric!N4</f>
        <v>1</v>
      </c>
      <c r="M4">
        <f>IF(L4=1,COUNTIF(L$2:L4,1),"")</f>
        <v>3</v>
      </c>
    </row>
    <row r="5" spans="1:13" x14ac:dyDescent="0.25">
      <c r="A5">
        <f>Clean_1_Numeric!A5</f>
        <v>4</v>
      </c>
      <c r="B5">
        <f>IF(ISNUMBER(Clean_1_Numeric!B5),LOG10(Clean_1_Numeric!B5),"")</f>
        <v>-3.6212172654444715E-2</v>
      </c>
      <c r="C5">
        <f>IF(ISNUMBER(Clean_1_Numeric!C5),LOG10(Clean_1_Numeric!C5),"")</f>
        <v>0.75587485567249146</v>
      </c>
      <c r="D5" t="str">
        <f>IF(ISNUMBER(Clean_1_Numeric!D5),LOG10(Clean_1_Numeric!D5),"")</f>
        <v/>
      </c>
      <c r="E5">
        <f>IF(ISNUMBER(Clean_1_Numeric!E5),LOG10(Clean_1_Numeric!E5),"")</f>
        <v>1.3979400086720377</v>
      </c>
      <c r="F5">
        <f>IF(AND(ISNUMBER(Clean_1_Numeric!B5),ISNUMBER(Clean_1_Numeric!C5)),Clean_1_Numeric!C5/Clean_1_Numeric!B5,"")</f>
        <v>6.195652173913043</v>
      </c>
      <c r="G5" t="str">
        <f>IF(ISNUMBER(Clean_1_Numeric!I5),LOOKUP(Clean_1_Numeric!I5,sleep_lo,sleep_lbl),"")</f>
        <v>Long (12h+)</v>
      </c>
      <c r="H5" t="str">
        <f>IF(ISNUMBER(Clean_1_Numeric!B5),LOOKUP(Clean_1_Numeric!B5,size_lo,size_lbl),"")</f>
        <v>Tiny (&lt;1 kg)</v>
      </c>
      <c r="I5" t="str">
        <f>LOOKUP(Clean_1_Numeric!H5,danger_lo,danger_lbl)</f>
        <v>Moderate (3)</v>
      </c>
      <c r="J5">
        <f>IF(ISNUMBER(Clean_1_Numeric!I5),Clean_1_Numeric!I5^2,"")</f>
        <v>272.25</v>
      </c>
      <c r="K5">
        <f>Clean_1_Numeric!P5</f>
        <v>1</v>
      </c>
      <c r="L5">
        <f>Clean_1_Numeric!N5</f>
        <v>0</v>
      </c>
      <c r="M5" t="str">
        <f>IF(L5=1,COUNTIF(L$2:L5,1),"")</f>
        <v/>
      </c>
    </row>
    <row r="6" spans="1:13" x14ac:dyDescent="0.25">
      <c r="A6">
        <f>Clean_1_Numeric!A6</f>
        <v>5</v>
      </c>
      <c r="B6">
        <f>IF(ISNUMBER(Clean_1_Numeric!B6),LOG10(Clean_1_Numeric!B6),"")</f>
        <v>3.406028944963615</v>
      </c>
      <c r="C6">
        <f>IF(ISNUMBER(Clean_1_Numeric!C6),LOG10(Clean_1_Numeric!C6),"")</f>
        <v>3.6630409748939741</v>
      </c>
      <c r="D6">
        <f>IF(ISNUMBER(Clean_1_Numeric!D6),LOG10(Clean_1_Numeric!D6),"")</f>
        <v>1.8388490907372552</v>
      </c>
      <c r="E6">
        <f>IF(ISNUMBER(Clean_1_Numeric!E6),LOG10(Clean_1_Numeric!E6),"")</f>
        <v>2.7951845896824241</v>
      </c>
      <c r="F6">
        <f>IF(AND(ISNUMBER(Clean_1_Numeric!B6),ISNUMBER(Clean_1_Numeric!C6)),Clean_1_Numeric!C6/Clean_1_Numeric!B6,"")</f>
        <v>1.8072241853160582</v>
      </c>
      <c r="G6" t="str">
        <f>IF(ISNUMBER(Clean_1_Numeric!I6),LOOKUP(Clean_1_Numeric!I6,sleep_lo,sleep_lbl),"")</f>
        <v>Short (&lt;8h)</v>
      </c>
      <c r="H6" t="str">
        <f>IF(ISNUMBER(Clean_1_Numeric!B6),LOOKUP(Clean_1_Numeric!B6,size_lo,size_lbl),"")</f>
        <v>Large (100+ kg)</v>
      </c>
      <c r="I6" t="str">
        <f>LOOKUP(Clean_1_Numeric!H6,danger_lo,danger_lbl)</f>
        <v>High (4-5)</v>
      </c>
      <c r="J6">
        <f>IF(ISNUMBER(Clean_1_Numeric!I6),Clean_1_Numeric!I6^2,"")</f>
        <v>15.209999999999999</v>
      </c>
      <c r="K6">
        <f>Clean_1_Numeric!P6</f>
        <v>1</v>
      </c>
      <c r="L6">
        <f>Clean_1_Numeric!N6</f>
        <v>1</v>
      </c>
      <c r="M6">
        <f>IF(L6=1,COUNTIF(L$2:L6,1),"")</f>
        <v>4</v>
      </c>
    </row>
    <row r="7" spans="1:13" x14ac:dyDescent="0.25">
      <c r="A7">
        <f>Clean_1_Numeric!A7</f>
        <v>6</v>
      </c>
      <c r="B7">
        <f>IF(ISNUMBER(Clean_1_Numeric!B7),LOG10(Clean_1_Numeric!B7),"")</f>
        <v>1.0232524596337116</v>
      </c>
      <c r="C7">
        <f>IF(ISNUMBER(Clean_1_Numeric!C7),LOG10(Clean_1_Numeric!C7),"")</f>
        <v>2.2540644529143381</v>
      </c>
      <c r="D7">
        <f>IF(ISNUMBER(Clean_1_Numeric!D7),LOG10(Clean_1_Numeric!D7),"")</f>
        <v>1.4313637641589874</v>
      </c>
      <c r="E7">
        <f>IF(ISNUMBER(Clean_1_Numeric!E7),LOG10(Clean_1_Numeric!E7),"")</f>
        <v>2.255272505103306</v>
      </c>
      <c r="F7">
        <f>IF(AND(ISNUMBER(Clean_1_Numeric!B7),ISNUMBER(Clean_1_Numeric!C7)),Clean_1_Numeric!C7/Clean_1_Numeric!B7,"")</f>
        <v>17.014218009478672</v>
      </c>
      <c r="G7" t="str">
        <f>IF(ISNUMBER(Clean_1_Numeric!I7),LOOKUP(Clean_1_Numeric!I7,sleep_lo,sleep_lbl),"")</f>
        <v>Medium (8-12h)</v>
      </c>
      <c r="H7" t="str">
        <f>IF(ISNUMBER(Clean_1_Numeric!B7),LOOKUP(Clean_1_Numeric!B7,size_lo,size_lbl),"")</f>
        <v>Medium (10-100 kg)</v>
      </c>
      <c r="I7" t="str">
        <f>LOOKUP(Clean_1_Numeric!H7,danger_lo,danger_lbl)</f>
        <v>High (4-5)</v>
      </c>
      <c r="J7">
        <f>IF(ISNUMBER(Clean_1_Numeric!I7),Clean_1_Numeric!I7^2,"")</f>
        <v>96.04000000000002</v>
      </c>
      <c r="K7">
        <f>Clean_1_Numeric!P7</f>
        <v>1</v>
      </c>
      <c r="L7">
        <f>Clean_1_Numeric!N7</f>
        <v>1</v>
      </c>
      <c r="M7">
        <f>IF(L7=1,COUNTIF(L$2:L7,1),"")</f>
        <v>5</v>
      </c>
    </row>
    <row r="8" spans="1:13" x14ac:dyDescent="0.25">
      <c r="A8">
        <f>Clean_1_Numeric!A8</f>
        <v>7</v>
      </c>
      <c r="B8">
        <f>IF(ISNUMBER(Clean_1_Numeric!B8),LOG10(Clean_1_Numeric!B8),"")</f>
        <v>-1.6382721639824072</v>
      </c>
      <c r="C8">
        <f>IF(ISNUMBER(Clean_1_Numeric!C8),LOG10(Clean_1_Numeric!C8),"")</f>
        <v>-0.52287874528033762</v>
      </c>
      <c r="D8">
        <f>IF(ISNUMBER(Clean_1_Numeric!D8),LOG10(Clean_1_Numeric!D8),"")</f>
        <v>1.2787536009528289</v>
      </c>
      <c r="E8">
        <f>IF(ISNUMBER(Clean_1_Numeric!E8),LOG10(Clean_1_Numeric!E8),"")</f>
        <v>1.5440680443502757</v>
      </c>
      <c r="F8">
        <f>IF(AND(ISNUMBER(Clean_1_Numeric!B8),ISNUMBER(Clean_1_Numeric!C8)),Clean_1_Numeric!C8/Clean_1_Numeric!B8,"")</f>
        <v>13.043478260869565</v>
      </c>
      <c r="G8" t="str">
        <f>IF(ISNUMBER(Clean_1_Numeric!I8),LOOKUP(Clean_1_Numeric!I8,sleep_lo,sleep_lbl),"")</f>
        <v>Long (12h+)</v>
      </c>
      <c r="H8" t="str">
        <f>IF(ISNUMBER(Clean_1_Numeric!B8),LOOKUP(Clean_1_Numeric!B8,size_lo,size_lbl),"")</f>
        <v>Tiny (&lt;1 kg)</v>
      </c>
      <c r="I8" t="str">
        <f>LOOKUP(Clean_1_Numeric!H8,danger_lo,danger_lbl)</f>
        <v>Low (1-2)</v>
      </c>
      <c r="J8">
        <f>IF(ISNUMBER(Clean_1_Numeric!I8),Clean_1_Numeric!I8^2,"")</f>
        <v>388.09</v>
      </c>
      <c r="K8">
        <f>Clean_1_Numeric!P8</f>
        <v>1</v>
      </c>
      <c r="L8">
        <f>Clean_1_Numeric!N8</f>
        <v>1</v>
      </c>
      <c r="M8">
        <f>IF(L8=1,COUNTIF(L$2:L8,1),"")</f>
        <v>6</v>
      </c>
    </row>
    <row r="9" spans="1:13" x14ac:dyDescent="0.25">
      <c r="A9">
        <f>Clean_1_Numeric!A9</f>
        <v>8</v>
      </c>
      <c r="B9">
        <f>IF(ISNUMBER(Clean_1_Numeric!B9),LOG10(Clean_1_Numeric!B9),"")</f>
        <v>2.2041199826559246</v>
      </c>
      <c r="C9">
        <f>IF(ISNUMBER(Clean_1_Numeric!C9),LOG10(Clean_1_Numeric!C9),"")</f>
        <v>2.2278867046136734</v>
      </c>
      <c r="D9">
        <f>IF(ISNUMBER(Clean_1_Numeric!D9),LOG10(Clean_1_Numeric!D9),"")</f>
        <v>1.4828735836087537</v>
      </c>
      <c r="E9">
        <f>IF(ISNUMBER(Clean_1_Numeric!E9),LOG10(Clean_1_Numeric!E9),"")</f>
        <v>2.5932860670204572</v>
      </c>
      <c r="F9">
        <f>IF(AND(ISNUMBER(Clean_1_Numeric!B9),ISNUMBER(Clean_1_Numeric!C9)),Clean_1_Numeric!C9/Clean_1_Numeric!B9,"")</f>
        <v>1.0562499999999999</v>
      </c>
      <c r="G9" t="str">
        <f>IF(ISNUMBER(Clean_1_Numeric!I9),LOOKUP(Clean_1_Numeric!I9,sleep_lo,sleep_lbl),"")</f>
        <v>Short (&lt;8h)</v>
      </c>
      <c r="H9" t="str">
        <f>IF(ISNUMBER(Clean_1_Numeric!B9),LOOKUP(Clean_1_Numeric!B9,size_lo,size_lbl),"")</f>
        <v>Large (100+ kg)</v>
      </c>
      <c r="I9" t="str">
        <f>LOOKUP(Clean_1_Numeric!H9,danger_lo,danger_lbl)</f>
        <v>High (4-5)</v>
      </c>
      <c r="J9">
        <f>IF(ISNUMBER(Clean_1_Numeric!I9),Clean_1_Numeric!I9^2,"")</f>
        <v>38.440000000000005</v>
      </c>
      <c r="K9">
        <f>Clean_1_Numeric!P9</f>
        <v>1</v>
      </c>
      <c r="L9">
        <f>Clean_1_Numeric!N9</f>
        <v>1</v>
      </c>
      <c r="M9">
        <f>IF(L9=1,COUNTIF(L$2:L9,1),"")</f>
        <v>7</v>
      </c>
    </row>
    <row r="10" spans="1:13" x14ac:dyDescent="0.25">
      <c r="A10">
        <f>Clean_1_Numeric!A10</f>
        <v>9</v>
      </c>
      <c r="B10">
        <f>IF(ISNUMBER(Clean_1_Numeric!B10),LOG10(Clean_1_Numeric!B10),"")</f>
        <v>0.51851393987788741</v>
      </c>
      <c r="C10">
        <f>IF(ISNUMBER(Clean_1_Numeric!C10),LOG10(Clean_1_Numeric!C10),"")</f>
        <v>1.4082399653118496</v>
      </c>
      <c r="D10">
        <f>IF(ISNUMBER(Clean_1_Numeric!D10),LOG10(Clean_1_Numeric!D10),"")</f>
        <v>1.4471580313422192</v>
      </c>
      <c r="E10">
        <f>IF(ISNUMBER(Clean_1_Numeric!E10),LOG10(Clean_1_Numeric!E10),"")</f>
        <v>1.7993405494535817</v>
      </c>
      <c r="F10">
        <f>IF(AND(ISNUMBER(Clean_1_Numeric!B10),ISNUMBER(Clean_1_Numeric!C10)),Clean_1_Numeric!C10/Clean_1_Numeric!B10,"")</f>
        <v>7.7575757575757587</v>
      </c>
      <c r="G10" t="str">
        <f>IF(ISNUMBER(Clean_1_Numeric!I10),LOOKUP(Clean_1_Numeric!I10,sleep_lo,sleep_lbl),"")</f>
        <v>Long (12h+)</v>
      </c>
      <c r="H10" t="str">
        <f>IF(ISNUMBER(Clean_1_Numeric!B10),LOOKUP(Clean_1_Numeric!B10,size_lo,size_lbl),"")</f>
        <v>Small (1-10 kg)</v>
      </c>
      <c r="I10" t="str">
        <f>LOOKUP(Clean_1_Numeric!H10,danger_lo,danger_lbl)</f>
        <v>Low (1-2)</v>
      </c>
      <c r="J10">
        <f>IF(ISNUMBER(Clean_1_Numeric!I10),Clean_1_Numeric!I10^2,"")</f>
        <v>210.25</v>
      </c>
      <c r="K10">
        <f>Clean_1_Numeric!P10</f>
        <v>1</v>
      </c>
      <c r="L10">
        <f>Clean_1_Numeric!N10</f>
        <v>1</v>
      </c>
      <c r="M10">
        <f>IF(L10=1,COUNTIF(L$2:L10,1),"")</f>
        <v>8</v>
      </c>
    </row>
    <row r="11" spans="1:13" x14ac:dyDescent="0.25">
      <c r="A11">
        <f>Clean_1_Numeric!A11</f>
        <v>10</v>
      </c>
      <c r="B11">
        <f>IF(ISNUMBER(Clean_1_Numeric!B11),LOG10(Clean_1_Numeric!B11),"")</f>
        <v>1.7173375827238637</v>
      </c>
      <c r="C11">
        <f>IF(ISNUMBER(Clean_1_Numeric!C11),LOG10(Clean_1_Numeric!C11),"")</f>
        <v>2.6434526764861874</v>
      </c>
      <c r="D11">
        <f>IF(ISNUMBER(Clean_1_Numeric!D11),LOG10(Clean_1_Numeric!D11),"")</f>
        <v>1.6989700043360187</v>
      </c>
      <c r="E11">
        <f>IF(ISNUMBER(Clean_1_Numeric!E11),LOG10(Clean_1_Numeric!E11),"")</f>
        <v>2.3617278360175931</v>
      </c>
      <c r="F11">
        <f>IF(AND(ISNUMBER(Clean_1_Numeric!B11),ISNUMBER(Clean_1_Numeric!C11)),Clean_1_Numeric!C11/Clean_1_Numeric!B11,"")</f>
        <v>8.4355828220858893</v>
      </c>
      <c r="G11" t="str">
        <f>IF(ISNUMBER(Clean_1_Numeric!I11),LOOKUP(Clean_1_Numeric!I11,sleep_lo,sleep_lbl),"")</f>
        <v>Medium (8-12h)</v>
      </c>
      <c r="H11" t="str">
        <f>IF(ISNUMBER(Clean_1_Numeric!B11),LOOKUP(Clean_1_Numeric!B11,size_lo,size_lbl),"")</f>
        <v>Medium (10-100 kg)</v>
      </c>
      <c r="I11" t="str">
        <f>LOOKUP(Clean_1_Numeric!H11,danger_lo,danger_lbl)</f>
        <v>Low (1-2)</v>
      </c>
      <c r="J11">
        <f>IF(ISNUMBER(Clean_1_Numeric!I11),Clean_1_Numeric!I11^2,"")</f>
        <v>94.089999999999989</v>
      </c>
      <c r="K11">
        <f>Clean_1_Numeric!P11</f>
        <v>1</v>
      </c>
      <c r="L11">
        <f>Clean_1_Numeric!N11</f>
        <v>1</v>
      </c>
      <c r="M11">
        <f>IF(L11=1,COUNTIF(L$2:L11,1),"")</f>
        <v>9</v>
      </c>
    </row>
    <row r="12" spans="1:13" x14ac:dyDescent="0.25">
      <c r="A12">
        <f>Clean_1_Numeric!A12</f>
        <v>11</v>
      </c>
      <c r="B12">
        <f>IF(ISNUMBER(Clean_1_Numeric!B12),LOG10(Clean_1_Numeric!B12),"")</f>
        <v>-0.37161106994968846</v>
      </c>
      <c r="C12">
        <f>IF(ISNUMBER(Clean_1_Numeric!C12),LOG10(Clean_1_Numeric!C12),"")</f>
        <v>0.80617997398388719</v>
      </c>
      <c r="D12">
        <f>IF(ISNUMBER(Clean_1_Numeric!D12),LOG10(Clean_1_Numeric!D12),"")</f>
        <v>0.84509804001425681</v>
      </c>
      <c r="E12">
        <f>IF(ISNUMBER(Clean_1_Numeric!E12),LOG10(Clean_1_Numeric!E12),"")</f>
        <v>2.0492180226701815</v>
      </c>
      <c r="F12">
        <f>IF(AND(ISNUMBER(Clean_1_Numeric!B12),ISNUMBER(Clean_1_Numeric!C12)),Clean_1_Numeric!C12/Clean_1_Numeric!B12,"")</f>
        <v>15.058823529411766</v>
      </c>
      <c r="G12" t="str">
        <f>IF(ISNUMBER(Clean_1_Numeric!I12),LOOKUP(Clean_1_Numeric!I12,sleep_lo,sleep_lbl),"")</f>
        <v>Long (12h+)</v>
      </c>
      <c r="H12" t="str">
        <f>IF(ISNUMBER(Clean_1_Numeric!B12),LOOKUP(Clean_1_Numeric!B12,size_lo,size_lbl),"")</f>
        <v>Tiny (&lt;1 kg)</v>
      </c>
      <c r="I12" t="str">
        <f>LOOKUP(Clean_1_Numeric!H12,danger_lo,danger_lbl)</f>
        <v>High (4-5)</v>
      </c>
      <c r="J12">
        <f>IF(ISNUMBER(Clean_1_Numeric!I12),Clean_1_Numeric!I12^2,"")</f>
        <v>156.25</v>
      </c>
      <c r="K12">
        <f>Clean_1_Numeric!P12</f>
        <v>1</v>
      </c>
      <c r="L12">
        <f>Clean_1_Numeric!N12</f>
        <v>1</v>
      </c>
      <c r="M12">
        <f>IF(L12=1,COUNTIF(L$2:L12,1),"")</f>
        <v>10</v>
      </c>
    </row>
    <row r="13" spans="1:13" x14ac:dyDescent="0.25">
      <c r="A13">
        <f>Clean_1_Numeric!A13</f>
        <v>12</v>
      </c>
      <c r="B13">
        <f>IF(ISNUMBER(Clean_1_Numeric!B13),LOG10(Clean_1_Numeric!B13),"")</f>
        <v>2.667452952889954</v>
      </c>
      <c r="C13">
        <f>IF(ISNUMBER(Clean_1_Numeric!C13),LOG10(Clean_1_Numeric!C13),"")</f>
        <v>2.6263403673750423</v>
      </c>
      <c r="D13">
        <f>IF(ISNUMBER(Clean_1_Numeric!D13),LOG10(Clean_1_Numeric!D13),"")</f>
        <v>1.4771212547196624</v>
      </c>
      <c r="E13">
        <f>IF(ISNUMBER(Clean_1_Numeric!E13),LOG10(Clean_1_Numeric!E13),"")</f>
        <v>2.4487063199050798</v>
      </c>
      <c r="F13">
        <f>IF(AND(ISNUMBER(Clean_1_Numeric!B13),ISNUMBER(Clean_1_Numeric!C13)),Clean_1_Numeric!C13/Clean_1_Numeric!B13,"")</f>
        <v>0.9096774193548387</v>
      </c>
      <c r="G13" t="str">
        <f>IF(ISNUMBER(Clean_1_Numeric!I13),LOOKUP(Clean_1_Numeric!I13,sleep_lo,sleep_lbl),"")</f>
        <v>Short (&lt;8h)</v>
      </c>
      <c r="H13" t="str">
        <f>IF(ISNUMBER(Clean_1_Numeric!B13),LOOKUP(Clean_1_Numeric!B13,size_lo,size_lbl),"")</f>
        <v>Large (100+ kg)</v>
      </c>
      <c r="I13" t="str">
        <f>LOOKUP(Clean_1_Numeric!H13,danger_lo,danger_lbl)</f>
        <v>High (4-5)</v>
      </c>
      <c r="J13">
        <f>IF(ISNUMBER(Clean_1_Numeric!I13),Clean_1_Numeric!I13^2,"")</f>
        <v>15.209999999999999</v>
      </c>
      <c r="K13">
        <f>Clean_1_Numeric!P13</f>
        <v>1</v>
      </c>
      <c r="L13">
        <f>Clean_1_Numeric!N13</f>
        <v>1</v>
      </c>
      <c r="M13">
        <f>IF(L13=1,COUNTIF(L$2:L13,1),"")</f>
        <v>11</v>
      </c>
    </row>
    <row r="14" spans="1:13" x14ac:dyDescent="0.25">
      <c r="A14">
        <f>Clean_1_Numeric!A14</f>
        <v>13</v>
      </c>
      <c r="B14">
        <f>IF(ISNUMBER(Clean_1_Numeric!B14),LOG10(Clean_1_Numeric!B14),"")</f>
        <v>-0.25963731050575611</v>
      </c>
      <c r="C14">
        <f>IF(ISNUMBER(Clean_1_Numeric!C14),LOG10(Clean_1_Numeric!C14),"")</f>
        <v>0.38021124171160603</v>
      </c>
      <c r="D14" t="str">
        <f>IF(ISNUMBER(Clean_1_Numeric!D14),LOG10(Clean_1_Numeric!D14),"")</f>
        <v/>
      </c>
      <c r="E14" t="str">
        <f>IF(ISNUMBER(Clean_1_Numeric!E14),LOG10(Clean_1_Numeric!E14),"")</f>
        <v/>
      </c>
      <c r="F14">
        <f>IF(AND(ISNUMBER(Clean_1_Numeric!B14),ISNUMBER(Clean_1_Numeric!C14)),Clean_1_Numeric!C14/Clean_1_Numeric!B14,"")</f>
        <v>4.3636363636363633</v>
      </c>
      <c r="G14" t="str">
        <f>IF(ISNUMBER(Clean_1_Numeric!I14),LOOKUP(Clean_1_Numeric!I14,sleep_lo,sleep_lbl),"")</f>
        <v>Medium (8-12h)</v>
      </c>
      <c r="H14" t="str">
        <f>IF(ISNUMBER(Clean_1_Numeric!B14),LOOKUP(Clean_1_Numeric!B14,size_lo,size_lbl),"")</f>
        <v>Tiny (&lt;1 kg)</v>
      </c>
      <c r="I14" t="str">
        <f>LOOKUP(Clean_1_Numeric!H14,danger_lo,danger_lbl)</f>
        <v>Low (1-2)</v>
      </c>
      <c r="J14">
        <f>IF(ISNUMBER(Clean_1_Numeric!I14),Clean_1_Numeric!I14^2,"")</f>
        <v>106.09000000000002</v>
      </c>
      <c r="K14">
        <f>Clean_1_Numeric!P14</f>
        <v>1</v>
      </c>
      <c r="L14">
        <f>Clean_1_Numeric!N14</f>
        <v>0</v>
      </c>
      <c r="M14" t="str">
        <f>IF(L14=1,COUNTIF(L$2:L14,1),"")</f>
        <v/>
      </c>
    </row>
    <row r="15" spans="1:13" x14ac:dyDescent="0.25">
      <c r="A15">
        <f>Clean_1_Numeric!A15</f>
        <v>14</v>
      </c>
      <c r="B15">
        <f>IF(ISNUMBER(Clean_1_Numeric!B15),LOG10(Clean_1_Numeric!B15),"")</f>
        <v>2.2720737875000099</v>
      </c>
      <c r="C15">
        <f>IF(ISNUMBER(Clean_1_Numeric!C15),LOG10(Clean_1_Numeric!C15),"")</f>
        <v>2.6222140229662951</v>
      </c>
      <c r="D15">
        <f>IF(ISNUMBER(Clean_1_Numeric!D15),LOG10(Clean_1_Numeric!D15),"")</f>
        <v>1.6020599913279623</v>
      </c>
      <c r="E15">
        <f>IF(ISNUMBER(Clean_1_Numeric!E15),LOG10(Clean_1_Numeric!E15),"")</f>
        <v>2.5622928644564746</v>
      </c>
      <c r="F15">
        <f>IF(AND(ISNUMBER(Clean_1_Numeric!B15),ISNUMBER(Clean_1_Numeric!C15)),Clean_1_Numeric!C15/Clean_1_Numeric!B15,"")</f>
        <v>2.239444147514698</v>
      </c>
      <c r="G15" t="str">
        <f>IF(ISNUMBER(Clean_1_Numeric!I15),LOOKUP(Clean_1_Numeric!I15,sleep_lo,sleep_lbl),"")</f>
        <v>Short (&lt;8h)</v>
      </c>
      <c r="H15" t="str">
        <f>IF(ISNUMBER(Clean_1_Numeric!B15),LOOKUP(Clean_1_Numeric!B15,size_lo,size_lbl),"")</f>
        <v>Large (100+ kg)</v>
      </c>
      <c r="I15" t="str">
        <f>LOOKUP(Clean_1_Numeric!H15,danger_lo,danger_lbl)</f>
        <v>High (4-5)</v>
      </c>
      <c r="J15">
        <f>IF(ISNUMBER(Clean_1_Numeric!I15),Clean_1_Numeric!I15^2,"")</f>
        <v>9.6100000000000012</v>
      </c>
      <c r="K15">
        <f>Clean_1_Numeric!P15</f>
        <v>1</v>
      </c>
      <c r="L15">
        <f>Clean_1_Numeric!N15</f>
        <v>1</v>
      </c>
      <c r="M15">
        <f>IF(L15=1,COUNTIF(L$2:L15,1),"")</f>
        <v>12</v>
      </c>
    </row>
    <row r="16" spans="1:13" x14ac:dyDescent="0.25">
      <c r="A16">
        <f>Clean_1_Numeric!A16</f>
        <v>15</v>
      </c>
      <c r="B16">
        <f>IF(ISNUMBER(Clean_1_Numeric!B16),LOG10(Clean_1_Numeric!B16),"")</f>
        <v>-1.1249387366082999</v>
      </c>
      <c r="C16">
        <f>IF(ISNUMBER(Clean_1_Numeric!C16),LOG10(Clean_1_Numeric!C16),"")</f>
        <v>7.9181246047624818E-2</v>
      </c>
      <c r="D16">
        <f>IF(ISNUMBER(Clean_1_Numeric!D16),LOG10(Clean_1_Numeric!D16),"")</f>
        <v>0.54406804435027567</v>
      </c>
      <c r="E16">
        <f>IF(ISNUMBER(Clean_1_Numeric!E16),LOG10(Clean_1_Numeric!E16),"")</f>
        <v>1.6232492903979006</v>
      </c>
      <c r="F16">
        <f>IF(AND(ISNUMBER(Clean_1_Numeric!B16),ISNUMBER(Clean_1_Numeric!C16)),Clean_1_Numeric!C16/Clean_1_Numeric!B16,"")</f>
        <v>16</v>
      </c>
      <c r="G16" t="str">
        <f>IF(ISNUMBER(Clean_1_Numeric!I16),LOOKUP(Clean_1_Numeric!I16,sleep_lo,sleep_lbl),"")</f>
        <v>Medium (8-12h)</v>
      </c>
      <c r="H16" t="str">
        <f>IF(ISNUMBER(Clean_1_Numeric!B16),LOOKUP(Clean_1_Numeric!B16,size_lo,size_lbl),"")</f>
        <v>Tiny (&lt;1 kg)</v>
      </c>
      <c r="I16" t="str">
        <f>LOOKUP(Clean_1_Numeric!H16,danger_lo,danger_lbl)</f>
        <v>Low (1-2)</v>
      </c>
      <c r="J16">
        <f>IF(ISNUMBER(Clean_1_Numeric!I16),Clean_1_Numeric!I16^2,"")</f>
        <v>70.56</v>
      </c>
      <c r="K16">
        <f>Clean_1_Numeric!P16</f>
        <v>1</v>
      </c>
      <c r="L16">
        <f>Clean_1_Numeric!N16</f>
        <v>1</v>
      </c>
      <c r="M16">
        <f>IF(L16=1,COUNTIF(L$2:L16,1),"")</f>
        <v>13</v>
      </c>
    </row>
    <row r="17" spans="1:13" x14ac:dyDescent="0.25">
      <c r="A17">
        <f>Clean_1_Numeric!A17</f>
        <v>16</v>
      </c>
      <c r="B17">
        <f>IF(ISNUMBER(Clean_1_Numeric!B17),LOG10(Clean_1_Numeric!B17),"")</f>
        <v>0.47712125471966244</v>
      </c>
      <c r="C17">
        <f>IF(ISNUMBER(Clean_1_Numeric!C17),LOG10(Clean_1_Numeric!C17),"")</f>
        <v>1.3979400086720377</v>
      </c>
      <c r="D17">
        <f>IF(ISNUMBER(Clean_1_Numeric!D17),LOG10(Clean_1_Numeric!D17),"")</f>
        <v>1.6989700043360187</v>
      </c>
      <c r="E17">
        <f>IF(ISNUMBER(Clean_1_Numeric!E17),LOG10(Clean_1_Numeric!E17),"")</f>
        <v>1.4471580313422192</v>
      </c>
      <c r="F17">
        <f>IF(AND(ISNUMBER(Clean_1_Numeric!B17),ISNUMBER(Clean_1_Numeric!C17)),Clean_1_Numeric!C17/Clean_1_Numeric!B17,"")</f>
        <v>8.3333333333333339</v>
      </c>
      <c r="G17" t="str">
        <f>IF(ISNUMBER(Clean_1_Numeric!I17),LOOKUP(Clean_1_Numeric!I17,sleep_lo,sleep_lbl),"")</f>
        <v>Medium (8-12h)</v>
      </c>
      <c r="H17" t="str">
        <f>IF(ISNUMBER(Clean_1_Numeric!B17),LOOKUP(Clean_1_Numeric!B17,size_lo,size_lbl),"")</f>
        <v>Small (1-10 kg)</v>
      </c>
      <c r="I17" t="str">
        <f>LOOKUP(Clean_1_Numeric!H17,danger_lo,danger_lbl)</f>
        <v>Low (1-2)</v>
      </c>
      <c r="J17">
        <f>IF(ISNUMBER(Clean_1_Numeric!I17),Clean_1_Numeric!I17^2,"")</f>
        <v>73.959999999999994</v>
      </c>
      <c r="K17">
        <f>Clean_1_Numeric!P17</f>
        <v>1</v>
      </c>
      <c r="L17">
        <f>Clean_1_Numeric!N17</f>
        <v>1</v>
      </c>
      <c r="M17">
        <f>IF(L17=1,COUNTIF(L$2:L17,1),"")</f>
        <v>14</v>
      </c>
    </row>
    <row r="18" spans="1:13" x14ac:dyDescent="0.25">
      <c r="A18">
        <f>Clean_1_Numeric!A18</f>
        <v>17</v>
      </c>
      <c r="B18">
        <f>IF(ISNUMBER(Clean_1_Numeric!B18),LOG10(Clean_1_Numeric!B18),"")</f>
        <v>-0.10513034325474745</v>
      </c>
      <c r="C18">
        <f>IF(ISNUMBER(Clean_1_Numeric!C18),LOG10(Clean_1_Numeric!C18),"")</f>
        <v>0.54406804435027567</v>
      </c>
      <c r="D18">
        <f>IF(ISNUMBER(Clean_1_Numeric!D18),LOG10(Clean_1_Numeric!D18),"")</f>
        <v>0.77815125038364363</v>
      </c>
      <c r="E18">
        <f>IF(ISNUMBER(Clean_1_Numeric!E18),LOG10(Clean_1_Numeric!E18),"")</f>
        <v>1.6232492903979006</v>
      </c>
      <c r="F18">
        <f>IF(AND(ISNUMBER(Clean_1_Numeric!B18),ISNUMBER(Clean_1_Numeric!C18)),Clean_1_Numeric!C18/Clean_1_Numeric!B18,"")</f>
        <v>4.4585987261146496</v>
      </c>
      <c r="G18" t="str">
        <f>IF(ISNUMBER(Clean_1_Numeric!I18),LOOKUP(Clean_1_Numeric!I18,sleep_lo,sleep_lbl),"")</f>
        <v>Medium (8-12h)</v>
      </c>
      <c r="H18" t="str">
        <f>IF(ISNUMBER(Clean_1_Numeric!B18),LOOKUP(Clean_1_Numeric!B18,size_lo,size_lbl),"")</f>
        <v>Tiny (&lt;1 kg)</v>
      </c>
      <c r="I18" t="str">
        <f>LOOKUP(Clean_1_Numeric!H18,danger_lo,danger_lbl)</f>
        <v>Low (1-2)</v>
      </c>
      <c r="J18">
        <f>IF(ISNUMBER(Clean_1_Numeric!I18),Clean_1_Numeric!I18^2,"")</f>
        <v>114.48999999999998</v>
      </c>
      <c r="K18">
        <f>Clean_1_Numeric!P18</f>
        <v>1</v>
      </c>
      <c r="L18">
        <f>Clean_1_Numeric!N18</f>
        <v>1</v>
      </c>
      <c r="M18">
        <f>IF(L18=1,COUNTIF(L$2:L18,1),"")</f>
        <v>15</v>
      </c>
    </row>
    <row r="19" spans="1:13" x14ac:dyDescent="0.25">
      <c r="A19">
        <f>Clean_1_Numeric!A19</f>
        <v>18</v>
      </c>
      <c r="B19">
        <f>IF(ISNUMBER(Clean_1_Numeric!B19),LOG10(Clean_1_Numeric!B19),"")</f>
        <v>-0.69897000433601875</v>
      </c>
      <c r="C19">
        <f>IF(ISNUMBER(Clean_1_Numeric!C19),LOG10(Clean_1_Numeric!C19),"")</f>
        <v>0.69897000433601886</v>
      </c>
      <c r="D19">
        <f>IF(ISNUMBER(Clean_1_Numeric!D19),LOG10(Clean_1_Numeric!D19),"")</f>
        <v>1.0170333392987803</v>
      </c>
      <c r="E19">
        <f>IF(ISNUMBER(Clean_1_Numeric!E19),LOG10(Clean_1_Numeric!E19),"")</f>
        <v>2.0791812460476247</v>
      </c>
      <c r="F19">
        <f>IF(AND(ISNUMBER(Clean_1_Numeric!B19),ISNUMBER(Clean_1_Numeric!C19)),Clean_1_Numeric!C19/Clean_1_Numeric!B19,"")</f>
        <v>25</v>
      </c>
      <c r="G19" t="str">
        <f>IF(ISNUMBER(Clean_1_Numeric!I19),LOOKUP(Clean_1_Numeric!I19,sleep_lo,sleep_lbl),"")</f>
        <v>Medium (8-12h)</v>
      </c>
      <c r="H19" t="str">
        <f>IF(ISNUMBER(Clean_1_Numeric!B19),LOOKUP(Clean_1_Numeric!B19,size_lo,size_lbl),"")</f>
        <v>Tiny (&lt;1 kg)</v>
      </c>
      <c r="I19" t="str">
        <f>LOOKUP(Clean_1_Numeric!H19,danger_lo,danger_lbl)</f>
        <v>Low (1-2)</v>
      </c>
      <c r="J19">
        <f>IF(ISNUMBER(Clean_1_Numeric!I19),Clean_1_Numeric!I19^2,"")</f>
        <v>114.48999999999998</v>
      </c>
      <c r="K19">
        <f>Clean_1_Numeric!P19</f>
        <v>1</v>
      </c>
      <c r="L19">
        <f>Clean_1_Numeric!N19</f>
        <v>1</v>
      </c>
      <c r="M19">
        <f>IF(L19=1,COUNTIF(L$2:L19,1),"")</f>
        <v>16</v>
      </c>
    </row>
    <row r="20" spans="1:13" x14ac:dyDescent="0.25">
      <c r="A20">
        <f>Clean_1_Numeric!A20</f>
        <v>19</v>
      </c>
      <c r="B20">
        <f>IF(ISNUMBER(Clean_1_Numeric!B20),LOG10(Clean_1_Numeric!B20),"")</f>
        <v>0.14921911265537988</v>
      </c>
      <c r="C20">
        <f>IF(ISNUMBER(Clean_1_Numeric!C20),LOG10(Clean_1_Numeric!C20),"")</f>
        <v>1.2430380486862944</v>
      </c>
      <c r="D20">
        <f>IF(ISNUMBER(Clean_1_Numeric!D20),LOG10(Clean_1_Numeric!D20),"")</f>
        <v>1.5314789170422551</v>
      </c>
      <c r="E20" t="str">
        <f>IF(ISNUMBER(Clean_1_Numeric!E20),LOG10(Clean_1_Numeric!E20),"")</f>
        <v/>
      </c>
      <c r="F20">
        <f>IF(AND(ISNUMBER(Clean_1_Numeric!B20),ISNUMBER(Clean_1_Numeric!C20)),Clean_1_Numeric!C20/Clean_1_Numeric!B20,"")</f>
        <v>12.411347517730498</v>
      </c>
      <c r="G20" t="str">
        <f>IF(ISNUMBER(Clean_1_Numeric!I20),LOOKUP(Clean_1_Numeric!I20,sleep_lo,sleep_lbl),"")</f>
        <v>Short (&lt;8h)</v>
      </c>
      <c r="H20" t="str">
        <f>IF(ISNUMBER(Clean_1_Numeric!B20),LOOKUP(Clean_1_Numeric!B20,size_lo,size_lbl),"")</f>
        <v>Small (1-10 kg)</v>
      </c>
      <c r="I20" t="str">
        <f>LOOKUP(Clean_1_Numeric!H20,danger_lo,danger_lbl)</f>
        <v>Low (1-2)</v>
      </c>
      <c r="J20">
        <f>IF(ISNUMBER(Clean_1_Numeric!I20),Clean_1_Numeric!I20^2,"")</f>
        <v>37.209999999999994</v>
      </c>
      <c r="K20">
        <f>Clean_1_Numeric!P20</f>
        <v>1</v>
      </c>
      <c r="L20">
        <f>Clean_1_Numeric!N20</f>
        <v>0</v>
      </c>
      <c r="M20" t="str">
        <f>IF(L20=1,COUNTIF(L$2:L20,1),"")</f>
        <v/>
      </c>
    </row>
    <row r="21" spans="1:13" x14ac:dyDescent="0.25">
      <c r="A21">
        <f>Clean_1_Numeric!A21</f>
        <v>20</v>
      </c>
      <c r="B21">
        <f>IF(ISNUMBER(Clean_1_Numeric!B21),LOG10(Clean_1_Numeric!B21),"")</f>
        <v>1.7781512503836436</v>
      </c>
      <c r="C21">
        <f>IF(ISNUMBER(Clean_1_Numeric!C21),LOG10(Clean_1_Numeric!C21),"")</f>
        <v>1.9084850188786497</v>
      </c>
      <c r="D21">
        <f>IF(ISNUMBER(Clean_1_Numeric!D21),LOG10(Clean_1_Numeric!D21),"")</f>
        <v>0.84509804001425681</v>
      </c>
      <c r="E21" t="str">
        <f>IF(ISNUMBER(Clean_1_Numeric!E21),LOG10(Clean_1_Numeric!E21),"")</f>
        <v/>
      </c>
      <c r="F21">
        <f>IF(AND(ISNUMBER(Clean_1_Numeric!B21),ISNUMBER(Clean_1_Numeric!C21)),Clean_1_Numeric!C21/Clean_1_Numeric!B21,"")</f>
        <v>1.35</v>
      </c>
      <c r="G21" t="str">
        <f>IF(ISNUMBER(Clean_1_Numeric!I21),LOOKUP(Clean_1_Numeric!I21,sleep_lo,sleep_lbl),"")</f>
        <v>Long (12h+)</v>
      </c>
      <c r="H21" t="str">
        <f>IF(ISNUMBER(Clean_1_Numeric!B21),LOOKUP(Clean_1_Numeric!B21,size_lo,size_lbl),"")</f>
        <v>Medium (10-100 kg)</v>
      </c>
      <c r="I21" t="str">
        <f>LOOKUP(Clean_1_Numeric!H21,danger_lo,danger_lbl)</f>
        <v>Low (1-2)</v>
      </c>
      <c r="J21">
        <f>IF(ISNUMBER(Clean_1_Numeric!I21),Clean_1_Numeric!I21^2,"")</f>
        <v>327.61000000000007</v>
      </c>
      <c r="K21">
        <f>Clean_1_Numeric!P21</f>
        <v>1</v>
      </c>
      <c r="L21">
        <f>Clean_1_Numeric!N21</f>
        <v>0</v>
      </c>
      <c r="M21" t="str">
        <f>IF(L21=1,COUNTIF(L$2:L21,1),"")</f>
        <v/>
      </c>
    </row>
    <row r="22" spans="1:13" x14ac:dyDescent="0.25">
      <c r="A22">
        <f>Clean_1_Numeric!A22</f>
        <v>21</v>
      </c>
      <c r="B22">
        <f>IF(ISNUMBER(Clean_1_Numeric!B22),LOG10(Clean_1_Numeric!B22),"")</f>
        <v>2.7234556720351857</v>
      </c>
      <c r="C22">
        <f>IF(ISNUMBER(Clean_1_Numeric!C22),LOG10(Clean_1_Numeric!C22),"")</f>
        <v>2.8325089127062362</v>
      </c>
      <c r="D22">
        <f>IF(ISNUMBER(Clean_1_Numeric!D22),LOG10(Clean_1_Numeric!D22),"")</f>
        <v>1.4471580313422192</v>
      </c>
      <c r="E22">
        <f>IF(ISNUMBER(Clean_1_Numeric!E22),LOG10(Clean_1_Numeric!E22),"")</f>
        <v>2.6020599913279625</v>
      </c>
      <c r="F22">
        <f>IF(AND(ISNUMBER(Clean_1_Numeric!B22),ISNUMBER(Clean_1_Numeric!C22)),Clean_1_Numeric!C22/Clean_1_Numeric!B22,"")</f>
        <v>1.2854442344045369</v>
      </c>
      <c r="G22" t="str">
        <f>IF(ISNUMBER(Clean_1_Numeric!I22),LOOKUP(Clean_1_Numeric!I22,sleep_lo,sleep_lbl),"")</f>
        <v/>
      </c>
      <c r="H22" t="str">
        <f>IF(ISNUMBER(Clean_1_Numeric!B22),LOOKUP(Clean_1_Numeric!B22,size_lo,size_lbl),"")</f>
        <v>Large (100+ kg)</v>
      </c>
      <c r="I22" t="str">
        <f>LOOKUP(Clean_1_Numeric!H22,danger_lo,danger_lbl)</f>
        <v>High (4-5)</v>
      </c>
      <c r="J22" t="str">
        <f>IF(ISNUMBER(Clean_1_Numeric!I22),Clean_1_Numeric!I22^2,"")</f>
        <v/>
      </c>
      <c r="K22">
        <f>Clean_1_Numeric!P22</f>
        <v>0</v>
      </c>
      <c r="L22">
        <f>Clean_1_Numeric!N22</f>
        <v>0</v>
      </c>
      <c r="M22" t="str">
        <f>IF(L22=1,COUNTIF(L$2:L22,1),"")</f>
        <v/>
      </c>
    </row>
    <row r="23" spans="1:13" x14ac:dyDescent="0.25">
      <c r="A23">
        <f>Clean_1_Numeric!A23</f>
        <v>22</v>
      </c>
      <c r="B23">
        <f>IF(ISNUMBER(Clean_1_Numeric!B23),LOG10(Clean_1_Numeric!B23),"")</f>
        <v>1.4418521757732918</v>
      </c>
      <c r="C23">
        <f>IF(ISNUMBER(Clean_1_Numeric!C23),LOG10(Clean_1_Numeric!C23),"")</f>
        <v>2.0606978403536118</v>
      </c>
      <c r="D23">
        <f>IF(ISNUMBER(Clean_1_Numeric!D23),LOG10(Clean_1_Numeric!D23),"")</f>
        <v>1.3010299956639813</v>
      </c>
      <c r="E23">
        <f>IF(ISNUMBER(Clean_1_Numeric!E23),LOG10(Clean_1_Numeric!E23),"")</f>
        <v>2.1702617153949575</v>
      </c>
      <c r="F23">
        <f>IF(AND(ISNUMBER(Clean_1_Numeric!B23),ISNUMBER(Clean_1_Numeric!C23)),Clean_1_Numeric!C23/Clean_1_Numeric!B23,"")</f>
        <v>4.1576283441793205</v>
      </c>
      <c r="G23" t="str">
        <f>IF(ISNUMBER(Clean_1_Numeric!I23),LOOKUP(Clean_1_Numeric!I23,sleep_lo,sleep_lbl),"")</f>
        <v>Short (&lt;8h)</v>
      </c>
      <c r="H23" t="str">
        <f>IF(ISNUMBER(Clean_1_Numeric!B23),LOOKUP(Clean_1_Numeric!B23,size_lo,size_lbl),"")</f>
        <v>Medium (10-100 kg)</v>
      </c>
      <c r="I23" t="str">
        <f>LOOKUP(Clean_1_Numeric!H23,danger_lo,danger_lbl)</f>
        <v>High (4-5)</v>
      </c>
      <c r="J23">
        <f>IF(ISNUMBER(Clean_1_Numeric!I23),Clean_1_Numeric!I23^2,"")</f>
        <v>14.44</v>
      </c>
      <c r="K23">
        <f>Clean_1_Numeric!P23</f>
        <v>1</v>
      </c>
      <c r="L23">
        <f>Clean_1_Numeric!N23</f>
        <v>1</v>
      </c>
      <c r="M23">
        <f>IF(L23=1,COUNTIF(L$2:L23,1),"")</f>
        <v>17</v>
      </c>
    </row>
    <row r="24" spans="1:13" x14ac:dyDescent="0.25">
      <c r="A24">
        <f>Clean_1_Numeric!A24</f>
        <v>23</v>
      </c>
      <c r="B24">
        <f>IF(ISNUMBER(Clean_1_Numeric!B24),LOG10(Clean_1_Numeric!B24),"")</f>
        <v>-0.92081875395237522</v>
      </c>
      <c r="C24">
        <f>IF(ISNUMBER(Clean_1_Numeric!C24),LOG10(Clean_1_Numeric!C24),"")</f>
        <v>0</v>
      </c>
      <c r="D24">
        <f>IF(ISNUMBER(Clean_1_Numeric!D24),LOG10(Clean_1_Numeric!D24),"")</f>
        <v>0.59106460702649921</v>
      </c>
      <c r="E24">
        <f>IF(ISNUMBER(Clean_1_Numeric!E24),LOG10(Clean_1_Numeric!E24),"")</f>
        <v>1.2041199826559248</v>
      </c>
      <c r="F24">
        <f>IF(AND(ISNUMBER(Clean_1_Numeric!B24),ISNUMBER(Clean_1_Numeric!C24)),Clean_1_Numeric!C24/Clean_1_Numeric!B24,"")</f>
        <v>8.3333333333333339</v>
      </c>
      <c r="G24" t="str">
        <f>IF(ISNUMBER(Clean_1_Numeric!I24),LOOKUP(Clean_1_Numeric!I24,sleep_lo,sleep_lbl),"")</f>
        <v>Long (12h+)</v>
      </c>
      <c r="H24" t="str">
        <f>IF(ISNUMBER(Clean_1_Numeric!B24),LOOKUP(Clean_1_Numeric!B24,size_lo,size_lbl),"")</f>
        <v>Tiny (&lt;1 kg)</v>
      </c>
      <c r="I24" t="str">
        <f>LOOKUP(Clean_1_Numeric!H24,danger_lo,danger_lbl)</f>
        <v>Low (1-2)</v>
      </c>
      <c r="J24">
        <f>IF(ISNUMBER(Clean_1_Numeric!I24),Clean_1_Numeric!I24^2,"")</f>
        <v>207.36</v>
      </c>
      <c r="K24">
        <f>Clean_1_Numeric!P24</f>
        <v>1</v>
      </c>
      <c r="L24">
        <f>Clean_1_Numeric!N24</f>
        <v>1</v>
      </c>
      <c r="M24">
        <f>IF(L24=1,COUNTIF(L$2:L24,1),"")</f>
        <v>18</v>
      </c>
    </row>
    <row r="25" spans="1:13" x14ac:dyDescent="0.25">
      <c r="A25">
        <f>Clean_1_Numeric!A25</f>
        <v>24</v>
      </c>
      <c r="B25">
        <f>IF(ISNUMBER(Clean_1_Numeric!B25),LOG10(Clean_1_Numeric!B25),"")</f>
        <v>2.3159703454569178</v>
      </c>
      <c r="C25">
        <f>IF(ISNUMBER(Clean_1_Numeric!C25),LOG10(Clean_1_Numeric!C25),"")</f>
        <v>2.6085260335771943</v>
      </c>
      <c r="D25">
        <f>IF(ISNUMBER(Clean_1_Numeric!D25),LOG10(Clean_1_Numeric!D25),"")</f>
        <v>1.5943925503754266</v>
      </c>
      <c r="E25">
        <f>IF(ISNUMBER(Clean_1_Numeric!E25),LOG10(Clean_1_Numeric!E25),"")</f>
        <v>2.4014005407815442</v>
      </c>
      <c r="F25">
        <f>IF(AND(ISNUMBER(Clean_1_Numeric!B25),ISNUMBER(Clean_1_Numeric!C25)),Clean_1_Numeric!C25/Clean_1_Numeric!B25,"")</f>
        <v>1.961352657004831</v>
      </c>
      <c r="G25" t="str">
        <f>IF(ISNUMBER(Clean_1_Numeric!I25),LOOKUP(Clean_1_Numeric!I25,sleep_lo,sleep_lbl),"")</f>
        <v>Long (12h+)</v>
      </c>
      <c r="H25" t="str">
        <f>IF(ISNUMBER(Clean_1_Numeric!B25),LOOKUP(Clean_1_Numeric!B25,size_lo,size_lbl),"")</f>
        <v>Large (100+ kg)</v>
      </c>
      <c r="I25" t="str">
        <f>LOOKUP(Clean_1_Numeric!H25,danger_lo,danger_lbl)</f>
        <v>Low (1-2)</v>
      </c>
      <c r="J25">
        <f>IF(ISNUMBER(Clean_1_Numeric!I25),Clean_1_Numeric!I25^2,"")</f>
        <v>144</v>
      </c>
      <c r="K25">
        <f>Clean_1_Numeric!P25</f>
        <v>1</v>
      </c>
      <c r="L25">
        <f>Clean_1_Numeric!N25</f>
        <v>1</v>
      </c>
      <c r="M25">
        <f>IF(L25=1,COUNTIF(L$2:L25,1),"")</f>
        <v>19</v>
      </c>
    </row>
    <row r="26" spans="1:13" x14ac:dyDescent="0.25">
      <c r="A26">
        <f>Clean_1_Numeric!A26</f>
        <v>25</v>
      </c>
      <c r="B26">
        <f>IF(ISNUMBER(Clean_1_Numeric!B26),LOG10(Clean_1_Numeric!B26),"")</f>
        <v>1.9294189257142926</v>
      </c>
      <c r="C26">
        <f>IF(ISNUMBER(Clean_1_Numeric!C26),LOG10(Clean_1_Numeric!C26),"")</f>
        <v>2.5118833609788744</v>
      </c>
      <c r="D26">
        <f>IF(ISNUMBER(Clean_1_Numeric!D26),LOG10(Clean_1_Numeric!D26),"")</f>
        <v>1.6127838567197355</v>
      </c>
      <c r="E26">
        <f>IF(ISNUMBER(Clean_1_Numeric!E26),LOG10(Clean_1_Numeric!E26),"")</f>
        <v>2.4913616938342726</v>
      </c>
      <c r="F26">
        <f>IF(AND(ISNUMBER(Clean_1_Numeric!B26),ISNUMBER(Clean_1_Numeric!C26)),Clean_1_Numeric!C26/Clean_1_Numeric!B26,"")</f>
        <v>3.8235294117647061</v>
      </c>
      <c r="G26" t="str">
        <f>IF(ISNUMBER(Clean_1_Numeric!I26),LOOKUP(Clean_1_Numeric!I26,sleep_lo,sleep_lbl),"")</f>
        <v>Short (&lt;8h)</v>
      </c>
      <c r="H26" t="str">
        <f>IF(ISNUMBER(Clean_1_Numeric!B26),LOOKUP(Clean_1_Numeric!B26,size_lo,size_lbl),"")</f>
        <v>Medium (10-100 kg)</v>
      </c>
      <c r="I26" t="str">
        <f>LOOKUP(Clean_1_Numeric!H26,danger_lo,danger_lbl)</f>
        <v>Low (1-2)</v>
      </c>
      <c r="J26">
        <f>IF(ISNUMBER(Clean_1_Numeric!I26),Clean_1_Numeric!I26^2,"")</f>
        <v>38.440000000000005</v>
      </c>
      <c r="K26">
        <f>Clean_1_Numeric!P26</f>
        <v>1</v>
      </c>
      <c r="L26">
        <f>Clean_1_Numeric!N26</f>
        <v>1</v>
      </c>
      <c r="M26">
        <f>IF(L26=1,COUNTIF(L$2:L26,1),"")</f>
        <v>20</v>
      </c>
    </row>
    <row r="27" spans="1:13" x14ac:dyDescent="0.25">
      <c r="A27">
        <f>Clean_1_Numeric!A27</f>
        <v>26</v>
      </c>
      <c r="B27">
        <f>IF(ISNUMBER(Clean_1_Numeric!B27),LOG10(Clean_1_Numeric!B27),"")</f>
        <v>1.5602653978627146</v>
      </c>
      <c r="C27">
        <f>IF(ISNUMBER(Clean_1_Numeric!C27),LOG10(Clean_1_Numeric!C27),"")</f>
        <v>2.0773679052841563</v>
      </c>
      <c r="D27">
        <f>IF(ISNUMBER(Clean_1_Numeric!D27),LOG10(Clean_1_Numeric!D27),"")</f>
        <v>1.209515014542631</v>
      </c>
      <c r="E27">
        <f>IF(ISNUMBER(Clean_1_Numeric!E27),LOG10(Clean_1_Numeric!E27),"")</f>
        <v>1.7993405494535817</v>
      </c>
      <c r="F27">
        <f>IF(AND(ISNUMBER(Clean_1_Numeric!B27),ISNUMBER(Clean_1_Numeric!C27)),Clean_1_Numeric!C27/Clean_1_Numeric!B27,"")</f>
        <v>3.2892925956509771</v>
      </c>
      <c r="G27" t="str">
        <f>IF(ISNUMBER(Clean_1_Numeric!I27),LOOKUP(Clean_1_Numeric!I27,sleep_lo,sleep_lbl),"")</f>
        <v>Long (12h+)</v>
      </c>
      <c r="H27" t="str">
        <f>IF(ISNUMBER(Clean_1_Numeric!B27),LOOKUP(Clean_1_Numeric!B27,size_lo,size_lbl),"")</f>
        <v>Medium (10-100 kg)</v>
      </c>
      <c r="I27" t="str">
        <f>LOOKUP(Clean_1_Numeric!H27,danger_lo,danger_lbl)</f>
        <v>Low (1-2)</v>
      </c>
      <c r="J27">
        <f>IF(ISNUMBER(Clean_1_Numeric!I27),Clean_1_Numeric!I27^2,"")</f>
        <v>169</v>
      </c>
      <c r="K27">
        <f>Clean_1_Numeric!P27</f>
        <v>1</v>
      </c>
      <c r="L27">
        <f>Clean_1_Numeric!N27</f>
        <v>1</v>
      </c>
      <c r="M27">
        <f>IF(L27=1,COUNTIF(L$2:L27,1),"")</f>
        <v>21</v>
      </c>
    </row>
    <row r="28" spans="1:13" x14ac:dyDescent="0.25">
      <c r="A28">
        <f>Clean_1_Numeric!A28</f>
        <v>27</v>
      </c>
      <c r="B28">
        <f>IF(ISNUMBER(Clean_1_Numeric!B28),LOG10(Clean_1_Numeric!B28),"")</f>
        <v>-0.99567862621735737</v>
      </c>
      <c r="C28">
        <f>IF(ISNUMBER(Clean_1_Numeric!C28),LOG10(Clean_1_Numeric!C28),"")</f>
        <v>0.6020599913279624</v>
      </c>
      <c r="D28">
        <f>IF(ISNUMBER(Clean_1_Numeric!D28),LOG10(Clean_1_Numeric!D28),"")</f>
        <v>0.95424250943932487</v>
      </c>
      <c r="E28">
        <f>IF(ISNUMBER(Clean_1_Numeric!E28),LOG10(Clean_1_Numeric!E28),"")</f>
        <v>1.4471580313422192</v>
      </c>
      <c r="F28">
        <f>IF(AND(ISNUMBER(Clean_1_Numeric!B28),ISNUMBER(Clean_1_Numeric!C28)),Clean_1_Numeric!C28/Clean_1_Numeric!B28,"")</f>
        <v>39.603960396039604</v>
      </c>
      <c r="G28" t="str">
        <f>IF(ISNUMBER(Clean_1_Numeric!I28),LOOKUP(Clean_1_Numeric!I28,sleep_lo,sleep_lbl),"")</f>
        <v>Long (12h+)</v>
      </c>
      <c r="H28" t="str">
        <f>IF(ISNUMBER(Clean_1_Numeric!B28),LOOKUP(Clean_1_Numeric!B28,size_lo,size_lbl),"")</f>
        <v>Tiny (&lt;1 kg)</v>
      </c>
      <c r="I28" t="str">
        <f>LOOKUP(Clean_1_Numeric!H28,danger_lo,danger_lbl)</f>
        <v>Moderate (3)</v>
      </c>
      <c r="J28">
        <f>IF(ISNUMBER(Clean_1_Numeric!I28),Clean_1_Numeric!I28^2,"")</f>
        <v>190.44000000000003</v>
      </c>
      <c r="K28">
        <f>Clean_1_Numeric!P28</f>
        <v>1</v>
      </c>
      <c r="L28">
        <f>Clean_1_Numeric!N28</f>
        <v>1</v>
      </c>
      <c r="M28">
        <f>IF(L28=1,COUNTIF(L$2:L28,1),"")</f>
        <v>22</v>
      </c>
    </row>
    <row r="29" spans="1:13" x14ac:dyDescent="0.25">
      <c r="A29">
        <f>Clean_1_Numeric!A29</f>
        <v>28</v>
      </c>
      <c r="B29">
        <f>IF(ISNUMBER(Clean_1_Numeric!B29),LOG10(Clean_1_Numeric!B29),"")</f>
        <v>1.703333929878037E-2</v>
      </c>
      <c r="C29">
        <f>IF(ISNUMBER(Clean_1_Numeric!C29),LOG10(Clean_1_Numeric!C29),"")</f>
        <v>0.74036268949424389</v>
      </c>
      <c r="D29">
        <f>IF(ISNUMBER(Clean_1_Numeric!D29),LOG10(Clean_1_Numeric!D29),"")</f>
        <v>0.88081359228079137</v>
      </c>
      <c r="E29">
        <f>IF(ISNUMBER(Clean_1_Numeric!E29),LOG10(Clean_1_Numeric!E29),"")</f>
        <v>1.8325089127062364</v>
      </c>
      <c r="F29">
        <f>IF(AND(ISNUMBER(Clean_1_Numeric!B29),ISNUMBER(Clean_1_Numeric!C29)),Clean_1_Numeric!C29/Clean_1_Numeric!B29,"")</f>
        <v>5.2884615384615383</v>
      </c>
      <c r="G29" t="str">
        <f>IF(ISNUMBER(Clean_1_Numeric!I29),LOOKUP(Clean_1_Numeric!I29,sleep_lo,sleep_lbl),"")</f>
        <v>Medium (8-12h)</v>
      </c>
      <c r="H29" t="str">
        <f>IF(ISNUMBER(Clean_1_Numeric!B29),LOOKUP(Clean_1_Numeric!B29,size_lo,size_lbl),"")</f>
        <v>Small (1-10 kg)</v>
      </c>
      <c r="I29" t="str">
        <f>LOOKUP(Clean_1_Numeric!H29,danger_lo,danger_lbl)</f>
        <v>High (4-5)</v>
      </c>
      <c r="J29">
        <f>IF(ISNUMBER(Clean_1_Numeric!I29),Clean_1_Numeric!I29^2,"")</f>
        <v>67.239999999999995</v>
      </c>
      <c r="K29">
        <f>Clean_1_Numeric!P29</f>
        <v>1</v>
      </c>
      <c r="L29">
        <f>Clean_1_Numeric!N29</f>
        <v>1</v>
      </c>
      <c r="M29">
        <f>IF(L29=1,COUNTIF(L$2:L29,1),"")</f>
        <v>23</v>
      </c>
    </row>
    <row r="30" spans="1:13" x14ac:dyDescent="0.25">
      <c r="A30">
        <f>Clean_1_Numeric!A30</f>
        <v>29</v>
      </c>
      <c r="B30">
        <f>IF(ISNUMBER(Clean_1_Numeric!B30),LOG10(Clean_1_Numeric!B30),"")</f>
        <v>2.7168377232995247</v>
      </c>
      <c r="C30">
        <f>IF(ISNUMBER(Clean_1_Numeric!C30),LOG10(Clean_1_Numeric!C30),"")</f>
        <v>2.8162412999917832</v>
      </c>
      <c r="D30">
        <f>IF(ISNUMBER(Clean_1_Numeric!D30),LOG10(Clean_1_Numeric!D30),"")</f>
        <v>1.6627578316815741</v>
      </c>
      <c r="E30">
        <f>IF(ISNUMBER(Clean_1_Numeric!E30),LOG10(Clean_1_Numeric!E30),"")</f>
        <v>2.5263392773898441</v>
      </c>
      <c r="F30">
        <f>IF(AND(ISNUMBER(Clean_1_Numeric!B30),ISNUMBER(Clean_1_Numeric!C30)),Clean_1_Numeric!C30/Clean_1_Numeric!B30,"")</f>
        <v>1.2571976967370442</v>
      </c>
      <c r="G30" t="str">
        <f>IF(ISNUMBER(Clean_1_Numeric!I30),LOOKUP(Clean_1_Numeric!I30,sleep_lo,sleep_lbl),"")</f>
        <v>Short (&lt;8h)</v>
      </c>
      <c r="H30" t="str">
        <f>IF(ISNUMBER(Clean_1_Numeric!B30),LOOKUP(Clean_1_Numeric!B30,size_lo,size_lbl),"")</f>
        <v>Large (100+ kg)</v>
      </c>
      <c r="I30" t="str">
        <f>LOOKUP(Clean_1_Numeric!H30,danger_lo,danger_lbl)</f>
        <v>High (4-5)</v>
      </c>
      <c r="J30">
        <f>IF(ISNUMBER(Clean_1_Numeric!I30),Clean_1_Numeric!I30^2,"")</f>
        <v>8.41</v>
      </c>
      <c r="K30">
        <f>Clean_1_Numeric!P30</f>
        <v>1</v>
      </c>
      <c r="L30">
        <f>Clean_1_Numeric!N30</f>
        <v>1</v>
      </c>
      <c r="M30">
        <f>IF(L30=1,COUNTIF(L$2:L30,1),"")</f>
        <v>24</v>
      </c>
    </row>
    <row r="31" spans="1:13" x14ac:dyDescent="0.25">
      <c r="A31">
        <f>Clean_1_Numeric!A31</f>
        <v>30</v>
      </c>
      <c r="B31">
        <f>IF(ISNUMBER(Clean_1_Numeric!B31),LOG10(Clean_1_Numeric!B31),"")</f>
        <v>2</v>
      </c>
      <c r="C31">
        <f>IF(ISNUMBER(Clean_1_Numeric!C31),LOG10(Clean_1_Numeric!C31),"")</f>
        <v>2.1958996524092336</v>
      </c>
      <c r="D31">
        <f>IF(ISNUMBER(Clean_1_Numeric!D31),LOG10(Clean_1_Numeric!D31),"")</f>
        <v>1.3502480183341627</v>
      </c>
      <c r="E31">
        <f>IF(ISNUMBER(Clean_1_Numeric!E31),LOG10(Clean_1_Numeric!E31),"")</f>
        <v>2</v>
      </c>
      <c r="F31">
        <f>IF(AND(ISNUMBER(Clean_1_Numeric!B31),ISNUMBER(Clean_1_Numeric!C31)),Clean_1_Numeric!C31/Clean_1_Numeric!B31,"")</f>
        <v>1.57</v>
      </c>
      <c r="G31" t="str">
        <f>IF(ISNUMBER(Clean_1_Numeric!I31),LOOKUP(Clean_1_Numeric!I31,sleep_lo,sleep_lbl),"")</f>
        <v>Medium (8-12h)</v>
      </c>
      <c r="H31" t="str">
        <f>IF(ISNUMBER(Clean_1_Numeric!B31),LOOKUP(Clean_1_Numeric!B31,size_lo,size_lbl),"")</f>
        <v>Large (100+ kg)</v>
      </c>
      <c r="I31" t="str">
        <f>LOOKUP(Clean_1_Numeric!H31,danger_lo,danger_lbl)</f>
        <v>Low (1-2)</v>
      </c>
      <c r="J31">
        <f>IF(ISNUMBER(Clean_1_Numeric!I31),Clean_1_Numeric!I31^2,"")</f>
        <v>116.64000000000001</v>
      </c>
      <c r="K31">
        <f>Clean_1_Numeric!P31</f>
        <v>1</v>
      </c>
      <c r="L31">
        <f>Clean_1_Numeric!N31</f>
        <v>1</v>
      </c>
      <c r="M31">
        <f>IF(L31=1,COUNTIF(L$2:L31,1),"")</f>
        <v>25</v>
      </c>
    </row>
    <row r="32" spans="1:13" x14ac:dyDescent="0.25">
      <c r="A32">
        <f>Clean_1_Numeric!A32</f>
        <v>31</v>
      </c>
      <c r="B32">
        <f>IF(ISNUMBER(Clean_1_Numeric!B32),LOG10(Clean_1_Numeric!B32),"")</f>
        <v>1.5440680443502757</v>
      </c>
      <c r="C32">
        <f>IF(ISNUMBER(Clean_1_Numeric!C32),LOG10(Clean_1_Numeric!C32),"")</f>
        <v>1.7481880270062005</v>
      </c>
      <c r="D32">
        <f>IF(ISNUMBER(Clean_1_Numeric!D32),LOG10(Clean_1_Numeric!D32),"")</f>
        <v>1.2121876044039579</v>
      </c>
      <c r="E32">
        <f>IF(ISNUMBER(Clean_1_Numeric!E32),LOG10(Clean_1_Numeric!E32),"")</f>
        <v>1.5185139398778875</v>
      </c>
      <c r="F32">
        <f>IF(AND(ISNUMBER(Clean_1_Numeric!B32),ISNUMBER(Clean_1_Numeric!C32)),Clean_1_Numeric!C32/Clean_1_Numeric!B32,"")</f>
        <v>1.6</v>
      </c>
      <c r="G32" t="str">
        <f>IF(ISNUMBER(Clean_1_Numeric!I32),LOOKUP(Clean_1_Numeric!I32,sleep_lo,sleep_lbl),"")</f>
        <v/>
      </c>
      <c r="H32" t="str">
        <f>IF(ISNUMBER(Clean_1_Numeric!B32),LOOKUP(Clean_1_Numeric!B32,size_lo,size_lbl),"")</f>
        <v>Medium (10-100 kg)</v>
      </c>
      <c r="I32" t="str">
        <f>LOOKUP(Clean_1_Numeric!H32,danger_lo,danger_lbl)</f>
        <v>High (4-5)</v>
      </c>
      <c r="J32" t="str">
        <f>IF(ISNUMBER(Clean_1_Numeric!I32),Clean_1_Numeric!I32^2,"")</f>
        <v/>
      </c>
      <c r="K32">
        <f>Clean_1_Numeric!P32</f>
        <v>0</v>
      </c>
      <c r="L32">
        <f>Clean_1_Numeric!N32</f>
        <v>0</v>
      </c>
      <c r="M32" t="str">
        <f>IF(L32=1,COUNTIF(L$2:L32,1),"")</f>
        <v/>
      </c>
    </row>
    <row r="33" spans="1:13" x14ac:dyDescent="0.25">
      <c r="A33">
        <f>Clean_1_Numeric!A33</f>
        <v>32</v>
      </c>
      <c r="B33">
        <f>IF(ISNUMBER(Clean_1_Numeric!B33),LOG10(Clean_1_Numeric!B33),"")</f>
        <v>-2.3010299956639813</v>
      </c>
      <c r="C33">
        <f>IF(ISNUMBER(Clean_1_Numeric!C33),LOG10(Clean_1_Numeric!C33),"")</f>
        <v>-0.85387196432176193</v>
      </c>
      <c r="D33">
        <f>IF(ISNUMBER(Clean_1_Numeric!D33),LOG10(Clean_1_Numeric!D33),"")</f>
        <v>0.41497334797081797</v>
      </c>
      <c r="E33">
        <f>IF(ISNUMBER(Clean_1_Numeric!E33),LOG10(Clean_1_Numeric!E33),"")</f>
        <v>1.3324384599156054</v>
      </c>
      <c r="F33">
        <f>IF(AND(ISNUMBER(Clean_1_Numeric!B33),ISNUMBER(Clean_1_Numeric!C33)),Clean_1_Numeric!C33/Clean_1_Numeric!B33,"")</f>
        <v>28.000000000000004</v>
      </c>
      <c r="G33" t="str">
        <f>IF(ISNUMBER(Clean_1_Numeric!I33),LOOKUP(Clean_1_Numeric!I33,sleep_lo,sleep_lbl),"")</f>
        <v>Medium (8-12h)</v>
      </c>
      <c r="H33" t="str">
        <f>IF(ISNUMBER(Clean_1_Numeric!B33),LOOKUP(Clean_1_Numeric!B33,size_lo,size_lbl),"")</f>
        <v>Tiny (&lt;1 kg)</v>
      </c>
      <c r="I33" t="str">
        <f>LOOKUP(Clean_1_Numeric!H33,danger_lo,danger_lbl)</f>
        <v>High (4-5)</v>
      </c>
      <c r="J33">
        <f>IF(ISNUMBER(Clean_1_Numeric!I33),Clean_1_Numeric!I33^2,"")</f>
        <v>82.809999999999988</v>
      </c>
      <c r="K33">
        <f>Clean_1_Numeric!P33</f>
        <v>1</v>
      </c>
      <c r="L33">
        <f>Clean_1_Numeric!N33</f>
        <v>1</v>
      </c>
      <c r="M33">
        <f>IF(L33=1,COUNTIF(L$2:L33,1),"")</f>
        <v>26</v>
      </c>
    </row>
    <row r="34" spans="1:13" x14ac:dyDescent="0.25">
      <c r="A34">
        <f>Clean_1_Numeric!A34</f>
        <v>33</v>
      </c>
      <c r="B34">
        <f>IF(ISNUMBER(Clean_1_Numeric!B34),LOG10(Clean_1_Numeric!B34),"")</f>
        <v>-2</v>
      </c>
      <c r="C34">
        <f>IF(ISNUMBER(Clean_1_Numeric!C34),LOG10(Clean_1_Numeric!C34),"")</f>
        <v>-0.6020599913279624</v>
      </c>
      <c r="D34">
        <f>IF(ISNUMBER(Clean_1_Numeric!D34),LOG10(Clean_1_Numeric!D34),"")</f>
        <v>1.3802112417116059</v>
      </c>
      <c r="E34">
        <f>IF(ISNUMBER(Clean_1_Numeric!E34),LOG10(Clean_1_Numeric!E34),"")</f>
        <v>1.6989700043360187</v>
      </c>
      <c r="F34">
        <f>IF(AND(ISNUMBER(Clean_1_Numeric!B34),ISNUMBER(Clean_1_Numeric!C34)),Clean_1_Numeric!C34/Clean_1_Numeric!B34,"")</f>
        <v>25</v>
      </c>
      <c r="G34" t="str">
        <f>IF(ISNUMBER(Clean_1_Numeric!I34),LOOKUP(Clean_1_Numeric!I34,sleep_lo,sleep_lbl),"")</f>
        <v>Long (12h+)</v>
      </c>
      <c r="H34" t="str">
        <f>IF(ISNUMBER(Clean_1_Numeric!B34),LOOKUP(Clean_1_Numeric!B34,size_lo,size_lbl),"")</f>
        <v>Tiny (&lt;1 kg)</v>
      </c>
      <c r="I34" t="str">
        <f>LOOKUP(Clean_1_Numeric!H34,danger_lo,danger_lbl)</f>
        <v>Low (1-2)</v>
      </c>
      <c r="J34">
        <f>IF(ISNUMBER(Clean_1_Numeric!I34),Clean_1_Numeric!I34^2,"")</f>
        <v>396.00999999999993</v>
      </c>
      <c r="K34">
        <f>Clean_1_Numeric!P34</f>
        <v>1</v>
      </c>
      <c r="L34">
        <f>Clean_1_Numeric!N34</f>
        <v>1</v>
      </c>
      <c r="M34">
        <f>IF(L34=1,COUNTIF(L$2:L34,1),"")</f>
        <v>27</v>
      </c>
    </row>
    <row r="35" spans="1:13" x14ac:dyDescent="0.25">
      <c r="A35">
        <f>Clean_1_Numeric!A35</f>
        <v>34</v>
      </c>
      <c r="B35">
        <f>IF(ISNUMBER(Clean_1_Numeric!B35),LOG10(Clean_1_Numeric!B35),"")</f>
        <v>1.7923916894982539</v>
      </c>
      <c r="C35">
        <f>IF(ISNUMBER(Clean_1_Numeric!C35),LOG10(Clean_1_Numeric!C35),"")</f>
        <v>3.12057393120585</v>
      </c>
      <c r="D35">
        <f>IF(ISNUMBER(Clean_1_Numeric!D35),LOG10(Clean_1_Numeric!D35),"")</f>
        <v>2</v>
      </c>
      <c r="E35">
        <f>IF(ISNUMBER(Clean_1_Numeric!E35),LOG10(Clean_1_Numeric!E35),"")</f>
        <v>2.4265112613645754</v>
      </c>
      <c r="F35">
        <f>IF(AND(ISNUMBER(Clean_1_Numeric!B35),ISNUMBER(Clean_1_Numeric!C35)),Clean_1_Numeric!C35/Clean_1_Numeric!B35,"")</f>
        <v>21.29032258064516</v>
      </c>
      <c r="G35" t="str">
        <f>IF(ISNUMBER(Clean_1_Numeric!I35),LOOKUP(Clean_1_Numeric!I35,sleep_lo,sleep_lbl),"")</f>
        <v>Medium (8-12h)</v>
      </c>
      <c r="H35" t="str">
        <f>IF(ISNUMBER(Clean_1_Numeric!B35),LOOKUP(Clean_1_Numeric!B35,size_lo,size_lbl),"")</f>
        <v>Medium (10-100 kg)</v>
      </c>
      <c r="I35" t="str">
        <f>LOOKUP(Clean_1_Numeric!H35,danger_lo,danger_lbl)</f>
        <v>Low (1-2)</v>
      </c>
      <c r="J35">
        <f>IF(ISNUMBER(Clean_1_Numeric!I35),Clean_1_Numeric!I35^2,"")</f>
        <v>64</v>
      </c>
      <c r="K35">
        <f>Clean_1_Numeric!P35</f>
        <v>1</v>
      </c>
      <c r="L35">
        <f>Clean_1_Numeric!N35</f>
        <v>1</v>
      </c>
      <c r="M35">
        <f>IF(L35=1,COUNTIF(L$2:L35,1),"")</f>
        <v>28</v>
      </c>
    </row>
    <row r="36" spans="1:13" x14ac:dyDescent="0.25">
      <c r="A36">
        <f>Clean_1_Numeric!A36</f>
        <v>35</v>
      </c>
      <c r="B36">
        <f>IF(ISNUMBER(Clean_1_Numeric!B36),LOG10(Clean_1_Numeric!B36),"")</f>
        <v>-0.91364016932525183</v>
      </c>
      <c r="C36">
        <f>IF(ISNUMBER(Clean_1_Numeric!C36),LOG10(Clean_1_Numeric!C36),"")</f>
        <v>0.47712125471966244</v>
      </c>
      <c r="D36" t="str">
        <f>IF(ISNUMBER(Clean_1_Numeric!D36),LOG10(Clean_1_Numeric!D36),"")</f>
        <v/>
      </c>
      <c r="E36">
        <f>IF(ISNUMBER(Clean_1_Numeric!E36),LOG10(Clean_1_Numeric!E36),"")</f>
        <v>1.4771212547196624</v>
      </c>
      <c r="F36">
        <f>IF(AND(ISNUMBER(Clean_1_Numeric!B36),ISNUMBER(Clean_1_Numeric!C36)),Clean_1_Numeric!C36/Clean_1_Numeric!B36,"")</f>
        <v>24.590163934426229</v>
      </c>
      <c r="G36" t="str">
        <f>IF(ISNUMBER(Clean_1_Numeric!I36),LOOKUP(Clean_1_Numeric!I36,sleep_lo,sleep_lbl),"")</f>
        <v>Medium (8-12h)</v>
      </c>
      <c r="H36" t="str">
        <f>IF(ISNUMBER(Clean_1_Numeric!B36),LOOKUP(Clean_1_Numeric!B36,size_lo,size_lbl),"")</f>
        <v>Tiny (&lt;1 kg)</v>
      </c>
      <c r="I36" t="str">
        <f>LOOKUP(Clean_1_Numeric!H36,danger_lo,danger_lbl)</f>
        <v>Low (1-2)</v>
      </c>
      <c r="J36">
        <f>IF(ISNUMBER(Clean_1_Numeric!I36),Clean_1_Numeric!I36^2,"")</f>
        <v>112.36</v>
      </c>
      <c r="K36">
        <f>Clean_1_Numeric!P36</f>
        <v>1</v>
      </c>
      <c r="L36">
        <f>Clean_1_Numeric!N36</f>
        <v>0</v>
      </c>
      <c r="M36" t="str">
        <f>IF(L36=1,COUNTIF(L$2:L36,1),"")</f>
        <v/>
      </c>
    </row>
    <row r="37" spans="1:13" x14ac:dyDescent="0.25">
      <c r="A37">
        <f>Clean_1_Numeric!A37</f>
        <v>36</v>
      </c>
      <c r="B37">
        <f>IF(ISNUMBER(Clean_1_Numeric!B37),LOG10(Clean_1_Numeric!B37),"")</f>
        <v>0.13033376849500614</v>
      </c>
      <c r="C37">
        <f>IF(ISNUMBER(Clean_1_Numeric!C37),LOG10(Clean_1_Numeric!C37),"")</f>
        <v>0.90848501887864974</v>
      </c>
      <c r="D37" t="str">
        <f>IF(ISNUMBER(Clean_1_Numeric!D37),LOG10(Clean_1_Numeric!D37),"")</f>
        <v/>
      </c>
      <c r="E37">
        <f>IF(ISNUMBER(Clean_1_Numeric!E37),LOG10(Clean_1_Numeric!E37),"")</f>
        <v>1.6532125137753437</v>
      </c>
      <c r="F37">
        <f>IF(AND(ISNUMBER(Clean_1_Numeric!B37),ISNUMBER(Clean_1_Numeric!C37)),Clean_1_Numeric!C37/Clean_1_Numeric!B37,"")</f>
        <v>5.9999999999999991</v>
      </c>
      <c r="G37" t="str">
        <f>IF(ISNUMBER(Clean_1_Numeric!I37),LOOKUP(Clean_1_Numeric!I37,sleep_lo,sleep_lbl),"")</f>
        <v>Medium (8-12h)</v>
      </c>
      <c r="H37" t="str">
        <f>IF(ISNUMBER(Clean_1_Numeric!B37),LOOKUP(Clean_1_Numeric!B37,size_lo,size_lbl),"")</f>
        <v>Small (1-10 kg)</v>
      </c>
      <c r="I37" t="str">
        <f>LOOKUP(Clean_1_Numeric!H37,danger_lo,danger_lbl)</f>
        <v>Moderate (3)</v>
      </c>
      <c r="J37">
        <f>IF(ISNUMBER(Clean_1_Numeric!I37),Clean_1_Numeric!I37^2,"")</f>
        <v>125.43999999999998</v>
      </c>
      <c r="K37">
        <f>Clean_1_Numeric!P37</f>
        <v>1</v>
      </c>
      <c r="L37">
        <f>Clean_1_Numeric!N37</f>
        <v>0</v>
      </c>
      <c r="M37" t="str">
        <f>IF(L37=1,COUNTIF(L$2:L37,1),"")</f>
        <v/>
      </c>
    </row>
    <row r="38" spans="1:13" x14ac:dyDescent="0.25">
      <c r="A38">
        <f>Clean_1_Numeric!A38</f>
        <v>37</v>
      </c>
      <c r="B38">
        <f>IF(ISNUMBER(Clean_1_Numeric!B38),LOG10(Clean_1_Numeric!B38),"")</f>
        <v>-1.6382721639824072</v>
      </c>
      <c r="C38">
        <f>IF(ISNUMBER(Clean_1_Numeric!C38),LOG10(Clean_1_Numeric!C38),"")</f>
        <v>-0.3979400086720376</v>
      </c>
      <c r="D38">
        <f>IF(ISNUMBER(Clean_1_Numeric!D38),LOG10(Clean_1_Numeric!D38),"")</f>
        <v>0.50514997831990605</v>
      </c>
      <c r="E38">
        <f>IF(ISNUMBER(Clean_1_Numeric!E38),LOG10(Clean_1_Numeric!E38),"")</f>
        <v>1.2787536009528289</v>
      </c>
      <c r="F38">
        <f>IF(AND(ISNUMBER(Clean_1_Numeric!B38),ISNUMBER(Clean_1_Numeric!C38)),Clean_1_Numeric!C38/Clean_1_Numeric!B38,"")</f>
        <v>17.39130434782609</v>
      </c>
      <c r="G38" t="str">
        <f>IF(ISNUMBER(Clean_1_Numeric!I38),LOOKUP(Clean_1_Numeric!I38,sleep_lo,sleep_lbl),"")</f>
        <v>Long (12h+)</v>
      </c>
      <c r="H38" t="str">
        <f>IF(ISNUMBER(Clean_1_Numeric!B38),LOOKUP(Clean_1_Numeric!B38,size_lo,size_lbl),"")</f>
        <v>Tiny (&lt;1 kg)</v>
      </c>
      <c r="I38" t="str">
        <f>LOOKUP(Clean_1_Numeric!H38,danger_lo,danger_lbl)</f>
        <v>Moderate (3)</v>
      </c>
      <c r="J38">
        <f>IF(ISNUMBER(Clean_1_Numeric!I38),Clean_1_Numeric!I38^2,"")</f>
        <v>174.23999999999998</v>
      </c>
      <c r="K38">
        <f>Clean_1_Numeric!P38</f>
        <v>1</v>
      </c>
      <c r="L38">
        <f>Clean_1_Numeric!N38</f>
        <v>1</v>
      </c>
      <c r="M38">
        <f>IF(L38=1,COUNTIF(L$2:L38,1),"")</f>
        <v>29</v>
      </c>
    </row>
    <row r="39" spans="1:13" x14ac:dyDescent="0.25">
      <c r="A39">
        <f>Clean_1_Numeric!A39</f>
        <v>38</v>
      </c>
      <c r="B39">
        <f>IF(ISNUMBER(Clean_1_Numeric!B39),LOG10(Clean_1_Numeric!B39),"")</f>
        <v>-1.3187587626244128</v>
      </c>
      <c r="C39">
        <f>IF(ISNUMBER(Clean_1_Numeric!C39),LOG10(Clean_1_Numeric!C39),"")</f>
        <v>-0.48148606012211248</v>
      </c>
      <c r="D39">
        <f>IF(ISNUMBER(Clean_1_Numeric!D39),LOG10(Clean_1_Numeric!D39),"")</f>
        <v>0.3010299956639812</v>
      </c>
      <c r="E39">
        <f>IF(ISNUMBER(Clean_1_Numeric!E39),LOG10(Clean_1_Numeric!E39),"")</f>
        <v>1.4771212547196624</v>
      </c>
      <c r="F39">
        <f>IF(AND(ISNUMBER(Clean_1_Numeric!B39),ISNUMBER(Clean_1_Numeric!C39)),Clean_1_Numeric!C39/Clean_1_Numeric!B39,"")</f>
        <v>6.875</v>
      </c>
      <c r="G39" t="str">
        <f>IF(ISNUMBER(Clean_1_Numeric!I39),LOOKUP(Clean_1_Numeric!I39,sleep_lo,sleep_lbl),"")</f>
        <v>Long (12h+)</v>
      </c>
      <c r="H39" t="str">
        <f>IF(ISNUMBER(Clean_1_Numeric!B39),LOOKUP(Clean_1_Numeric!B39,size_lo,size_lbl),"")</f>
        <v>Tiny (&lt;1 kg)</v>
      </c>
      <c r="I39" t="str">
        <f>LOOKUP(Clean_1_Numeric!H39,danger_lo,danger_lbl)</f>
        <v>Moderate (3)</v>
      </c>
      <c r="J39">
        <f>IF(ISNUMBER(Clean_1_Numeric!I39),Clean_1_Numeric!I39^2,"")</f>
        <v>163.84000000000003</v>
      </c>
      <c r="K39">
        <f>Clean_1_Numeric!P39</f>
        <v>1</v>
      </c>
      <c r="L39">
        <f>Clean_1_Numeric!N39</f>
        <v>1</v>
      </c>
      <c r="M39">
        <f>IF(L39=1,COUNTIF(L$2:L39,1),"")</f>
        <v>30</v>
      </c>
    </row>
    <row r="40" spans="1:13" x14ac:dyDescent="0.25">
      <c r="A40">
        <f>Clean_1_Numeric!A40</f>
        <v>39</v>
      </c>
      <c r="B40">
        <f>IF(ISNUMBER(Clean_1_Numeric!B40),LOG10(Clean_1_Numeric!B40),"")</f>
        <v>0.23044892137827391</v>
      </c>
      <c r="C40">
        <f>IF(ISNUMBER(Clean_1_Numeric!C40),LOG10(Clean_1_Numeric!C40),"")</f>
        <v>0.79934054945358168</v>
      </c>
      <c r="D40">
        <f>IF(ISNUMBER(Clean_1_Numeric!D40),LOG10(Clean_1_Numeric!D40),"")</f>
        <v>0.69897000433601886</v>
      </c>
      <c r="E40">
        <f>IF(ISNUMBER(Clean_1_Numeric!E40),LOG10(Clean_1_Numeric!E40),"")</f>
        <v>1.0791812460476249</v>
      </c>
      <c r="F40">
        <f>IF(AND(ISNUMBER(Clean_1_Numeric!B40),ISNUMBER(Clean_1_Numeric!C40)),Clean_1_Numeric!C40/Clean_1_Numeric!B40,"")</f>
        <v>3.7058823529411766</v>
      </c>
      <c r="G40" t="str">
        <f>IF(ISNUMBER(Clean_1_Numeric!I40),LOOKUP(Clean_1_Numeric!I40,sleep_lo,sleep_lbl),"")</f>
        <v>Long (12h+)</v>
      </c>
      <c r="H40" t="str">
        <f>IF(ISNUMBER(Clean_1_Numeric!B40),LOOKUP(Clean_1_Numeric!B40,size_lo,size_lbl),"")</f>
        <v>Small (1-10 kg)</v>
      </c>
      <c r="I40" t="str">
        <f>LOOKUP(Clean_1_Numeric!H40,danger_lo,danger_lbl)</f>
        <v>Low (1-2)</v>
      </c>
      <c r="J40">
        <f>IF(ISNUMBER(Clean_1_Numeric!I40),Clean_1_Numeric!I40^2,"")</f>
        <v>376.35999999999996</v>
      </c>
      <c r="K40">
        <f>Clean_1_Numeric!P40</f>
        <v>1</v>
      </c>
      <c r="L40">
        <f>Clean_1_Numeric!N40</f>
        <v>1</v>
      </c>
      <c r="M40">
        <f>IF(L40=1,COUNTIF(L$2:L40,1),"")</f>
        <v>31</v>
      </c>
    </row>
    <row r="41" spans="1:13" x14ac:dyDescent="0.25">
      <c r="A41">
        <f>Clean_1_Numeric!A41</f>
        <v>40</v>
      </c>
      <c r="B41">
        <f>IF(ISNUMBER(Clean_1_Numeric!B41),LOG10(Clean_1_Numeric!B41),"")</f>
        <v>0.54406804435027567</v>
      </c>
      <c r="C41">
        <f>IF(ISNUMBER(Clean_1_Numeric!C41),LOG10(Clean_1_Numeric!C41),"")</f>
        <v>1.0334237554869496</v>
      </c>
      <c r="D41">
        <f>IF(ISNUMBER(Clean_1_Numeric!D41),LOG10(Clean_1_Numeric!D41),"")</f>
        <v>0.81291335664285558</v>
      </c>
      <c r="E41">
        <f>IF(ISNUMBER(Clean_1_Numeric!E41),LOG10(Clean_1_Numeric!E41),"")</f>
        <v>2.0791812460476247</v>
      </c>
      <c r="F41">
        <f>IF(AND(ISNUMBER(Clean_1_Numeric!B41),ISNUMBER(Clean_1_Numeric!C41)),Clean_1_Numeric!C41/Clean_1_Numeric!B41,"")</f>
        <v>3.0857142857142859</v>
      </c>
      <c r="G41" t="str">
        <f>IF(ISNUMBER(Clean_1_Numeric!I41),LOOKUP(Clean_1_Numeric!I41,sleep_lo,sleep_lbl),"")</f>
        <v>Long (12h+)</v>
      </c>
      <c r="H41" t="str">
        <f>IF(ISNUMBER(Clean_1_Numeric!B41),LOOKUP(Clean_1_Numeric!B41,size_lo,size_lbl),"")</f>
        <v>Small (1-10 kg)</v>
      </c>
      <c r="I41" t="str">
        <f>LOOKUP(Clean_1_Numeric!H41,danger_lo,danger_lbl)</f>
        <v>Low (1-2)</v>
      </c>
      <c r="J41">
        <f>IF(ISNUMBER(Clean_1_Numeric!I41),Clean_1_Numeric!I41^2,"")</f>
        <v>302.75999999999993</v>
      </c>
      <c r="K41">
        <f>Clean_1_Numeric!P41</f>
        <v>1</v>
      </c>
      <c r="L41">
        <f>Clean_1_Numeric!N41</f>
        <v>1</v>
      </c>
      <c r="M41">
        <f>IF(L41=1,COUNTIF(L$2:L41,1),"")</f>
        <v>32</v>
      </c>
    </row>
    <row r="42" spans="1:13" x14ac:dyDescent="0.25">
      <c r="A42">
        <f>Clean_1_Numeric!A42</f>
        <v>41</v>
      </c>
      <c r="B42">
        <f>IF(ISNUMBER(Clean_1_Numeric!B42),LOG10(Clean_1_Numeric!B42),"")</f>
        <v>2.3979400086720375</v>
      </c>
      <c r="C42">
        <f>IF(ISNUMBER(Clean_1_Numeric!C42),LOG10(Clean_1_Numeric!C42),"")</f>
        <v>2.6901960800285138</v>
      </c>
      <c r="D42">
        <f>IF(ISNUMBER(Clean_1_Numeric!D42),LOG10(Clean_1_Numeric!D42),"")</f>
        <v>1.3729120029701065</v>
      </c>
      <c r="E42">
        <f>IF(ISNUMBER(Clean_1_Numeric!E42),LOG10(Clean_1_Numeric!E42),"")</f>
        <v>2.6434526764861874</v>
      </c>
      <c r="F42">
        <f>IF(AND(ISNUMBER(Clean_1_Numeric!B42),ISNUMBER(Clean_1_Numeric!C42)),Clean_1_Numeric!C42/Clean_1_Numeric!B42,"")</f>
        <v>1.96</v>
      </c>
      <c r="G42" t="str">
        <f>IF(ISNUMBER(Clean_1_Numeric!I42),LOOKUP(Clean_1_Numeric!I42,sleep_lo,sleep_lbl),"")</f>
        <v/>
      </c>
      <c r="H42" t="str">
        <f>IF(ISNUMBER(Clean_1_Numeric!B42),LOOKUP(Clean_1_Numeric!B42,size_lo,size_lbl),"")</f>
        <v>Large (100+ kg)</v>
      </c>
      <c r="I42" t="str">
        <f>LOOKUP(Clean_1_Numeric!H42,danger_lo,danger_lbl)</f>
        <v>High (4-5)</v>
      </c>
      <c r="J42" t="str">
        <f>IF(ISNUMBER(Clean_1_Numeric!I42),Clean_1_Numeric!I42^2,"")</f>
        <v/>
      </c>
      <c r="K42">
        <f>Clean_1_Numeric!P42</f>
        <v>0</v>
      </c>
      <c r="L42">
        <f>Clean_1_Numeric!N42</f>
        <v>0</v>
      </c>
      <c r="M42" t="str">
        <f>IF(L42=1,COUNTIF(L$2:L42,1),"")</f>
        <v/>
      </c>
    </row>
    <row r="43" spans="1:13" x14ac:dyDescent="0.25">
      <c r="A43">
        <f>Clean_1_Numeric!A43</f>
        <v>42</v>
      </c>
      <c r="B43">
        <f>IF(ISNUMBER(Clean_1_Numeric!B43),LOG10(Clean_1_Numeric!B43),"")</f>
        <v>-0.31875876262441277</v>
      </c>
      <c r="C43">
        <f>IF(ISNUMBER(Clean_1_Numeric!C43),LOG10(Clean_1_Numeric!C43),"")</f>
        <v>1.1903316981702914</v>
      </c>
      <c r="D43">
        <f>IF(ISNUMBER(Clean_1_Numeric!D43),LOG10(Clean_1_Numeric!D43),"")</f>
        <v>1.0791812460476249</v>
      </c>
      <c r="E43">
        <f>IF(ISNUMBER(Clean_1_Numeric!E43),LOG10(Clean_1_Numeric!E43),"")</f>
        <v>2.1461280356782382</v>
      </c>
      <c r="F43">
        <f>IF(AND(ISNUMBER(Clean_1_Numeric!B43),ISNUMBER(Clean_1_Numeric!C43)),Clean_1_Numeric!C43/Clean_1_Numeric!B43,"")</f>
        <v>32.291666666666671</v>
      </c>
      <c r="G43" t="str">
        <f>IF(ISNUMBER(Clean_1_Numeric!I43),LOOKUP(Clean_1_Numeric!I43,sleep_lo,sleep_lbl),"")</f>
        <v>Long (12h+)</v>
      </c>
      <c r="H43" t="str">
        <f>IF(ISNUMBER(Clean_1_Numeric!B43),LOOKUP(Clean_1_Numeric!B43,size_lo,size_lbl),"")</f>
        <v>Tiny (&lt;1 kg)</v>
      </c>
      <c r="I43" t="str">
        <f>LOOKUP(Clean_1_Numeric!H43,danger_lo,danger_lbl)</f>
        <v>Low (1-2)</v>
      </c>
      <c r="J43">
        <f>IF(ISNUMBER(Clean_1_Numeric!I43),Clean_1_Numeric!I43^2,"")</f>
        <v>289</v>
      </c>
      <c r="K43">
        <f>Clean_1_Numeric!P43</f>
        <v>1</v>
      </c>
      <c r="L43">
        <f>Clean_1_Numeric!N43</f>
        <v>1</v>
      </c>
      <c r="M43">
        <f>IF(L43=1,COUNTIF(L$2:L43,1),"")</f>
        <v>33</v>
      </c>
    </row>
    <row r="44" spans="1:13" x14ac:dyDescent="0.25">
      <c r="A44">
        <f>Clean_1_Numeric!A44</f>
        <v>43</v>
      </c>
      <c r="B44">
        <f>IF(ISNUMBER(Clean_1_Numeric!B44),LOG10(Clean_1_Numeric!B44),"")</f>
        <v>1</v>
      </c>
      <c r="C44">
        <f>IF(ISNUMBER(Clean_1_Numeric!C44),LOG10(Clean_1_Numeric!C44),"")</f>
        <v>2.0606978403536118</v>
      </c>
      <c r="D44">
        <f>IF(ISNUMBER(Clean_1_Numeric!D44),LOG10(Clean_1_Numeric!D44),"")</f>
        <v>1.3053513694466237</v>
      </c>
      <c r="E44">
        <f>IF(ISNUMBER(Clean_1_Numeric!E44),LOG10(Clean_1_Numeric!E44),"")</f>
        <v>2.2304489213782741</v>
      </c>
      <c r="F44">
        <f>IF(AND(ISNUMBER(Clean_1_Numeric!B44),ISNUMBER(Clean_1_Numeric!C44)),Clean_1_Numeric!C44/Clean_1_Numeric!B44,"")</f>
        <v>11.5</v>
      </c>
      <c r="G44" t="str">
        <f>IF(ISNUMBER(Clean_1_Numeric!I44),LOOKUP(Clean_1_Numeric!I44,sleep_lo,sleep_lbl),"")</f>
        <v>Medium (8-12h)</v>
      </c>
      <c r="H44" t="str">
        <f>IF(ISNUMBER(Clean_1_Numeric!B44),LOOKUP(Clean_1_Numeric!B44,size_lo,size_lbl),"")</f>
        <v>Medium (10-100 kg)</v>
      </c>
      <c r="I44" t="str">
        <f>LOOKUP(Clean_1_Numeric!H44,danger_lo,danger_lbl)</f>
        <v>High (4-5)</v>
      </c>
      <c r="J44">
        <f>IF(ISNUMBER(Clean_1_Numeric!I44),Clean_1_Numeric!I44^2,"")</f>
        <v>118.81</v>
      </c>
      <c r="K44">
        <f>Clean_1_Numeric!P44</f>
        <v>1</v>
      </c>
      <c r="L44">
        <f>Clean_1_Numeric!N44</f>
        <v>1</v>
      </c>
      <c r="M44">
        <f>IF(L44=1,COUNTIF(L$2:L44,1),"")</f>
        <v>34</v>
      </c>
    </row>
    <row r="45" spans="1:13" x14ac:dyDescent="0.25">
      <c r="A45">
        <f>Clean_1_Numeric!A45</f>
        <v>44</v>
      </c>
      <c r="B45">
        <f>IF(ISNUMBER(Clean_1_Numeric!B45),LOG10(Clean_1_Numeric!B45),"")</f>
        <v>0.20951501454263097</v>
      </c>
      <c r="C45">
        <f>IF(ISNUMBER(Clean_1_Numeric!C45),LOG10(Clean_1_Numeric!C45),"")</f>
        <v>1.0569048513364727</v>
      </c>
      <c r="D45">
        <f>IF(ISNUMBER(Clean_1_Numeric!D45),LOG10(Clean_1_Numeric!D45),"")</f>
        <v>1.1139433523068367</v>
      </c>
      <c r="E45">
        <f>IF(ISNUMBER(Clean_1_Numeric!E45),LOG10(Clean_1_Numeric!E45),"")</f>
        <v>1.2304489213782739</v>
      </c>
      <c r="F45">
        <f>IF(AND(ISNUMBER(Clean_1_Numeric!B45),ISNUMBER(Clean_1_Numeric!C45)),Clean_1_Numeric!C45/Clean_1_Numeric!B45,"")</f>
        <v>7.0370370370370372</v>
      </c>
      <c r="G45" t="str">
        <f>IF(ISNUMBER(Clean_1_Numeric!I45),LOOKUP(Clean_1_Numeric!I45,sleep_lo,sleep_lbl),"")</f>
        <v>Long (12h+)</v>
      </c>
      <c r="H45" t="str">
        <f>IF(ISNUMBER(Clean_1_Numeric!B45),LOOKUP(Clean_1_Numeric!B45,size_lo,size_lbl),"")</f>
        <v>Small (1-10 kg)</v>
      </c>
      <c r="I45" t="str">
        <f>LOOKUP(Clean_1_Numeric!H45,danger_lo,danger_lbl)</f>
        <v>Low (1-2)</v>
      </c>
      <c r="J45">
        <f>IF(ISNUMBER(Clean_1_Numeric!I45),Clean_1_Numeric!I45^2,"")</f>
        <v>187.68999999999997</v>
      </c>
      <c r="K45">
        <f>Clean_1_Numeric!P45</f>
        <v>1</v>
      </c>
      <c r="L45">
        <f>Clean_1_Numeric!N45</f>
        <v>1</v>
      </c>
      <c r="M45">
        <f>IF(L45=1,COUNTIF(L$2:L45,1),"")</f>
        <v>35</v>
      </c>
    </row>
    <row r="46" spans="1:13" x14ac:dyDescent="0.25">
      <c r="A46">
        <f>Clean_1_Numeric!A46</f>
        <v>45</v>
      </c>
      <c r="B46">
        <f>IF(ISNUMBER(Clean_1_Numeric!B46),LOG10(Clean_1_Numeric!B46),"")</f>
        <v>2.2833012287035497</v>
      </c>
      <c r="C46">
        <f>IF(ISNUMBER(Clean_1_Numeric!C46),LOG10(Clean_1_Numeric!C46),"")</f>
        <v>2.255272505103306</v>
      </c>
      <c r="D46">
        <f>IF(ISNUMBER(Clean_1_Numeric!D46),LOG10(Clean_1_Numeric!D46),"")</f>
        <v>1.4313637641589874</v>
      </c>
      <c r="E46">
        <f>IF(ISNUMBER(Clean_1_Numeric!E46),LOG10(Clean_1_Numeric!E46),"")</f>
        <v>2.0606978403536118</v>
      </c>
      <c r="F46">
        <f>IF(AND(ISNUMBER(Clean_1_Numeric!B46),ISNUMBER(Clean_1_Numeric!C46)),Clean_1_Numeric!C46/Clean_1_Numeric!B46,"")</f>
        <v>0.9375</v>
      </c>
      <c r="G46" t="str">
        <f>IF(ISNUMBER(Clean_1_Numeric!I46),LOOKUP(Clean_1_Numeric!I46,sleep_lo,sleep_lbl),"")</f>
        <v>Medium (8-12h)</v>
      </c>
      <c r="H46" t="str">
        <f>IF(ISNUMBER(Clean_1_Numeric!B46),LOOKUP(Clean_1_Numeric!B46,size_lo,size_lbl),"")</f>
        <v>Large (100+ kg)</v>
      </c>
      <c r="I46" t="str">
        <f>LOOKUP(Clean_1_Numeric!H46,danger_lo,danger_lbl)</f>
        <v>High (4-5)</v>
      </c>
      <c r="J46">
        <f>IF(ISNUMBER(Clean_1_Numeric!I46),Clean_1_Numeric!I46^2,"")</f>
        <v>70.56</v>
      </c>
      <c r="K46">
        <f>Clean_1_Numeric!P46</f>
        <v>1</v>
      </c>
      <c r="L46">
        <f>Clean_1_Numeric!N46</f>
        <v>1</v>
      </c>
      <c r="M46">
        <f>IF(L46=1,COUNTIF(L$2:L46,1),"")</f>
        <v>36</v>
      </c>
    </row>
    <row r="47" spans="1:13" x14ac:dyDescent="0.25">
      <c r="A47">
        <f>Clean_1_Numeric!A47</f>
        <v>46</v>
      </c>
      <c r="B47">
        <f>IF(ISNUMBER(Clean_1_Numeric!B47),LOG10(Clean_1_Numeric!B47),"")</f>
        <v>0.3979400086720376</v>
      </c>
      <c r="C47">
        <f>IF(ISNUMBER(Clean_1_Numeric!C47),LOG10(Clean_1_Numeric!C47),"")</f>
        <v>1.0827853703164501</v>
      </c>
      <c r="D47">
        <f>IF(ISNUMBER(Clean_1_Numeric!D47),LOG10(Clean_1_Numeric!D47),"")</f>
        <v>1.255272505103306</v>
      </c>
      <c r="E47">
        <f>IF(ISNUMBER(Clean_1_Numeric!E47),LOG10(Clean_1_Numeric!E47),"")</f>
        <v>1.4913616938342726</v>
      </c>
      <c r="F47">
        <f>IF(AND(ISNUMBER(Clean_1_Numeric!B47),ISNUMBER(Clean_1_Numeric!C47)),Clean_1_Numeric!C47/Clean_1_Numeric!B47,"")</f>
        <v>4.84</v>
      </c>
      <c r="G47" t="str">
        <f>IF(ISNUMBER(Clean_1_Numeric!I47),LOOKUP(Clean_1_Numeric!I47,sleep_lo,sleep_lbl),"")</f>
        <v>Medium (8-12h)</v>
      </c>
      <c r="H47" t="str">
        <f>IF(ISNUMBER(Clean_1_Numeric!B47),LOOKUP(Clean_1_Numeric!B47,size_lo,size_lbl),"")</f>
        <v>Small (1-10 kg)</v>
      </c>
      <c r="I47" t="str">
        <f>LOOKUP(Clean_1_Numeric!H47,danger_lo,danger_lbl)</f>
        <v>High (4-5)</v>
      </c>
      <c r="J47">
        <f>IF(ISNUMBER(Clean_1_Numeric!I47),Clean_1_Numeric!I47^2,"")</f>
        <v>70.56</v>
      </c>
      <c r="K47">
        <f>Clean_1_Numeric!P47</f>
        <v>1</v>
      </c>
      <c r="L47">
        <f>Clean_1_Numeric!N47</f>
        <v>1</v>
      </c>
      <c r="M47">
        <f>IF(L47=1,COUNTIF(L$2:L47,1),"")</f>
        <v>37</v>
      </c>
    </row>
    <row r="48" spans="1:13" x14ac:dyDescent="0.25">
      <c r="A48">
        <f>Clean_1_Numeric!A48</f>
        <v>47</v>
      </c>
      <c r="B48">
        <f>IF(ISNUMBER(Clean_1_Numeric!B48),LOG10(Clean_1_Numeric!B48),"")</f>
        <v>0.63225477668471364</v>
      </c>
      <c r="C48">
        <f>IF(ISNUMBER(Clean_1_Numeric!C48),LOG10(Clean_1_Numeric!C48),"")</f>
        <v>1.5932860670204574</v>
      </c>
      <c r="D48">
        <f>IF(ISNUMBER(Clean_1_Numeric!D48),LOG10(Clean_1_Numeric!D48),"")</f>
        <v>1.1367205671564067</v>
      </c>
      <c r="E48">
        <f>IF(ISNUMBER(Clean_1_Numeric!E48),LOG10(Clean_1_Numeric!E48),"")</f>
        <v>1.7993405494535817</v>
      </c>
      <c r="F48">
        <f>IF(AND(ISNUMBER(Clean_1_Numeric!B48),ISNUMBER(Clean_1_Numeric!C48)),Clean_1_Numeric!C48/Clean_1_Numeric!B48,"")</f>
        <v>9.1417910447761201</v>
      </c>
      <c r="G48" t="str">
        <f>IF(ISNUMBER(Clean_1_Numeric!I48),LOOKUP(Clean_1_Numeric!I48,sleep_lo,sleep_lbl),"")</f>
        <v>Long (12h+)</v>
      </c>
      <c r="H48" t="str">
        <f>IF(ISNUMBER(Clean_1_Numeric!B48),LOOKUP(Clean_1_Numeric!B48,size_lo,size_lbl),"")</f>
        <v>Small (1-10 kg)</v>
      </c>
      <c r="I48" t="str">
        <f>LOOKUP(Clean_1_Numeric!H48,danger_lo,danger_lbl)</f>
        <v>Low (1-2)</v>
      </c>
      <c r="J48">
        <f>IF(ISNUMBER(Clean_1_Numeric!I48),Clean_1_Numeric!I48^2,"")</f>
        <v>156.25</v>
      </c>
      <c r="K48">
        <f>Clean_1_Numeric!P48</f>
        <v>1</v>
      </c>
      <c r="L48">
        <f>Clean_1_Numeric!N48</f>
        <v>1</v>
      </c>
      <c r="M48">
        <f>IF(L48=1,COUNTIF(L$2:L48,1),"")</f>
        <v>38</v>
      </c>
    </row>
    <row r="49" spans="1:13" x14ac:dyDescent="0.25">
      <c r="A49">
        <f>Clean_1_Numeric!A49</f>
        <v>48</v>
      </c>
      <c r="B49">
        <f>IF(ISNUMBER(Clean_1_Numeric!B49),LOG10(Clean_1_Numeric!B49),"")</f>
        <v>-0.55284196865778079</v>
      </c>
      <c r="C49">
        <f>IF(ISNUMBER(Clean_1_Numeric!C49),LOG10(Clean_1_Numeric!C49),"")</f>
        <v>0.27875360095282892</v>
      </c>
      <c r="D49">
        <f>IF(ISNUMBER(Clean_1_Numeric!D49),LOG10(Clean_1_Numeric!D49),"")</f>
        <v>0.67209785793571752</v>
      </c>
      <c r="E49">
        <f>IF(ISNUMBER(Clean_1_Numeric!E49),LOG10(Clean_1_Numeric!E49),"")</f>
        <v>1.3222192947339193</v>
      </c>
      <c r="F49">
        <f>IF(AND(ISNUMBER(Clean_1_Numeric!B49),ISNUMBER(Clean_1_Numeric!C49)),Clean_1_Numeric!C49/Clean_1_Numeric!B49,"")</f>
        <v>6.7857142857142847</v>
      </c>
      <c r="G49" t="str">
        <f>IF(ISNUMBER(Clean_1_Numeric!I49),LOOKUP(Clean_1_Numeric!I49,sleep_lo,sleep_lbl),"")</f>
        <v>Long (12h+)</v>
      </c>
      <c r="H49" t="str">
        <f>IF(ISNUMBER(Clean_1_Numeric!B49),LOOKUP(Clean_1_Numeric!B49,size_lo,size_lbl),"")</f>
        <v>Tiny (&lt;1 kg)</v>
      </c>
      <c r="I49" t="str">
        <f>LOOKUP(Clean_1_Numeric!H49,danger_lo,danger_lbl)</f>
        <v>Moderate (3)</v>
      </c>
      <c r="J49">
        <f>IF(ISNUMBER(Clean_1_Numeric!I49),Clean_1_Numeric!I49^2,"")</f>
        <v>174.23999999999998</v>
      </c>
      <c r="K49">
        <f>Clean_1_Numeric!P49</f>
        <v>1</v>
      </c>
      <c r="L49">
        <f>Clean_1_Numeric!N49</f>
        <v>1</v>
      </c>
      <c r="M49">
        <f>IF(L49=1,COUNTIF(L$2:L49,1),"")</f>
        <v>39</v>
      </c>
    </row>
    <row r="50" spans="1:13" x14ac:dyDescent="0.25">
      <c r="A50">
        <f>Clean_1_Numeric!A50</f>
        <v>49</v>
      </c>
      <c r="B50">
        <f>IF(ISNUMBER(Clean_1_Numeric!B50),LOG10(Clean_1_Numeric!B50),"")</f>
        <v>0.62685341466672573</v>
      </c>
      <c r="C50">
        <f>IF(ISNUMBER(Clean_1_Numeric!C50),LOG10(Clean_1_Numeric!C50),"")</f>
        <v>1.7024305364455252</v>
      </c>
      <c r="D50">
        <f>IF(ISNUMBER(Clean_1_Numeric!D50),LOG10(Clean_1_Numeric!D50),"")</f>
        <v>0.99122607569249488</v>
      </c>
      <c r="E50">
        <f>IF(ISNUMBER(Clean_1_Numeric!E50),LOG10(Clean_1_Numeric!E50),"")</f>
        <v>1.7160033436347992</v>
      </c>
      <c r="F50">
        <f>IF(AND(ISNUMBER(Clean_1_Numeric!B50),ISNUMBER(Clean_1_Numeric!C50)),Clean_1_Numeric!C50/Clean_1_Numeric!B50,"")</f>
        <v>11.900826446280991</v>
      </c>
      <c r="G50" t="str">
        <f>IF(ISNUMBER(Clean_1_Numeric!I50),LOOKUP(Clean_1_Numeric!I50,sleep_lo,sleep_lbl),"")</f>
        <v>Medium (8-12h)</v>
      </c>
      <c r="H50" t="str">
        <f>IF(ISNUMBER(Clean_1_Numeric!B50),LOOKUP(Clean_1_Numeric!B50,size_lo,size_lbl),"")</f>
        <v>Small (1-10 kg)</v>
      </c>
      <c r="I50" t="str">
        <f>LOOKUP(Clean_1_Numeric!H50,danger_lo,danger_lbl)</f>
        <v>Low (1-2)</v>
      </c>
      <c r="J50">
        <f>IF(ISNUMBER(Clean_1_Numeric!I50),Clean_1_Numeric!I50^2,"")</f>
        <v>96.04000000000002</v>
      </c>
      <c r="K50">
        <f>Clean_1_Numeric!P50</f>
        <v>1</v>
      </c>
      <c r="L50">
        <f>Clean_1_Numeric!N50</f>
        <v>1</v>
      </c>
      <c r="M50">
        <f>IF(L50=1,COUNTIF(L$2:L50,1),"")</f>
        <v>40</v>
      </c>
    </row>
    <row r="51" spans="1:13" x14ac:dyDescent="0.25">
      <c r="A51">
        <f>Clean_1_Numeric!A51</f>
        <v>50</v>
      </c>
      <c r="B51">
        <f>IF(ISNUMBER(Clean_1_Numeric!B51),LOG10(Clean_1_Numeric!B51),"")</f>
        <v>0.83250891270623628</v>
      </c>
      <c r="C51">
        <f>IF(ISNUMBER(Clean_1_Numeric!C51),LOG10(Clean_1_Numeric!C51),"")</f>
        <v>2.2528530309798933</v>
      </c>
      <c r="D51">
        <f>IF(ISNUMBER(Clean_1_Numeric!D51),LOG10(Clean_1_Numeric!D51),"")</f>
        <v>1.4623979978989561</v>
      </c>
      <c r="E51">
        <f>IF(ISNUMBER(Clean_1_Numeric!E51),LOG10(Clean_1_Numeric!E51),"")</f>
        <v>2.214843848047698</v>
      </c>
      <c r="F51">
        <f>IF(AND(ISNUMBER(Clean_1_Numeric!B51),ISNUMBER(Clean_1_Numeric!C51)),Clean_1_Numeric!C51/Clean_1_Numeric!B51,"")</f>
        <v>26.323529411764707</v>
      </c>
      <c r="G51" t="str">
        <f>IF(ISNUMBER(Clean_1_Numeric!I51),LOOKUP(Clean_1_Numeric!I51,sleep_lo,sleep_lbl),"")</f>
        <v>Medium (8-12h)</v>
      </c>
      <c r="H51" t="str">
        <f>IF(ISNUMBER(Clean_1_Numeric!B51),LOOKUP(Clean_1_Numeric!B51,size_lo,size_lbl),"")</f>
        <v>Small (1-10 kg)</v>
      </c>
      <c r="I51" t="str">
        <f>LOOKUP(Clean_1_Numeric!H51,danger_lo,danger_lbl)</f>
        <v>Low (1-2)</v>
      </c>
      <c r="J51">
        <f>IF(ISNUMBER(Clean_1_Numeric!I51),Clean_1_Numeric!I51^2,"")</f>
        <v>92.16</v>
      </c>
      <c r="K51">
        <f>Clean_1_Numeric!P51</f>
        <v>1</v>
      </c>
      <c r="L51">
        <f>Clean_1_Numeric!N51</f>
        <v>1</v>
      </c>
      <c r="M51">
        <f>IF(L51=1,COUNTIF(L$2:L51,1),"")</f>
        <v>41</v>
      </c>
    </row>
    <row r="52" spans="1:13" x14ac:dyDescent="0.25">
      <c r="A52">
        <f>Clean_1_Numeric!A52</f>
        <v>51</v>
      </c>
      <c r="B52">
        <f>IF(ISNUMBER(Clean_1_Numeric!B52),LOG10(Clean_1_Numeric!B52),"")</f>
        <v>-0.12493873660829995</v>
      </c>
      <c r="C52">
        <f>IF(ISNUMBER(Clean_1_Numeric!C52),LOG10(Clean_1_Numeric!C52),"")</f>
        <v>1.0899051114393981</v>
      </c>
      <c r="D52">
        <f>IF(ISNUMBER(Clean_1_Numeric!D52),LOG10(Clean_1_Numeric!D52),"")</f>
        <v>0.84509804001425681</v>
      </c>
      <c r="E52">
        <f>IF(ISNUMBER(Clean_1_Numeric!E52),LOG10(Clean_1_Numeric!E52),"")</f>
        <v>2.3521825181113627</v>
      </c>
      <c r="F52">
        <f>IF(AND(ISNUMBER(Clean_1_Numeric!B52),ISNUMBER(Clean_1_Numeric!C52)),Clean_1_Numeric!C52/Clean_1_Numeric!B52,"")</f>
        <v>16.400000000000002</v>
      </c>
      <c r="G52" t="str">
        <f>IF(ISNUMBER(Clean_1_Numeric!I52),LOOKUP(Clean_1_Numeric!I52,sleep_lo,sleep_lbl),"")</f>
        <v>Short (&lt;8h)</v>
      </c>
      <c r="H52" t="str">
        <f>IF(ISNUMBER(Clean_1_Numeric!B52),LOOKUP(Clean_1_Numeric!B52,size_lo,size_lbl),"")</f>
        <v>Tiny (&lt;1 kg)</v>
      </c>
      <c r="I52" t="str">
        <f>LOOKUP(Clean_1_Numeric!H52,danger_lo,danger_lbl)</f>
        <v>Low (1-2)</v>
      </c>
      <c r="J52">
        <f>IF(ISNUMBER(Clean_1_Numeric!I52),Clean_1_Numeric!I52^2,"")</f>
        <v>43.559999999999995</v>
      </c>
      <c r="K52">
        <f>Clean_1_Numeric!P52</f>
        <v>1</v>
      </c>
      <c r="L52">
        <f>Clean_1_Numeric!N52</f>
        <v>1</v>
      </c>
      <c r="M52">
        <f>IF(L52=1,COUNTIF(L$2:L52,1),"")</f>
        <v>42</v>
      </c>
    </row>
    <row r="53" spans="1:13" x14ac:dyDescent="0.25">
      <c r="A53">
        <f>Clean_1_Numeric!A53</f>
        <v>52</v>
      </c>
      <c r="B53">
        <f>IF(ISNUMBER(Clean_1_Numeric!B53),LOG10(Clean_1_Numeric!B53),"")</f>
        <v>0.55630250076728727</v>
      </c>
      <c r="C53">
        <f>IF(ISNUMBER(Clean_1_Numeric!C53),LOG10(Clean_1_Numeric!C53),"")</f>
        <v>1.3222192947339193</v>
      </c>
      <c r="D53">
        <f>IF(ISNUMBER(Clean_1_Numeric!D53),LOG10(Clean_1_Numeric!D53),"")</f>
        <v>0.77815125038364363</v>
      </c>
      <c r="E53">
        <f>IF(ISNUMBER(Clean_1_Numeric!E53),LOG10(Clean_1_Numeric!E53),"")</f>
        <v>2.3521825181113627</v>
      </c>
      <c r="F53">
        <f>IF(AND(ISNUMBER(Clean_1_Numeric!B53),ISNUMBER(Clean_1_Numeric!C53)),Clean_1_Numeric!C53/Clean_1_Numeric!B53,"")</f>
        <v>5.833333333333333</v>
      </c>
      <c r="G53" t="str">
        <f>IF(ISNUMBER(Clean_1_Numeric!I53),LOOKUP(Clean_1_Numeric!I53,sleep_lo,sleep_lbl),"")</f>
        <v>Short (&lt;8h)</v>
      </c>
      <c r="H53" t="str">
        <f>IF(ISNUMBER(Clean_1_Numeric!B53),LOOKUP(Clean_1_Numeric!B53,size_lo,size_lbl),"")</f>
        <v>Small (1-10 kg)</v>
      </c>
      <c r="I53" t="str">
        <f>LOOKUP(Clean_1_Numeric!H53,danger_lo,danger_lbl)</f>
        <v>Moderate (3)</v>
      </c>
      <c r="J53">
        <f>IF(ISNUMBER(Clean_1_Numeric!I53),Clean_1_Numeric!I53^2,"")</f>
        <v>29.160000000000004</v>
      </c>
      <c r="K53">
        <f>Clean_1_Numeric!P53</f>
        <v>1</v>
      </c>
      <c r="L53">
        <f>Clean_1_Numeric!N53</f>
        <v>1</v>
      </c>
      <c r="M53">
        <f>IF(L53=1,COUNTIF(L$2:L53,1),"")</f>
        <v>43</v>
      </c>
    </row>
    <row r="54" spans="1:13" x14ac:dyDescent="0.25">
      <c r="A54">
        <f>Clean_1_Numeric!A54</f>
        <v>53</v>
      </c>
      <c r="B54">
        <f>IF(ISNUMBER(Clean_1_Numeric!B54),LOG10(Clean_1_Numeric!B54),"")</f>
        <v>1.171141151028382</v>
      </c>
      <c r="C54">
        <f>IF(ISNUMBER(Clean_1_Numeric!C54),LOG10(Clean_1_Numeric!C54),"")</f>
        <v>1.9921114877869497</v>
      </c>
      <c r="D54">
        <f>IF(ISNUMBER(Clean_1_Numeric!D54),LOG10(Clean_1_Numeric!D54),"")</f>
        <v>1.2304489213782739</v>
      </c>
      <c r="E54">
        <f>IF(ISNUMBER(Clean_1_Numeric!E54),LOG10(Clean_1_Numeric!E54),"")</f>
        <v>2.1760912590556813</v>
      </c>
      <c r="F54">
        <f>IF(AND(ISNUMBER(Clean_1_Numeric!B54),ISNUMBER(Clean_1_Numeric!C54)),Clean_1_Numeric!C54/Clean_1_Numeric!B54,"")</f>
        <v>6.6217127444369526</v>
      </c>
      <c r="G54" t="str">
        <f>IF(ISNUMBER(Clean_1_Numeric!I54),LOOKUP(Clean_1_Numeric!I54,sleep_lo,sleep_lbl),"")</f>
        <v>Short (&lt;8h)</v>
      </c>
      <c r="H54" t="str">
        <f>IF(ISNUMBER(Clean_1_Numeric!B54),LOOKUP(Clean_1_Numeric!B54,size_lo,size_lbl),"")</f>
        <v>Medium (10-100 kg)</v>
      </c>
      <c r="I54" t="str">
        <f>LOOKUP(Clean_1_Numeric!H54,danger_lo,danger_lbl)</f>
        <v>High (4-5)</v>
      </c>
      <c r="J54">
        <f>IF(ISNUMBER(Clean_1_Numeric!I54),Clean_1_Numeric!I54^2,"")</f>
        <v>6.7600000000000007</v>
      </c>
      <c r="K54">
        <f>Clean_1_Numeric!P54</f>
        <v>1</v>
      </c>
      <c r="L54">
        <f>Clean_1_Numeric!N54</f>
        <v>1</v>
      </c>
      <c r="M54">
        <f>IF(L54=1,COUNTIF(L$2:L54,1),"")</f>
        <v>44</v>
      </c>
    </row>
    <row r="55" spans="1:13" x14ac:dyDescent="0.25">
      <c r="A55">
        <f>Clean_1_Numeric!A55</f>
        <v>54</v>
      </c>
      <c r="B55">
        <f>IF(ISNUMBER(Clean_1_Numeric!B55),LOG10(Clean_1_Numeric!B55),"")</f>
        <v>1.7442929831226763</v>
      </c>
      <c r="C55">
        <f>IF(ISNUMBER(Clean_1_Numeric!C55),LOG10(Clean_1_Numeric!C55),"")</f>
        <v>2.2430380486862944</v>
      </c>
      <c r="D55">
        <f>IF(ISNUMBER(Clean_1_Numeric!D55),LOG10(Clean_1_Numeric!D55),"")</f>
        <v>1.3010299956639813</v>
      </c>
      <c r="E55">
        <f>IF(ISNUMBER(Clean_1_Numeric!E55),LOG10(Clean_1_Numeric!E55),"")</f>
        <v>2.1789769472931693</v>
      </c>
      <c r="F55">
        <f>IF(AND(ISNUMBER(Clean_1_Numeric!B55),ISNUMBER(Clean_1_Numeric!C55)),Clean_1_Numeric!C55/Clean_1_Numeric!B55,"")</f>
        <v>3.1531531531531534</v>
      </c>
      <c r="G55" t="str">
        <f>IF(ISNUMBER(Clean_1_Numeric!I55),LOOKUP(Clean_1_Numeric!I55,sleep_lo,sleep_lbl),"")</f>
        <v>Short (&lt;8h)</v>
      </c>
      <c r="H55" t="str">
        <f>IF(ISNUMBER(Clean_1_Numeric!B55),LOOKUP(Clean_1_Numeric!B55,size_lo,size_lbl),"")</f>
        <v>Medium (10-100 kg)</v>
      </c>
      <c r="I55" t="str">
        <f>LOOKUP(Clean_1_Numeric!H55,danger_lo,danger_lbl)</f>
        <v>High (4-5)</v>
      </c>
      <c r="J55">
        <f>IF(ISNUMBER(Clean_1_Numeric!I55),Clean_1_Numeric!I55^2,"")</f>
        <v>14.44</v>
      </c>
      <c r="K55">
        <f>Clean_1_Numeric!P55</f>
        <v>1</v>
      </c>
      <c r="L55">
        <f>Clean_1_Numeric!N55</f>
        <v>1</v>
      </c>
      <c r="M55">
        <f>IF(L55=1,COUNTIF(L$2:L55,1),"")</f>
        <v>45</v>
      </c>
    </row>
    <row r="56" spans="1:13" x14ac:dyDescent="0.25">
      <c r="A56">
        <f>Clean_1_Numeric!A56</f>
        <v>55</v>
      </c>
      <c r="B56">
        <f>IF(ISNUMBER(Clean_1_Numeric!B56),LOG10(Clean_1_Numeric!B56),"")</f>
        <v>0.14612803567823801</v>
      </c>
      <c r="C56">
        <f>IF(ISNUMBER(Clean_1_Numeric!C56),LOG10(Clean_1_Numeric!C56),"")</f>
        <v>1.0969100130080565</v>
      </c>
      <c r="D56">
        <f>IF(ISNUMBER(Clean_1_Numeric!D56),LOG10(Clean_1_Numeric!D56),"")</f>
        <v>1.1038037209559568</v>
      </c>
      <c r="E56">
        <f>IF(ISNUMBER(Clean_1_Numeric!E56),LOG10(Clean_1_Numeric!E56),"")</f>
        <v>1.954242509439325</v>
      </c>
      <c r="F56">
        <f>IF(AND(ISNUMBER(Clean_1_Numeric!B56),ISNUMBER(Clean_1_Numeric!C56)),Clean_1_Numeric!C56/Clean_1_Numeric!B56,"")</f>
        <v>8.9285714285714288</v>
      </c>
      <c r="G56" t="str">
        <f>IF(ISNUMBER(Clean_1_Numeric!I56),LOOKUP(Clean_1_Numeric!I56,sleep_lo,sleep_lbl),"")</f>
        <v>Medium (8-12h)</v>
      </c>
      <c r="H56" t="str">
        <f>IF(ISNUMBER(Clean_1_Numeric!B56),LOOKUP(Clean_1_Numeric!B56,size_lo,size_lbl),"")</f>
        <v>Small (1-10 kg)</v>
      </c>
      <c r="I56" t="str">
        <f>LOOKUP(Clean_1_Numeric!H56,danger_lo,danger_lbl)</f>
        <v>Low (1-2)</v>
      </c>
      <c r="J56">
        <f>IF(ISNUMBER(Clean_1_Numeric!I56),Clean_1_Numeric!I56^2,"")</f>
        <v>121</v>
      </c>
      <c r="K56">
        <f>Clean_1_Numeric!P56</f>
        <v>1</v>
      </c>
      <c r="L56">
        <f>Clean_1_Numeric!N56</f>
        <v>1</v>
      </c>
      <c r="M56">
        <f>IF(L56=1,COUNTIF(L$2:L56,1),"")</f>
        <v>46</v>
      </c>
    </row>
    <row r="57" spans="1:13" x14ac:dyDescent="0.25">
      <c r="A57">
        <f>Clean_1_Numeric!A57</f>
        <v>56</v>
      </c>
      <c r="B57">
        <f>IF(ISNUMBER(Clean_1_Numeric!B57),LOG10(Clean_1_Numeric!B57),"")</f>
        <v>-1.2218487496163564</v>
      </c>
      <c r="C57">
        <f>IF(ISNUMBER(Clean_1_Numeric!C57),LOG10(Clean_1_Numeric!C57),"")</f>
        <v>0</v>
      </c>
      <c r="D57">
        <f>IF(ISNUMBER(Clean_1_Numeric!D57),LOG10(Clean_1_Numeric!D57),"")</f>
        <v>0.54406804435027567</v>
      </c>
      <c r="E57" t="str">
        <f>IF(ISNUMBER(Clean_1_Numeric!E57),LOG10(Clean_1_Numeric!E57),"")</f>
        <v/>
      </c>
      <c r="F57">
        <f>IF(AND(ISNUMBER(Clean_1_Numeric!B57),ISNUMBER(Clean_1_Numeric!C57)),Clean_1_Numeric!C57/Clean_1_Numeric!B57,"")</f>
        <v>16.666666666666668</v>
      </c>
      <c r="G57" t="str">
        <f>IF(ISNUMBER(Clean_1_Numeric!I57),LOOKUP(Clean_1_Numeric!I57,sleep_lo,sleep_lbl),"")</f>
        <v>Medium (8-12h)</v>
      </c>
      <c r="H57" t="str">
        <f>IF(ISNUMBER(Clean_1_Numeric!B57),LOOKUP(Clean_1_Numeric!B57,size_lo,size_lbl),"")</f>
        <v>Tiny (&lt;1 kg)</v>
      </c>
      <c r="I57" t="str">
        <f>LOOKUP(Clean_1_Numeric!H57,danger_lo,danger_lbl)</f>
        <v>Low (1-2)</v>
      </c>
      <c r="J57">
        <f>IF(ISNUMBER(Clean_1_Numeric!I57),Clean_1_Numeric!I57^2,"")</f>
        <v>106.09000000000002</v>
      </c>
      <c r="K57">
        <f>Clean_1_Numeric!P57</f>
        <v>1</v>
      </c>
      <c r="L57">
        <f>Clean_1_Numeric!N57</f>
        <v>0</v>
      </c>
      <c r="M57" t="str">
        <f>IF(L57=1,COUNTIF(L$2:L57,1),"")</f>
        <v/>
      </c>
    </row>
    <row r="58" spans="1:13" x14ac:dyDescent="0.25">
      <c r="A58">
        <f>Clean_1_Numeric!A58</f>
        <v>57</v>
      </c>
      <c r="B58">
        <f>IF(ISNUMBER(Clean_1_Numeric!B58),LOG10(Clean_1_Numeric!B58),"")</f>
        <v>-4.5757490560675115E-2</v>
      </c>
      <c r="C58">
        <f>IF(ISNUMBER(Clean_1_Numeric!C58),LOG10(Clean_1_Numeric!C58),"")</f>
        <v>0.41497334797081797</v>
      </c>
      <c r="D58">
        <f>IF(ISNUMBER(Clean_1_Numeric!D58),LOG10(Clean_1_Numeric!D58),"")</f>
        <v>0.65321251377534373</v>
      </c>
      <c r="E58">
        <f>IF(ISNUMBER(Clean_1_Numeric!E58),LOG10(Clean_1_Numeric!E58),"")</f>
        <v>1.7781512503836436</v>
      </c>
      <c r="F58">
        <f>IF(AND(ISNUMBER(Clean_1_Numeric!B58),ISNUMBER(Clean_1_Numeric!C58)),Clean_1_Numeric!C58/Clean_1_Numeric!B58,"")</f>
        <v>2.8888888888888888</v>
      </c>
      <c r="G58" t="str">
        <f>IF(ISNUMBER(Clean_1_Numeric!I58),LOOKUP(Clean_1_Numeric!I58,sleep_lo,sleep_lbl),"")</f>
        <v>Long (12h+)</v>
      </c>
      <c r="H58" t="str">
        <f>IF(ISNUMBER(Clean_1_Numeric!B58),LOOKUP(Clean_1_Numeric!B58,size_lo,size_lbl),"")</f>
        <v>Tiny (&lt;1 kg)</v>
      </c>
      <c r="I58" t="str">
        <f>LOOKUP(Clean_1_Numeric!H58,danger_lo,danger_lbl)</f>
        <v>Low (1-2)</v>
      </c>
      <c r="J58">
        <f>IF(ISNUMBER(Clean_1_Numeric!I58),Clean_1_Numeric!I58^2,"")</f>
        <v>176.89000000000001</v>
      </c>
      <c r="K58">
        <f>Clean_1_Numeric!P58</f>
        <v>1</v>
      </c>
      <c r="L58">
        <f>Clean_1_Numeric!N58</f>
        <v>1</v>
      </c>
      <c r="M58">
        <f>IF(L58=1,COUNTIF(L$2:L58,1),"")</f>
        <v>47</v>
      </c>
    </row>
    <row r="59" spans="1:13" x14ac:dyDescent="0.25">
      <c r="A59">
        <f>Clean_1_Numeric!A59</f>
        <v>58</v>
      </c>
      <c r="B59">
        <f>IF(ISNUMBER(Clean_1_Numeric!B59),LOG10(Clean_1_Numeric!B59),"")</f>
        <v>0.3010299956639812</v>
      </c>
      <c r="C59">
        <f>IF(ISNUMBER(Clean_1_Numeric!C59),LOG10(Clean_1_Numeric!C59),"")</f>
        <v>1.0899051114393981</v>
      </c>
      <c r="D59">
        <f>IF(ISNUMBER(Clean_1_Numeric!D59),LOG10(Clean_1_Numeric!D59),"")</f>
        <v>0.87506126339170009</v>
      </c>
      <c r="E59">
        <f>IF(ISNUMBER(Clean_1_Numeric!E59),LOG10(Clean_1_Numeric!E59),"")</f>
        <v>2.3010299956639813</v>
      </c>
      <c r="F59">
        <f>IF(AND(ISNUMBER(Clean_1_Numeric!B59),ISNUMBER(Clean_1_Numeric!C59)),Clean_1_Numeric!C59/Clean_1_Numeric!B59,"")</f>
        <v>6.15</v>
      </c>
      <c r="G59" t="str">
        <f>IF(ISNUMBER(Clean_1_Numeric!I59),LOOKUP(Clean_1_Numeric!I59,sleep_lo,sleep_lbl),"")</f>
        <v>Short (&lt;8h)</v>
      </c>
      <c r="H59" t="str">
        <f>IF(ISNUMBER(Clean_1_Numeric!B59),LOOKUP(Clean_1_Numeric!B59,size_lo,size_lbl),"")</f>
        <v>Small (1-10 kg)</v>
      </c>
      <c r="I59" t="str">
        <f>LOOKUP(Clean_1_Numeric!H59,danger_lo,danger_lbl)</f>
        <v>Moderate (3)</v>
      </c>
      <c r="J59">
        <f>IF(ISNUMBER(Clean_1_Numeric!I59),Clean_1_Numeric!I59^2,"")</f>
        <v>29.160000000000004</v>
      </c>
      <c r="K59">
        <f>Clean_1_Numeric!P59</f>
        <v>1</v>
      </c>
      <c r="L59">
        <f>Clean_1_Numeric!N59</f>
        <v>1</v>
      </c>
      <c r="M59">
        <f>IF(L59=1,COUNTIF(L$2:L59,1),"")</f>
        <v>48</v>
      </c>
    </row>
    <row r="60" spans="1:13" x14ac:dyDescent="0.25">
      <c r="A60">
        <f>Clean_1_Numeric!A60</f>
        <v>59</v>
      </c>
      <c r="B60">
        <f>IF(ISNUMBER(Clean_1_Numeric!B60),LOG10(Clean_1_Numeric!B60),"")</f>
        <v>-0.98296666070121963</v>
      </c>
      <c r="C60">
        <f>IF(ISNUMBER(Clean_1_Numeric!C60),LOG10(Clean_1_Numeric!C60),"")</f>
        <v>0.3979400086720376</v>
      </c>
      <c r="D60">
        <f>IF(ISNUMBER(Clean_1_Numeric!D60),LOG10(Clean_1_Numeric!D60),"")</f>
        <v>0.36172783601759284</v>
      </c>
      <c r="E60">
        <f>IF(ISNUMBER(Clean_1_Numeric!E60),LOG10(Clean_1_Numeric!E60),"")</f>
        <v>1.6627578316815741</v>
      </c>
      <c r="F60">
        <f>IF(AND(ISNUMBER(Clean_1_Numeric!B60),ISNUMBER(Clean_1_Numeric!C60)),Clean_1_Numeric!C60/Clean_1_Numeric!B60,"")</f>
        <v>24.03846153846154</v>
      </c>
      <c r="G60" t="str">
        <f>IF(ISNUMBER(Clean_1_Numeric!I60),LOOKUP(Clean_1_Numeric!I60,sleep_lo,sleep_lbl),"")</f>
        <v>Long (12h+)</v>
      </c>
      <c r="H60" t="str">
        <f>IF(ISNUMBER(Clean_1_Numeric!B60),LOOKUP(Clean_1_Numeric!B60,size_lo,size_lbl),"")</f>
        <v>Tiny (&lt;1 kg)</v>
      </c>
      <c r="I60" t="str">
        <f>LOOKUP(Clean_1_Numeric!H60,danger_lo,danger_lbl)</f>
        <v>Low (1-2)</v>
      </c>
      <c r="J60">
        <f>IF(ISNUMBER(Clean_1_Numeric!I60),Clean_1_Numeric!I60^2,"")</f>
        <v>249.64000000000001</v>
      </c>
      <c r="K60">
        <f>Clean_1_Numeric!P60</f>
        <v>1</v>
      </c>
      <c r="L60">
        <f>Clean_1_Numeric!N60</f>
        <v>1</v>
      </c>
      <c r="M60">
        <f>IF(L60=1,COUNTIF(L$2:L60,1),"")</f>
        <v>49</v>
      </c>
    </row>
    <row r="61" spans="1:13" x14ac:dyDescent="0.25">
      <c r="A61">
        <f>Clean_1_Numeric!A61</f>
        <v>60</v>
      </c>
      <c r="B61">
        <f>IF(ISNUMBER(Clean_1_Numeric!B61),LOG10(Clean_1_Numeric!B61),"")</f>
        <v>0.62221402296629535</v>
      </c>
      <c r="C61">
        <f>IF(ISNUMBER(Clean_1_Numeric!C61),LOG10(Clean_1_Numeric!C61),"")</f>
        <v>1.7634279935629373</v>
      </c>
      <c r="D61">
        <f>IF(ISNUMBER(Clean_1_Numeric!D61),LOG10(Clean_1_Numeric!D61),"")</f>
        <v>1.3802112417116059</v>
      </c>
      <c r="E61">
        <f>IF(ISNUMBER(Clean_1_Numeric!E61),LOG10(Clean_1_Numeric!E61),"")</f>
        <v>2.3222192947339191</v>
      </c>
      <c r="F61">
        <f>IF(AND(ISNUMBER(Clean_1_Numeric!B61),ISNUMBER(Clean_1_Numeric!C61)),Clean_1_Numeric!C61/Clean_1_Numeric!B61,"")</f>
        <v>13.842482100238662</v>
      </c>
      <c r="G61" t="str">
        <f>IF(ISNUMBER(Clean_1_Numeric!I61),LOOKUP(Clean_1_Numeric!I61,sleep_lo,sleep_lbl),"")</f>
        <v>Medium (8-12h)</v>
      </c>
      <c r="H61" t="str">
        <f>IF(ISNUMBER(Clean_1_Numeric!B61),LOOKUP(Clean_1_Numeric!B61,size_lo,size_lbl),"")</f>
        <v>Small (1-10 kg)</v>
      </c>
      <c r="I61" t="str">
        <f>LOOKUP(Clean_1_Numeric!H61,danger_lo,danger_lbl)</f>
        <v>High (4-5)</v>
      </c>
      <c r="J61">
        <f>IF(ISNUMBER(Clean_1_Numeric!I61),Clean_1_Numeric!I61^2,"")</f>
        <v>106.09000000000002</v>
      </c>
      <c r="K61">
        <f>Clean_1_Numeric!P61</f>
        <v>1</v>
      </c>
      <c r="L61">
        <f>Clean_1_Numeric!N61</f>
        <v>1</v>
      </c>
      <c r="M61">
        <f>IF(L61=1,COUNTIF(L$2:L61,1),"")</f>
        <v>50</v>
      </c>
    </row>
    <row r="62" spans="1:13" x14ac:dyDescent="0.25">
      <c r="A62">
        <f>Clean_1_Numeric!A62</f>
        <v>61</v>
      </c>
      <c r="B62">
        <f>IF(ISNUMBER(Clean_1_Numeric!B62),LOG10(Clean_1_Numeric!B62),"")</f>
        <v>0.54406804435027567</v>
      </c>
      <c r="C62">
        <f>IF(ISNUMBER(Clean_1_Numeric!C62),LOG10(Clean_1_Numeric!C62),"")</f>
        <v>0.59106460702649921</v>
      </c>
      <c r="D62">
        <f>IF(ISNUMBER(Clean_1_Numeric!D62),LOG10(Clean_1_Numeric!D62),"")</f>
        <v>0.47712125471966244</v>
      </c>
      <c r="E62">
        <f>IF(ISNUMBER(Clean_1_Numeric!E62),LOG10(Clean_1_Numeric!E62),"")</f>
        <v>1.146128035678238</v>
      </c>
      <c r="F62">
        <f>IF(AND(ISNUMBER(Clean_1_Numeric!B62),ISNUMBER(Clean_1_Numeric!C62)),Clean_1_Numeric!C62/Clean_1_Numeric!B62,"")</f>
        <v>1.1142857142857143</v>
      </c>
      <c r="G62" t="str">
        <f>IF(ISNUMBER(Clean_1_Numeric!I62),LOOKUP(Clean_1_Numeric!I62,sleep_lo,sleep_lbl),"")</f>
        <v>Long (12h+)</v>
      </c>
      <c r="H62" t="str">
        <f>IF(ISNUMBER(Clean_1_Numeric!B62),LOOKUP(Clean_1_Numeric!B62,size_lo,size_lbl),"")</f>
        <v>Small (1-10 kg)</v>
      </c>
      <c r="I62" t="str">
        <f>LOOKUP(Clean_1_Numeric!H62,danger_lo,danger_lbl)</f>
        <v>Low (1-2)</v>
      </c>
      <c r="J62">
        <f>IF(ISNUMBER(Clean_1_Numeric!I62),Clean_1_Numeric!I62^2,"")</f>
        <v>376.35999999999996</v>
      </c>
      <c r="K62">
        <f>Clean_1_Numeric!P62</f>
        <v>1</v>
      </c>
      <c r="L62">
        <f>Clean_1_Numeric!N62</f>
        <v>1</v>
      </c>
      <c r="M62">
        <f>IF(L62=1,COUNTIF(L$2:L62,1),"")</f>
        <v>51</v>
      </c>
    </row>
    <row r="63" spans="1:13" x14ac:dyDescent="0.25">
      <c r="A63">
        <f>Clean_1_Numeric!A63</f>
        <v>62</v>
      </c>
      <c r="B63">
        <f>IF(ISNUMBER(Clean_1_Numeric!B63),LOG10(Clean_1_Numeric!B63),"")</f>
        <v>0.60745502321466849</v>
      </c>
      <c r="C63">
        <f>IF(ISNUMBER(Clean_1_Numeric!C63),LOG10(Clean_1_Numeric!C63),"")</f>
        <v>1.2304489213782739</v>
      </c>
      <c r="D63">
        <f>IF(ISNUMBER(Clean_1_Numeric!D63),LOG10(Clean_1_Numeric!D63),"")</f>
        <v>1.1139433523068367</v>
      </c>
      <c r="E63">
        <f>IF(ISNUMBER(Clean_1_Numeric!E63),LOG10(Clean_1_Numeric!E63),"")</f>
        <v>1.5797835966168101</v>
      </c>
      <c r="F63">
        <f>IF(AND(ISNUMBER(Clean_1_Numeric!B63),ISNUMBER(Clean_1_Numeric!C63)),Clean_1_Numeric!C63/Clean_1_Numeric!B63,"")</f>
        <v>4.1975308641975309</v>
      </c>
      <c r="G63" t="str">
        <f>IF(ISNUMBER(Clean_1_Numeric!I63),LOOKUP(Clean_1_Numeric!I63,sleep_lo,sleep_lbl),"")</f>
        <v/>
      </c>
      <c r="H63" t="str">
        <f>IF(ISNUMBER(Clean_1_Numeric!B63),LOOKUP(Clean_1_Numeric!B63,size_lo,size_lbl),"")</f>
        <v>Small (1-10 kg)</v>
      </c>
      <c r="I63" t="str">
        <f>LOOKUP(Clean_1_Numeric!H63,danger_lo,danger_lbl)</f>
        <v>Low (1-2)</v>
      </c>
      <c r="J63" t="str">
        <f>IF(ISNUMBER(Clean_1_Numeric!I63),Clean_1_Numeric!I63^2,"")</f>
        <v/>
      </c>
      <c r="K63">
        <f>Clean_1_Numeric!P63</f>
        <v>0</v>
      </c>
      <c r="L63">
        <f>Clean_1_Numeric!N63</f>
        <v>0</v>
      </c>
      <c r="M63" t="str">
        <f>IF(L63=1,COUNTIF(L$2:L63,1),"")</f>
        <v/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L52"/>
  <sheetViews>
    <sheetView zoomScaleNormal="10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ColWidth="8.6328125" defaultRowHeight="12.5" x14ac:dyDescent="0.25"/>
  <cols>
    <col min="1" max="10" width="17.7265625" customWidth="1"/>
  </cols>
  <sheetData>
    <row r="1" spans="1:12" ht="26" x14ac:dyDescent="0.3">
      <c r="A1" s="12" t="s">
        <v>27</v>
      </c>
      <c r="B1" s="12" t="s">
        <v>28</v>
      </c>
      <c r="C1" s="12" t="s">
        <v>7</v>
      </c>
      <c r="D1" s="12" t="s">
        <v>17</v>
      </c>
      <c r="E1" s="12" t="s">
        <v>19</v>
      </c>
      <c r="F1" s="12" t="s">
        <v>20</v>
      </c>
      <c r="G1" s="12" t="s">
        <v>6</v>
      </c>
      <c r="H1" s="12" t="s">
        <v>29</v>
      </c>
      <c r="I1" s="12" t="s">
        <v>30</v>
      </c>
      <c r="J1" s="12" t="s">
        <v>31</v>
      </c>
      <c r="L1" s="13"/>
    </row>
    <row r="2" spans="1:12" x14ac:dyDescent="0.25">
      <c r="A2">
        <v>1</v>
      </c>
      <c r="B2">
        <f t="shared" ref="B2:B33" si="0">MATCH(A2,x_seq,0)</f>
        <v>1</v>
      </c>
      <c r="C2">
        <f t="shared" ref="C2:C33" si="1">INDEX(s_sleep,B2)</f>
        <v>3.3</v>
      </c>
      <c r="D2">
        <f t="shared" ref="D2:D33" si="2">INDEX(l_body,B2)</f>
        <v>3.8230827965328036</v>
      </c>
      <c r="E2">
        <f t="shared" ref="E2:E33" si="3">INDEX(l_life,B2)</f>
        <v>1.5865873046717549</v>
      </c>
      <c r="F2">
        <f t="shared" ref="F2:F33" si="4">INDEX(l_gest,B2)</f>
        <v>2.8095597146352675</v>
      </c>
      <c r="G2">
        <f t="shared" ref="G2:G33" si="5">INDEX(s_danger,B2)</f>
        <v>3</v>
      </c>
      <c r="H2">
        <f t="shared" ref="H2:H33" si="6">m_intercept+SUMPRODUCT(m_coef,D2:G2)</f>
        <v>3.8303393498306484</v>
      </c>
      <c r="I2">
        <f t="shared" ref="I2:I33" si="7">C2-H2</f>
        <v>-0.53033934983064857</v>
      </c>
      <c r="J2">
        <f t="shared" ref="J2:J33" si="8">I2/m_se</f>
        <v>-0.18887132221300826</v>
      </c>
    </row>
    <row r="3" spans="1:12" x14ac:dyDescent="0.25">
      <c r="A3">
        <v>2</v>
      </c>
      <c r="B3">
        <f t="shared" si="0"/>
        <v>2</v>
      </c>
      <c r="C3">
        <f t="shared" si="1"/>
        <v>8.3000000000000007</v>
      </c>
      <c r="D3">
        <f t="shared" si="2"/>
        <v>0</v>
      </c>
      <c r="E3">
        <f t="shared" si="3"/>
        <v>0.65321251377534373</v>
      </c>
      <c r="F3">
        <f t="shared" si="4"/>
        <v>1.6232492903979006</v>
      </c>
      <c r="G3">
        <f t="shared" si="5"/>
        <v>3</v>
      </c>
      <c r="H3">
        <f t="shared" si="6"/>
        <v>11.086801625615305</v>
      </c>
      <c r="I3">
        <f t="shared" si="7"/>
        <v>-2.7868016256153041</v>
      </c>
      <c r="J3">
        <f t="shared" si="8"/>
        <v>-0.9924719105670734</v>
      </c>
    </row>
    <row r="4" spans="1:12" x14ac:dyDescent="0.25">
      <c r="A4">
        <v>3</v>
      </c>
      <c r="B4">
        <f t="shared" si="0"/>
        <v>3</v>
      </c>
      <c r="C4">
        <f t="shared" si="1"/>
        <v>12.5</v>
      </c>
      <c r="D4">
        <f t="shared" si="2"/>
        <v>0.52955867302116311</v>
      </c>
      <c r="E4">
        <f t="shared" si="3"/>
        <v>1.146128035678238</v>
      </c>
      <c r="F4">
        <f t="shared" si="4"/>
        <v>1.7781512503836436</v>
      </c>
      <c r="G4">
        <f t="shared" si="5"/>
        <v>1</v>
      </c>
      <c r="H4">
        <f t="shared" si="6"/>
        <v>13.484477532830113</v>
      </c>
      <c r="I4">
        <f t="shared" si="7"/>
        <v>-0.98447753283011252</v>
      </c>
      <c r="J4">
        <f t="shared" si="8"/>
        <v>-0.3506048973624134</v>
      </c>
    </row>
    <row r="5" spans="1:12" x14ac:dyDescent="0.25">
      <c r="A5">
        <v>4</v>
      </c>
      <c r="B5">
        <f t="shared" si="0"/>
        <v>5</v>
      </c>
      <c r="C5">
        <f t="shared" si="1"/>
        <v>3.9</v>
      </c>
      <c r="D5">
        <f t="shared" si="2"/>
        <v>3.406028944963615</v>
      </c>
      <c r="E5">
        <f t="shared" si="3"/>
        <v>1.8388490907372552</v>
      </c>
      <c r="F5">
        <f t="shared" si="4"/>
        <v>2.7951845896824241</v>
      </c>
      <c r="G5">
        <f t="shared" si="5"/>
        <v>4</v>
      </c>
      <c r="H5">
        <f t="shared" si="6"/>
        <v>3.0317908952896317</v>
      </c>
      <c r="I5">
        <f t="shared" si="7"/>
        <v>0.86820910471036816</v>
      </c>
      <c r="J5">
        <f t="shared" si="8"/>
        <v>0.30919787795565701</v>
      </c>
    </row>
    <row r="6" spans="1:12" x14ac:dyDescent="0.25">
      <c r="A6">
        <v>5</v>
      </c>
      <c r="B6">
        <f t="shared" si="0"/>
        <v>6</v>
      </c>
      <c r="C6">
        <f t="shared" si="1"/>
        <v>9.8000000000000007</v>
      </c>
      <c r="D6">
        <f t="shared" si="2"/>
        <v>1.0232524596337116</v>
      </c>
      <c r="E6">
        <f t="shared" si="3"/>
        <v>1.4313637641589874</v>
      </c>
      <c r="F6">
        <f t="shared" si="4"/>
        <v>2.255272505103306</v>
      </c>
      <c r="G6">
        <f t="shared" si="5"/>
        <v>4</v>
      </c>
      <c r="H6">
        <f t="shared" si="6"/>
        <v>6.967948151933113</v>
      </c>
      <c r="I6">
        <f t="shared" si="7"/>
        <v>2.8320518480668877</v>
      </c>
      <c r="J6">
        <f t="shared" si="8"/>
        <v>1.0085870062083688</v>
      </c>
    </row>
    <row r="7" spans="1:12" x14ac:dyDescent="0.25">
      <c r="A7">
        <v>6</v>
      </c>
      <c r="B7">
        <f t="shared" si="0"/>
        <v>7</v>
      </c>
      <c r="C7">
        <f t="shared" si="1"/>
        <v>19.7</v>
      </c>
      <c r="D7">
        <f t="shared" si="2"/>
        <v>-1.6382721639824072</v>
      </c>
      <c r="E7">
        <f t="shared" si="3"/>
        <v>1.2787536009528289</v>
      </c>
      <c r="F7">
        <f t="shared" si="4"/>
        <v>1.5440680443502757</v>
      </c>
      <c r="G7">
        <f t="shared" si="5"/>
        <v>1</v>
      </c>
      <c r="H7">
        <f t="shared" si="6"/>
        <v>16.585814029570702</v>
      </c>
      <c r="I7">
        <f t="shared" si="7"/>
        <v>3.1141859704292969</v>
      </c>
      <c r="J7">
        <f t="shared" si="8"/>
        <v>1.1090642661910777</v>
      </c>
    </row>
    <row r="8" spans="1:12" x14ac:dyDescent="0.25">
      <c r="A8">
        <v>7</v>
      </c>
      <c r="B8">
        <f t="shared" si="0"/>
        <v>8</v>
      </c>
      <c r="C8">
        <f t="shared" si="1"/>
        <v>6.2</v>
      </c>
      <c r="D8">
        <f t="shared" si="2"/>
        <v>2.2041199826559246</v>
      </c>
      <c r="E8">
        <f t="shared" si="3"/>
        <v>1.4828735836087537</v>
      </c>
      <c r="F8">
        <f t="shared" si="4"/>
        <v>2.5932860670204572</v>
      </c>
      <c r="G8">
        <f t="shared" si="5"/>
        <v>4</v>
      </c>
      <c r="H8">
        <f t="shared" si="6"/>
        <v>4.6000149103111312</v>
      </c>
      <c r="I8">
        <f t="shared" si="7"/>
        <v>1.599985089688869</v>
      </c>
      <c r="J8">
        <f t="shared" si="8"/>
        <v>0.56980742520262351</v>
      </c>
    </row>
    <row r="9" spans="1:12" x14ac:dyDescent="0.25">
      <c r="A9">
        <v>8</v>
      </c>
      <c r="B9">
        <f t="shared" si="0"/>
        <v>9</v>
      </c>
      <c r="C9">
        <f t="shared" si="1"/>
        <v>14.5</v>
      </c>
      <c r="D9">
        <f t="shared" si="2"/>
        <v>0.51851393987788741</v>
      </c>
      <c r="E9">
        <f t="shared" si="3"/>
        <v>1.4471580313422192</v>
      </c>
      <c r="F9">
        <f t="shared" si="4"/>
        <v>1.7993405494535817</v>
      </c>
      <c r="G9">
        <f t="shared" si="5"/>
        <v>1</v>
      </c>
      <c r="H9">
        <f t="shared" si="6"/>
        <v>13.712807278344858</v>
      </c>
      <c r="I9">
        <f t="shared" si="7"/>
        <v>0.78719272165514198</v>
      </c>
      <c r="J9">
        <f t="shared" si="8"/>
        <v>0.28034527368738549</v>
      </c>
    </row>
    <row r="10" spans="1:12" x14ac:dyDescent="0.25">
      <c r="A10">
        <v>9</v>
      </c>
      <c r="B10">
        <f t="shared" si="0"/>
        <v>10</v>
      </c>
      <c r="C10">
        <f t="shared" si="1"/>
        <v>9.6999999999999993</v>
      </c>
      <c r="D10">
        <f t="shared" si="2"/>
        <v>1.7173375827238637</v>
      </c>
      <c r="E10">
        <f t="shared" si="3"/>
        <v>1.6989700043360187</v>
      </c>
      <c r="F10">
        <f t="shared" si="4"/>
        <v>2.3617278360175931</v>
      </c>
      <c r="G10">
        <f t="shared" si="5"/>
        <v>1</v>
      </c>
      <c r="H10">
        <f t="shared" si="6"/>
        <v>10.672172252508858</v>
      </c>
      <c r="I10">
        <f t="shared" si="7"/>
        <v>-0.97217225250885875</v>
      </c>
      <c r="J10">
        <f t="shared" si="8"/>
        <v>-0.34622258146369861</v>
      </c>
    </row>
    <row r="11" spans="1:12" x14ac:dyDescent="0.25">
      <c r="A11">
        <v>10</v>
      </c>
      <c r="B11">
        <f t="shared" si="0"/>
        <v>11</v>
      </c>
      <c r="C11">
        <f t="shared" si="1"/>
        <v>12.5</v>
      </c>
      <c r="D11">
        <f t="shared" si="2"/>
        <v>-0.37161106994968846</v>
      </c>
      <c r="E11">
        <f t="shared" si="3"/>
        <v>0.84509804001425681</v>
      </c>
      <c r="F11">
        <f t="shared" si="4"/>
        <v>2.0492180226701815</v>
      </c>
      <c r="G11">
        <f t="shared" si="5"/>
        <v>4</v>
      </c>
      <c r="H11">
        <f t="shared" si="6"/>
        <v>8.5087579273283787</v>
      </c>
      <c r="I11">
        <f t="shared" si="7"/>
        <v>3.9912420726716213</v>
      </c>
      <c r="J11">
        <f t="shared" si="8"/>
        <v>1.4214128515607884</v>
      </c>
    </row>
    <row r="12" spans="1:12" x14ac:dyDescent="0.25">
      <c r="A12">
        <v>11</v>
      </c>
      <c r="B12">
        <f t="shared" si="0"/>
        <v>12</v>
      </c>
      <c r="C12">
        <f t="shared" si="1"/>
        <v>3.9</v>
      </c>
      <c r="D12">
        <f t="shared" si="2"/>
        <v>2.667452952889954</v>
      </c>
      <c r="E12">
        <f t="shared" si="3"/>
        <v>1.4771212547196624</v>
      </c>
      <c r="F12">
        <f t="shared" si="4"/>
        <v>2.4487063199050798</v>
      </c>
      <c r="G12">
        <f t="shared" si="5"/>
        <v>5</v>
      </c>
      <c r="H12">
        <f t="shared" si="6"/>
        <v>3.1970432106378723</v>
      </c>
      <c r="I12">
        <f t="shared" si="7"/>
        <v>0.70295678936212758</v>
      </c>
      <c r="J12">
        <f t="shared" si="8"/>
        <v>0.25034608182069207</v>
      </c>
    </row>
    <row r="13" spans="1:12" x14ac:dyDescent="0.25">
      <c r="A13">
        <v>12</v>
      </c>
      <c r="B13">
        <f t="shared" si="0"/>
        <v>14</v>
      </c>
      <c r="C13">
        <f t="shared" si="1"/>
        <v>3.1</v>
      </c>
      <c r="D13">
        <f t="shared" si="2"/>
        <v>2.2720737875000099</v>
      </c>
      <c r="E13">
        <f t="shared" si="3"/>
        <v>1.6020599913279623</v>
      </c>
      <c r="F13">
        <f t="shared" si="4"/>
        <v>2.5622928644564746</v>
      </c>
      <c r="G13">
        <f t="shared" si="5"/>
        <v>5</v>
      </c>
      <c r="H13">
        <f t="shared" si="6"/>
        <v>3.2677022364748609</v>
      </c>
      <c r="I13">
        <f t="shared" si="7"/>
        <v>-0.16770223647486082</v>
      </c>
      <c r="J13">
        <f t="shared" si="8"/>
        <v>-5.9724293796415327E-2</v>
      </c>
    </row>
    <row r="14" spans="1:12" x14ac:dyDescent="0.25">
      <c r="A14">
        <v>13</v>
      </c>
      <c r="B14">
        <f t="shared" si="0"/>
        <v>15</v>
      </c>
      <c r="C14">
        <f t="shared" si="1"/>
        <v>8.4</v>
      </c>
      <c r="D14">
        <f t="shared" si="2"/>
        <v>-1.1249387366082999</v>
      </c>
      <c r="E14">
        <f t="shared" si="3"/>
        <v>0.54406804435027567</v>
      </c>
      <c r="F14">
        <f t="shared" si="4"/>
        <v>1.6232492903979006</v>
      </c>
      <c r="G14">
        <f t="shared" si="5"/>
        <v>1</v>
      </c>
      <c r="H14">
        <f t="shared" si="6"/>
        <v>15.063912509283332</v>
      </c>
      <c r="I14">
        <f t="shared" si="7"/>
        <v>-6.6639125092833318</v>
      </c>
      <c r="J14">
        <f t="shared" si="8"/>
        <v>-2.3732388840127738</v>
      </c>
    </row>
    <row r="15" spans="1:12" x14ac:dyDescent="0.25">
      <c r="A15">
        <v>14</v>
      </c>
      <c r="B15">
        <f t="shared" si="0"/>
        <v>16</v>
      </c>
      <c r="C15">
        <f t="shared" si="1"/>
        <v>8.6</v>
      </c>
      <c r="D15">
        <f t="shared" si="2"/>
        <v>0.47712125471966244</v>
      </c>
      <c r="E15">
        <f t="shared" si="3"/>
        <v>1.6989700043360187</v>
      </c>
      <c r="F15">
        <f t="shared" si="4"/>
        <v>1.4471580313422192</v>
      </c>
      <c r="G15">
        <f t="shared" si="5"/>
        <v>2</v>
      </c>
      <c r="H15">
        <f t="shared" si="6"/>
        <v>13.839352490613596</v>
      </c>
      <c r="I15">
        <f t="shared" si="7"/>
        <v>-5.2393524906135962</v>
      </c>
      <c r="J15">
        <f t="shared" si="8"/>
        <v>-1.865906108528816</v>
      </c>
    </row>
    <row r="16" spans="1:12" x14ac:dyDescent="0.25">
      <c r="A16">
        <v>15</v>
      </c>
      <c r="B16">
        <f t="shared" si="0"/>
        <v>17</v>
      </c>
      <c r="C16">
        <f t="shared" si="1"/>
        <v>10.7</v>
      </c>
      <c r="D16">
        <f t="shared" si="2"/>
        <v>-0.10513034325474745</v>
      </c>
      <c r="E16">
        <f t="shared" si="3"/>
        <v>0.77815125038364363</v>
      </c>
      <c r="F16">
        <f t="shared" si="4"/>
        <v>1.6232492903979006</v>
      </c>
      <c r="G16">
        <f t="shared" si="5"/>
        <v>2</v>
      </c>
      <c r="H16">
        <f t="shared" si="6"/>
        <v>12.814718795862598</v>
      </c>
      <c r="I16">
        <f t="shared" si="7"/>
        <v>-2.1147187958625988</v>
      </c>
      <c r="J16">
        <f t="shared" si="8"/>
        <v>-0.75312106335464613</v>
      </c>
    </row>
    <row r="17" spans="1:10" x14ac:dyDescent="0.25">
      <c r="A17">
        <v>16</v>
      </c>
      <c r="B17">
        <f t="shared" si="0"/>
        <v>18</v>
      </c>
      <c r="C17">
        <f t="shared" si="1"/>
        <v>10.7</v>
      </c>
      <c r="D17">
        <f t="shared" si="2"/>
        <v>-0.69897000433601875</v>
      </c>
      <c r="E17">
        <f t="shared" si="3"/>
        <v>1.0170333392987803</v>
      </c>
      <c r="F17">
        <f t="shared" si="4"/>
        <v>2.0791812460476247</v>
      </c>
      <c r="G17">
        <f t="shared" si="5"/>
        <v>2</v>
      </c>
      <c r="H17">
        <f t="shared" si="6"/>
        <v>11.885579151678105</v>
      </c>
      <c r="I17">
        <f t="shared" si="7"/>
        <v>-1.1855791516781053</v>
      </c>
      <c r="J17">
        <f t="shared" si="8"/>
        <v>-0.42222381205001031</v>
      </c>
    </row>
    <row r="18" spans="1:10" x14ac:dyDescent="0.25">
      <c r="A18">
        <v>17</v>
      </c>
      <c r="B18">
        <f t="shared" si="0"/>
        <v>22</v>
      </c>
      <c r="C18">
        <f t="shared" si="1"/>
        <v>3.8</v>
      </c>
      <c r="D18">
        <f t="shared" si="2"/>
        <v>1.4418521757732918</v>
      </c>
      <c r="E18">
        <f t="shared" si="3"/>
        <v>1.3010299956639813</v>
      </c>
      <c r="F18">
        <f t="shared" si="4"/>
        <v>2.1702617153949575</v>
      </c>
      <c r="G18">
        <f t="shared" si="5"/>
        <v>5</v>
      </c>
      <c r="H18">
        <f t="shared" si="6"/>
        <v>5.25764944930296</v>
      </c>
      <c r="I18">
        <f t="shared" si="7"/>
        <v>-1.4576494493029601</v>
      </c>
      <c r="J18">
        <f t="shared" si="8"/>
        <v>-0.51911701234469332</v>
      </c>
    </row>
    <row r="19" spans="1:10" x14ac:dyDescent="0.25">
      <c r="A19">
        <v>18</v>
      </c>
      <c r="B19">
        <f t="shared" si="0"/>
        <v>23</v>
      </c>
      <c r="C19">
        <f t="shared" si="1"/>
        <v>14.4</v>
      </c>
      <c r="D19">
        <f t="shared" si="2"/>
        <v>-0.92081875395237522</v>
      </c>
      <c r="E19">
        <f t="shared" si="3"/>
        <v>0.59106460702649921</v>
      </c>
      <c r="F19">
        <f t="shared" si="4"/>
        <v>1.2041199826559248</v>
      </c>
      <c r="G19">
        <f t="shared" si="5"/>
        <v>2</v>
      </c>
      <c r="H19">
        <f t="shared" si="6"/>
        <v>15.00681639639545</v>
      </c>
      <c r="I19">
        <f t="shared" si="7"/>
        <v>-0.60681639639545004</v>
      </c>
      <c r="J19">
        <f t="shared" si="8"/>
        <v>-0.21610731914262005</v>
      </c>
    </row>
    <row r="20" spans="1:10" x14ac:dyDescent="0.25">
      <c r="A20">
        <v>19</v>
      </c>
      <c r="B20">
        <f t="shared" si="0"/>
        <v>24</v>
      </c>
      <c r="C20">
        <f t="shared" si="1"/>
        <v>12</v>
      </c>
      <c r="D20">
        <f t="shared" si="2"/>
        <v>2.3159703454569178</v>
      </c>
      <c r="E20">
        <f t="shared" si="3"/>
        <v>1.5943925503754266</v>
      </c>
      <c r="F20">
        <f t="shared" si="4"/>
        <v>2.4014005407815442</v>
      </c>
      <c r="G20">
        <f t="shared" si="5"/>
        <v>1</v>
      </c>
      <c r="H20">
        <f t="shared" si="6"/>
        <v>9.8434345787905961</v>
      </c>
      <c r="I20">
        <f t="shared" si="7"/>
        <v>2.1565654212094039</v>
      </c>
      <c r="J20">
        <f t="shared" si="8"/>
        <v>0.76802402588595231</v>
      </c>
    </row>
    <row r="21" spans="1:10" x14ac:dyDescent="0.25">
      <c r="A21">
        <v>20</v>
      </c>
      <c r="B21">
        <f t="shared" si="0"/>
        <v>25</v>
      </c>
      <c r="C21">
        <f t="shared" si="1"/>
        <v>6.2</v>
      </c>
      <c r="D21">
        <f t="shared" si="2"/>
        <v>1.9294189257142926</v>
      </c>
      <c r="E21">
        <f t="shared" si="3"/>
        <v>1.6127838567197355</v>
      </c>
      <c r="F21">
        <f t="shared" si="4"/>
        <v>2.4913616938342726</v>
      </c>
      <c r="G21">
        <f t="shared" si="5"/>
        <v>1</v>
      </c>
      <c r="H21">
        <f t="shared" si="6"/>
        <v>9.8899396061870544</v>
      </c>
      <c r="I21">
        <f t="shared" si="7"/>
        <v>-3.6899396061870542</v>
      </c>
      <c r="J21">
        <f t="shared" si="8"/>
        <v>-1.3141091124564719</v>
      </c>
    </row>
    <row r="22" spans="1:10" x14ac:dyDescent="0.25">
      <c r="A22">
        <v>21</v>
      </c>
      <c r="B22">
        <f t="shared" si="0"/>
        <v>26</v>
      </c>
      <c r="C22">
        <f t="shared" si="1"/>
        <v>13</v>
      </c>
      <c r="D22">
        <f t="shared" si="2"/>
        <v>1.5602653978627146</v>
      </c>
      <c r="E22">
        <f t="shared" si="3"/>
        <v>1.209515014542631</v>
      </c>
      <c r="F22">
        <f t="shared" si="4"/>
        <v>1.7993405494535817</v>
      </c>
      <c r="G22">
        <f t="shared" si="5"/>
        <v>1</v>
      </c>
      <c r="H22">
        <f t="shared" si="6"/>
        <v>12.478237710221359</v>
      </c>
      <c r="I22">
        <f t="shared" si="7"/>
        <v>0.52176228977864092</v>
      </c>
      <c r="J22">
        <f t="shared" si="8"/>
        <v>0.18581674843257812</v>
      </c>
    </row>
    <row r="23" spans="1:10" x14ac:dyDescent="0.25">
      <c r="A23">
        <v>22</v>
      </c>
      <c r="B23">
        <f t="shared" si="0"/>
        <v>27</v>
      </c>
      <c r="C23">
        <f t="shared" si="1"/>
        <v>13.8</v>
      </c>
      <c r="D23">
        <f t="shared" si="2"/>
        <v>-0.99567862621735737</v>
      </c>
      <c r="E23">
        <f t="shared" si="3"/>
        <v>0.95424250943932487</v>
      </c>
      <c r="F23">
        <f t="shared" si="4"/>
        <v>1.4471580313422192</v>
      </c>
      <c r="G23">
        <f t="shared" si="5"/>
        <v>3</v>
      </c>
      <c r="H23">
        <f t="shared" si="6"/>
        <v>13.010271673572145</v>
      </c>
      <c r="I23">
        <f t="shared" si="7"/>
        <v>0.78972832642785562</v>
      </c>
      <c r="J23">
        <f t="shared" si="8"/>
        <v>0.2812482861193028</v>
      </c>
    </row>
    <row r="24" spans="1:10" x14ac:dyDescent="0.25">
      <c r="A24">
        <v>23</v>
      </c>
      <c r="B24">
        <f t="shared" si="0"/>
        <v>28</v>
      </c>
      <c r="C24">
        <f t="shared" si="1"/>
        <v>8.1999999999999993</v>
      </c>
      <c r="D24">
        <f t="shared" si="2"/>
        <v>1.703333929878037E-2</v>
      </c>
      <c r="E24">
        <f t="shared" si="3"/>
        <v>0.88081359228079137</v>
      </c>
      <c r="F24">
        <f t="shared" si="4"/>
        <v>1.8325089127062364</v>
      </c>
      <c r="G24">
        <f t="shared" si="5"/>
        <v>4</v>
      </c>
      <c r="H24">
        <f t="shared" si="6"/>
        <v>8.9963158574583026</v>
      </c>
      <c r="I24">
        <f t="shared" si="7"/>
        <v>-0.79631585745830336</v>
      </c>
      <c r="J24">
        <f t="shared" si="8"/>
        <v>-0.28359432304120424</v>
      </c>
    </row>
    <row r="25" spans="1:10" x14ac:dyDescent="0.25">
      <c r="A25">
        <v>24</v>
      </c>
      <c r="B25">
        <f t="shared" si="0"/>
        <v>29</v>
      </c>
      <c r="C25">
        <f t="shared" si="1"/>
        <v>2.9</v>
      </c>
      <c r="D25">
        <f t="shared" si="2"/>
        <v>2.7168377232995247</v>
      </c>
      <c r="E25">
        <f t="shared" si="3"/>
        <v>1.6627578316815741</v>
      </c>
      <c r="F25">
        <f t="shared" si="4"/>
        <v>2.5263392773898441</v>
      </c>
      <c r="G25">
        <f t="shared" si="5"/>
        <v>5</v>
      </c>
      <c r="H25">
        <f t="shared" si="6"/>
        <v>3.0382010394551102</v>
      </c>
      <c r="I25">
        <f t="shared" si="7"/>
        <v>-0.13820103945511031</v>
      </c>
      <c r="J25">
        <f t="shared" si="8"/>
        <v>-4.9217945191949143E-2</v>
      </c>
    </row>
    <row r="26" spans="1:10" x14ac:dyDescent="0.25">
      <c r="A26">
        <v>25</v>
      </c>
      <c r="B26">
        <f t="shared" si="0"/>
        <v>30</v>
      </c>
      <c r="C26">
        <f t="shared" si="1"/>
        <v>10.8</v>
      </c>
      <c r="D26">
        <f t="shared" si="2"/>
        <v>2</v>
      </c>
      <c r="E26">
        <f t="shared" si="3"/>
        <v>1.3502480183341627</v>
      </c>
      <c r="F26">
        <f t="shared" si="4"/>
        <v>2</v>
      </c>
      <c r="G26">
        <f t="shared" si="5"/>
        <v>1</v>
      </c>
      <c r="H26">
        <f t="shared" si="6"/>
        <v>11.432278483436171</v>
      </c>
      <c r="I26">
        <f t="shared" si="7"/>
        <v>-0.63227848343617055</v>
      </c>
      <c r="J26">
        <f t="shared" si="8"/>
        <v>-0.22517520755636727</v>
      </c>
    </row>
    <row r="27" spans="1:10" x14ac:dyDescent="0.25">
      <c r="A27">
        <v>26</v>
      </c>
      <c r="B27">
        <f t="shared" si="0"/>
        <v>32</v>
      </c>
      <c r="C27">
        <f t="shared" si="1"/>
        <v>9.1</v>
      </c>
      <c r="D27">
        <f t="shared" si="2"/>
        <v>-2.3010299956639813</v>
      </c>
      <c r="E27">
        <f t="shared" si="3"/>
        <v>0.41497334797081797</v>
      </c>
      <c r="F27">
        <f t="shared" si="4"/>
        <v>1.3324384599156054</v>
      </c>
      <c r="G27">
        <f t="shared" si="5"/>
        <v>4</v>
      </c>
      <c r="H27">
        <f t="shared" si="6"/>
        <v>12.660923557104324</v>
      </c>
      <c r="I27">
        <f t="shared" si="7"/>
        <v>-3.5609235571043243</v>
      </c>
      <c r="J27">
        <f t="shared" si="8"/>
        <v>-1.2681622450691381</v>
      </c>
    </row>
    <row r="28" spans="1:10" x14ac:dyDescent="0.25">
      <c r="A28">
        <v>27</v>
      </c>
      <c r="B28">
        <f t="shared" si="0"/>
        <v>33</v>
      </c>
      <c r="C28">
        <f t="shared" si="1"/>
        <v>19.899999999999999</v>
      </c>
      <c r="D28">
        <f t="shared" si="2"/>
        <v>-2</v>
      </c>
      <c r="E28">
        <f t="shared" si="3"/>
        <v>1.3802112417116059</v>
      </c>
      <c r="F28">
        <f t="shared" si="4"/>
        <v>1.6989700043360187</v>
      </c>
      <c r="G28">
        <f t="shared" si="5"/>
        <v>1</v>
      </c>
      <c r="H28">
        <f t="shared" si="6"/>
        <v>16.443669319524446</v>
      </c>
      <c r="I28">
        <f t="shared" si="7"/>
        <v>3.4563306804755527</v>
      </c>
      <c r="J28">
        <f t="shared" si="8"/>
        <v>1.2309132743690641</v>
      </c>
    </row>
    <row r="29" spans="1:10" x14ac:dyDescent="0.25">
      <c r="A29">
        <v>28</v>
      </c>
      <c r="B29">
        <f t="shared" si="0"/>
        <v>34</v>
      </c>
      <c r="C29">
        <f t="shared" si="1"/>
        <v>8</v>
      </c>
      <c r="D29">
        <f t="shared" si="2"/>
        <v>1.7923916894982539</v>
      </c>
      <c r="E29">
        <f t="shared" si="3"/>
        <v>2</v>
      </c>
      <c r="F29">
        <f t="shared" si="4"/>
        <v>2.4265112613645754</v>
      </c>
      <c r="G29">
        <f t="shared" si="5"/>
        <v>1</v>
      </c>
      <c r="H29">
        <f t="shared" si="6"/>
        <v>10.652004382776628</v>
      </c>
      <c r="I29">
        <f t="shared" si="7"/>
        <v>-2.652004382776628</v>
      </c>
      <c r="J29">
        <f t="shared" si="8"/>
        <v>-0.94446616953778983</v>
      </c>
    </row>
    <row r="30" spans="1:10" x14ac:dyDescent="0.25">
      <c r="A30">
        <v>29</v>
      </c>
      <c r="B30">
        <f t="shared" si="0"/>
        <v>37</v>
      </c>
      <c r="C30">
        <f t="shared" si="1"/>
        <v>13.2</v>
      </c>
      <c r="D30">
        <f t="shared" si="2"/>
        <v>-1.6382721639824072</v>
      </c>
      <c r="E30">
        <f t="shared" si="3"/>
        <v>0.50514997831990605</v>
      </c>
      <c r="F30">
        <f t="shared" si="4"/>
        <v>1.2787536009528289</v>
      </c>
      <c r="G30">
        <f t="shared" si="5"/>
        <v>3</v>
      </c>
      <c r="H30">
        <f t="shared" si="6"/>
        <v>13.822339676452589</v>
      </c>
      <c r="I30">
        <f t="shared" si="7"/>
        <v>-0.62233967645259014</v>
      </c>
      <c r="J30">
        <f t="shared" si="8"/>
        <v>-0.22163567081105856</v>
      </c>
    </row>
    <row r="31" spans="1:10" x14ac:dyDescent="0.25">
      <c r="A31">
        <v>30</v>
      </c>
      <c r="B31">
        <f t="shared" si="0"/>
        <v>38</v>
      </c>
      <c r="C31">
        <f t="shared" si="1"/>
        <v>12.8</v>
      </c>
      <c r="D31">
        <f t="shared" si="2"/>
        <v>-1.3187587626244128</v>
      </c>
      <c r="E31">
        <f t="shared" si="3"/>
        <v>0.3010299956639812</v>
      </c>
      <c r="F31">
        <f t="shared" si="4"/>
        <v>1.4771212547196624</v>
      </c>
      <c r="G31">
        <f t="shared" si="5"/>
        <v>3</v>
      </c>
      <c r="H31">
        <f t="shared" si="6"/>
        <v>12.558563197785455</v>
      </c>
      <c r="I31">
        <f t="shared" si="7"/>
        <v>0.24143680221454566</v>
      </c>
      <c r="J31">
        <f t="shared" si="8"/>
        <v>8.5983602913310586E-2</v>
      </c>
    </row>
    <row r="32" spans="1:10" x14ac:dyDescent="0.25">
      <c r="A32">
        <v>31</v>
      </c>
      <c r="B32">
        <f t="shared" si="0"/>
        <v>39</v>
      </c>
      <c r="C32">
        <f t="shared" si="1"/>
        <v>19.399999999999999</v>
      </c>
      <c r="D32">
        <f t="shared" si="2"/>
        <v>0.23044892137827391</v>
      </c>
      <c r="E32">
        <f t="shared" si="3"/>
        <v>0.69897000433601886</v>
      </c>
      <c r="F32">
        <f t="shared" si="4"/>
        <v>1.0791812460476249</v>
      </c>
      <c r="G32">
        <f t="shared" si="5"/>
        <v>1</v>
      </c>
      <c r="H32">
        <f t="shared" si="6"/>
        <v>15.988550550763675</v>
      </c>
      <c r="I32">
        <f t="shared" si="7"/>
        <v>3.4114494492363239</v>
      </c>
      <c r="J32">
        <f t="shared" si="8"/>
        <v>1.2149295886602669</v>
      </c>
    </row>
    <row r="33" spans="1:10" x14ac:dyDescent="0.25">
      <c r="A33">
        <v>32</v>
      </c>
      <c r="B33">
        <f t="shared" si="0"/>
        <v>40</v>
      </c>
      <c r="C33">
        <f t="shared" si="1"/>
        <v>17.399999999999999</v>
      </c>
      <c r="D33">
        <f t="shared" si="2"/>
        <v>0.54406804435027567</v>
      </c>
      <c r="E33">
        <f t="shared" si="3"/>
        <v>0.81291335664285558</v>
      </c>
      <c r="F33">
        <f t="shared" si="4"/>
        <v>2.0791812460476247</v>
      </c>
      <c r="G33">
        <f t="shared" si="5"/>
        <v>1</v>
      </c>
      <c r="H33">
        <f t="shared" si="6"/>
        <v>11.994467411711707</v>
      </c>
      <c r="I33">
        <f t="shared" si="7"/>
        <v>5.4055325882882919</v>
      </c>
      <c r="J33">
        <f t="shared" si="8"/>
        <v>1.9250883185295056</v>
      </c>
    </row>
    <row r="34" spans="1:10" x14ac:dyDescent="0.25">
      <c r="A34">
        <v>33</v>
      </c>
      <c r="B34">
        <f t="shared" ref="B34:B65" si="9">MATCH(A34,x_seq,0)</f>
        <v>42</v>
      </c>
      <c r="C34">
        <f t="shared" ref="C34:C65" si="10">INDEX(s_sleep,B34)</f>
        <v>17</v>
      </c>
      <c r="D34">
        <f t="shared" ref="D34:D52" si="11">INDEX(l_body,B34)</f>
        <v>-0.31875876262441277</v>
      </c>
      <c r="E34">
        <f t="shared" ref="E34:E52" si="12">INDEX(l_life,B34)</f>
        <v>1.0791812460476249</v>
      </c>
      <c r="F34">
        <f t="shared" ref="F34:F52" si="13">INDEX(l_gest,B34)</f>
        <v>2.1461280356782382</v>
      </c>
      <c r="G34">
        <f t="shared" ref="G34:G52" si="14">INDEX(s_danger,B34)</f>
        <v>2</v>
      </c>
      <c r="H34">
        <f t="shared" ref="H34:H65" si="15">m_intercept+SUMPRODUCT(m_coef,D34:G34)</f>
        <v>11.327752337448199</v>
      </c>
      <c r="I34">
        <f t="shared" ref="I34:I65" si="16">C34-H34</f>
        <v>5.6722476625518006</v>
      </c>
      <c r="J34">
        <f t="shared" ref="J34:J65" si="17">I34/m_se</f>
        <v>2.0200743472795417</v>
      </c>
    </row>
    <row r="35" spans="1:10" x14ac:dyDescent="0.25">
      <c r="A35">
        <v>34</v>
      </c>
      <c r="B35">
        <f t="shared" si="9"/>
        <v>43</v>
      </c>
      <c r="C35">
        <f t="shared" si="10"/>
        <v>10.9</v>
      </c>
      <c r="D35">
        <f t="shared" si="11"/>
        <v>1</v>
      </c>
      <c r="E35">
        <f t="shared" si="12"/>
        <v>1.3053513694466237</v>
      </c>
      <c r="F35">
        <f t="shared" si="13"/>
        <v>2.2304489213782741</v>
      </c>
      <c r="G35">
        <f t="shared" si="14"/>
        <v>4</v>
      </c>
      <c r="H35">
        <f t="shared" si="15"/>
        <v>6.9598245263802188</v>
      </c>
      <c r="I35">
        <f t="shared" si="16"/>
        <v>3.9401754736197816</v>
      </c>
      <c r="J35">
        <f t="shared" si="17"/>
        <v>1.4032263525070741</v>
      </c>
    </row>
    <row r="36" spans="1:10" x14ac:dyDescent="0.25">
      <c r="A36">
        <v>35</v>
      </c>
      <c r="B36">
        <f t="shared" si="9"/>
        <v>44</v>
      </c>
      <c r="C36">
        <f t="shared" si="10"/>
        <v>13.7</v>
      </c>
      <c r="D36">
        <f t="shared" si="11"/>
        <v>0.20951501454263097</v>
      </c>
      <c r="E36">
        <f t="shared" si="12"/>
        <v>1.1139433523068367</v>
      </c>
      <c r="F36">
        <f t="shared" si="13"/>
        <v>1.2304489213782739</v>
      </c>
      <c r="G36">
        <f t="shared" si="14"/>
        <v>2</v>
      </c>
      <c r="H36">
        <f t="shared" si="15"/>
        <v>14.340936957481794</v>
      </c>
      <c r="I36">
        <f t="shared" si="16"/>
        <v>-0.64093695748179513</v>
      </c>
      <c r="J36">
        <f t="shared" si="17"/>
        <v>-0.22825877554329177</v>
      </c>
    </row>
    <row r="37" spans="1:10" x14ac:dyDescent="0.25">
      <c r="A37">
        <v>36</v>
      </c>
      <c r="B37">
        <f t="shared" si="9"/>
        <v>45</v>
      </c>
      <c r="C37">
        <f t="shared" si="10"/>
        <v>8.4</v>
      </c>
      <c r="D37">
        <f t="shared" si="11"/>
        <v>2.2833012287035497</v>
      </c>
      <c r="E37">
        <f t="shared" si="12"/>
        <v>1.4313637641589874</v>
      </c>
      <c r="F37">
        <f t="shared" si="13"/>
        <v>2.0606978403536118</v>
      </c>
      <c r="G37">
        <f t="shared" si="14"/>
        <v>4</v>
      </c>
      <c r="H37">
        <f t="shared" si="15"/>
        <v>6.5002016820313226</v>
      </c>
      <c r="I37">
        <f t="shared" si="16"/>
        <v>1.8997983179686777</v>
      </c>
      <c r="J37">
        <f t="shared" si="17"/>
        <v>0.67658079749762701</v>
      </c>
    </row>
    <row r="38" spans="1:10" x14ac:dyDescent="0.25">
      <c r="A38">
        <v>37</v>
      </c>
      <c r="B38">
        <f t="shared" si="9"/>
        <v>46</v>
      </c>
      <c r="C38">
        <f t="shared" si="10"/>
        <v>8.4</v>
      </c>
      <c r="D38">
        <f t="shared" si="11"/>
        <v>0.3979400086720376</v>
      </c>
      <c r="E38">
        <f t="shared" si="12"/>
        <v>1.255272505103306</v>
      </c>
      <c r="F38">
        <f t="shared" si="13"/>
        <v>1.4913616938342726</v>
      </c>
      <c r="G38">
        <f t="shared" si="14"/>
        <v>5</v>
      </c>
      <c r="H38">
        <f t="shared" si="15"/>
        <v>8.7974560359255953</v>
      </c>
      <c r="I38">
        <f t="shared" si="16"/>
        <v>-0.39745603592559497</v>
      </c>
      <c r="J38">
        <f t="shared" si="17"/>
        <v>-0.14154719435919522</v>
      </c>
    </row>
    <row r="39" spans="1:10" x14ac:dyDescent="0.25">
      <c r="A39">
        <v>38</v>
      </c>
      <c r="B39">
        <f t="shared" si="9"/>
        <v>47</v>
      </c>
      <c r="C39">
        <f t="shared" si="10"/>
        <v>12.5</v>
      </c>
      <c r="D39">
        <f t="shared" si="11"/>
        <v>0.63225477668471364</v>
      </c>
      <c r="E39">
        <f t="shared" si="12"/>
        <v>1.1367205671564067</v>
      </c>
      <c r="F39">
        <f t="shared" si="13"/>
        <v>1.7993405494535817</v>
      </c>
      <c r="G39">
        <f t="shared" si="14"/>
        <v>2</v>
      </c>
      <c r="H39">
        <f t="shared" si="15"/>
        <v>11.792760672513936</v>
      </c>
      <c r="I39">
        <f t="shared" si="16"/>
        <v>0.70723932748606444</v>
      </c>
      <c r="J39">
        <f t="shared" si="17"/>
        <v>0.25187123479709078</v>
      </c>
    </row>
    <row r="40" spans="1:10" x14ac:dyDescent="0.25">
      <c r="A40">
        <v>39</v>
      </c>
      <c r="B40">
        <f t="shared" si="9"/>
        <v>48</v>
      </c>
      <c r="C40">
        <f t="shared" si="10"/>
        <v>13.2</v>
      </c>
      <c r="D40">
        <f t="shared" si="11"/>
        <v>-0.55284196865778079</v>
      </c>
      <c r="E40">
        <f t="shared" si="12"/>
        <v>0.67209785793571752</v>
      </c>
      <c r="F40">
        <f t="shared" si="13"/>
        <v>1.3222192947339193</v>
      </c>
      <c r="G40">
        <f t="shared" si="14"/>
        <v>3</v>
      </c>
      <c r="H40">
        <f t="shared" si="15"/>
        <v>12.781484338251179</v>
      </c>
      <c r="I40">
        <f t="shared" si="16"/>
        <v>0.41851566174882038</v>
      </c>
      <c r="J40">
        <f t="shared" si="17"/>
        <v>0.14904722123031827</v>
      </c>
    </row>
    <row r="41" spans="1:10" x14ac:dyDescent="0.25">
      <c r="A41">
        <v>40</v>
      </c>
      <c r="B41">
        <f t="shared" si="9"/>
        <v>49</v>
      </c>
      <c r="C41">
        <f t="shared" si="10"/>
        <v>9.8000000000000007</v>
      </c>
      <c r="D41">
        <f t="shared" si="11"/>
        <v>0.62685341466672573</v>
      </c>
      <c r="E41">
        <f t="shared" si="12"/>
        <v>0.99122607569249488</v>
      </c>
      <c r="F41">
        <f t="shared" si="13"/>
        <v>1.7160033436347992</v>
      </c>
      <c r="G41">
        <f t="shared" si="14"/>
        <v>1</v>
      </c>
      <c r="H41">
        <f t="shared" si="15"/>
        <v>13.474182943469069</v>
      </c>
      <c r="I41">
        <f t="shared" si="16"/>
        <v>-3.6741829434690683</v>
      </c>
      <c r="J41">
        <f t="shared" si="17"/>
        <v>-1.3084976455303221</v>
      </c>
    </row>
    <row r="42" spans="1:10" x14ac:dyDescent="0.25">
      <c r="A42">
        <v>41</v>
      </c>
      <c r="B42">
        <f t="shared" si="9"/>
        <v>50</v>
      </c>
      <c r="C42">
        <f t="shared" si="10"/>
        <v>9.6</v>
      </c>
      <c r="D42">
        <f t="shared" si="11"/>
        <v>0.83250891270623628</v>
      </c>
      <c r="E42">
        <f t="shared" si="12"/>
        <v>1.4623979978989561</v>
      </c>
      <c r="F42">
        <f t="shared" si="13"/>
        <v>2.214843848047698</v>
      </c>
      <c r="G42">
        <f t="shared" si="14"/>
        <v>2</v>
      </c>
      <c r="H42">
        <f t="shared" si="15"/>
        <v>10.34202436116931</v>
      </c>
      <c r="I42">
        <f t="shared" si="16"/>
        <v>-0.74202436116931025</v>
      </c>
      <c r="J42">
        <f t="shared" si="17"/>
        <v>-0.26425933179022659</v>
      </c>
    </row>
    <row r="43" spans="1:10" x14ac:dyDescent="0.25">
      <c r="A43">
        <v>42</v>
      </c>
      <c r="B43">
        <f t="shared" si="9"/>
        <v>51</v>
      </c>
      <c r="C43">
        <f t="shared" si="10"/>
        <v>6.6</v>
      </c>
      <c r="D43">
        <f t="shared" si="11"/>
        <v>-0.12493873660829995</v>
      </c>
      <c r="E43">
        <f t="shared" si="12"/>
        <v>0.84509804001425681</v>
      </c>
      <c r="F43">
        <f t="shared" si="13"/>
        <v>2.3521825181113627</v>
      </c>
      <c r="G43">
        <f t="shared" si="14"/>
        <v>2</v>
      </c>
      <c r="H43">
        <f t="shared" si="15"/>
        <v>10.125553578690727</v>
      </c>
      <c r="I43">
        <f t="shared" si="16"/>
        <v>-3.5255535786907277</v>
      </c>
      <c r="J43">
        <f t="shared" si="17"/>
        <v>-1.2555658299780181</v>
      </c>
    </row>
    <row r="44" spans="1:10" x14ac:dyDescent="0.25">
      <c r="A44">
        <v>43</v>
      </c>
      <c r="B44">
        <f t="shared" si="9"/>
        <v>52</v>
      </c>
      <c r="C44">
        <f t="shared" si="10"/>
        <v>5.4</v>
      </c>
      <c r="D44">
        <f t="shared" si="11"/>
        <v>0.55630250076728727</v>
      </c>
      <c r="E44">
        <f t="shared" si="12"/>
        <v>0.77815125038364363</v>
      </c>
      <c r="F44">
        <f t="shared" si="13"/>
        <v>2.3521825181113627</v>
      </c>
      <c r="G44">
        <f t="shared" si="14"/>
        <v>3</v>
      </c>
      <c r="H44">
        <f t="shared" si="15"/>
        <v>7.9026457561270433</v>
      </c>
      <c r="I44">
        <f t="shared" si="16"/>
        <v>-2.502645756127043</v>
      </c>
      <c r="J44">
        <f t="shared" si="17"/>
        <v>-0.89127463979700361</v>
      </c>
    </row>
    <row r="45" spans="1:10" x14ac:dyDescent="0.25">
      <c r="A45">
        <v>44</v>
      </c>
      <c r="B45">
        <f t="shared" si="9"/>
        <v>53</v>
      </c>
      <c r="C45">
        <f t="shared" si="10"/>
        <v>2.6</v>
      </c>
      <c r="D45">
        <f t="shared" si="11"/>
        <v>1.171141151028382</v>
      </c>
      <c r="E45">
        <f t="shared" si="12"/>
        <v>1.2304489213782739</v>
      </c>
      <c r="F45">
        <f t="shared" si="13"/>
        <v>2.1760912590556813</v>
      </c>
      <c r="G45">
        <f t="shared" si="14"/>
        <v>5</v>
      </c>
      <c r="H45">
        <f t="shared" si="15"/>
        <v>5.4251026449310302</v>
      </c>
      <c r="I45">
        <f t="shared" si="16"/>
        <v>-2.8251026449310301</v>
      </c>
      <c r="J45">
        <f t="shared" si="17"/>
        <v>-1.0061121659291865</v>
      </c>
    </row>
    <row r="46" spans="1:10" x14ac:dyDescent="0.25">
      <c r="A46">
        <v>45</v>
      </c>
      <c r="B46">
        <f t="shared" si="9"/>
        <v>54</v>
      </c>
      <c r="C46">
        <f t="shared" si="10"/>
        <v>3.8</v>
      </c>
      <c r="D46">
        <f t="shared" si="11"/>
        <v>1.7442929831226763</v>
      </c>
      <c r="E46">
        <f t="shared" si="12"/>
        <v>1.3010299956639813</v>
      </c>
      <c r="F46">
        <f t="shared" si="13"/>
        <v>2.1789769472931693</v>
      </c>
      <c r="G46">
        <f t="shared" si="14"/>
        <v>5</v>
      </c>
      <c r="H46">
        <f t="shared" si="15"/>
        <v>4.9344446670268027</v>
      </c>
      <c r="I46">
        <f t="shared" si="16"/>
        <v>-1.1344446670268029</v>
      </c>
      <c r="J46">
        <f t="shared" si="17"/>
        <v>-0.40401313669684957</v>
      </c>
    </row>
    <row r="47" spans="1:10" x14ac:dyDescent="0.25">
      <c r="A47">
        <v>46</v>
      </c>
      <c r="B47">
        <f t="shared" si="9"/>
        <v>55</v>
      </c>
      <c r="C47">
        <f t="shared" si="10"/>
        <v>11</v>
      </c>
      <c r="D47">
        <f t="shared" si="11"/>
        <v>0.14612803567823801</v>
      </c>
      <c r="E47">
        <f t="shared" si="12"/>
        <v>1.1038037209559568</v>
      </c>
      <c r="F47">
        <f t="shared" si="13"/>
        <v>1.954242509439325</v>
      </c>
      <c r="G47">
        <f t="shared" si="14"/>
        <v>2</v>
      </c>
      <c r="H47">
        <f t="shared" si="15"/>
        <v>11.636714757437506</v>
      </c>
      <c r="I47">
        <f t="shared" si="16"/>
        <v>-0.63671475743750605</v>
      </c>
      <c r="J47">
        <f t="shared" si="17"/>
        <v>-0.22675511094577067</v>
      </c>
    </row>
    <row r="48" spans="1:10" x14ac:dyDescent="0.25">
      <c r="A48">
        <v>47</v>
      </c>
      <c r="B48">
        <f t="shared" si="9"/>
        <v>57</v>
      </c>
      <c r="C48">
        <f t="shared" si="10"/>
        <v>13.3</v>
      </c>
      <c r="D48">
        <f t="shared" si="11"/>
        <v>-4.5757490560675115E-2</v>
      </c>
      <c r="E48">
        <f t="shared" si="12"/>
        <v>0.65321251377534373</v>
      </c>
      <c r="F48">
        <f t="shared" si="13"/>
        <v>1.7781512503836436</v>
      </c>
      <c r="G48">
        <f t="shared" si="14"/>
        <v>2</v>
      </c>
      <c r="H48">
        <f t="shared" si="15"/>
        <v>12.04433913491221</v>
      </c>
      <c r="I48">
        <f t="shared" si="16"/>
        <v>1.2556608650877905</v>
      </c>
      <c r="J48">
        <f t="shared" si="17"/>
        <v>0.44718222005587877</v>
      </c>
    </row>
    <row r="49" spans="1:10" x14ac:dyDescent="0.25">
      <c r="A49">
        <v>48</v>
      </c>
      <c r="B49">
        <f t="shared" si="9"/>
        <v>58</v>
      </c>
      <c r="C49">
        <f t="shared" si="10"/>
        <v>5.4</v>
      </c>
      <c r="D49">
        <f t="shared" si="11"/>
        <v>0.3010299956639812</v>
      </c>
      <c r="E49">
        <f t="shared" si="12"/>
        <v>0.87506126339170009</v>
      </c>
      <c r="F49">
        <f t="shared" si="13"/>
        <v>2.3010299956639813</v>
      </c>
      <c r="G49">
        <f t="shared" si="14"/>
        <v>3</v>
      </c>
      <c r="H49">
        <f t="shared" si="15"/>
        <v>8.4382057603526146</v>
      </c>
      <c r="I49">
        <f t="shared" si="16"/>
        <v>-3.0382057603526142</v>
      </c>
      <c r="J49">
        <f t="shared" si="17"/>
        <v>-1.0820052091103847</v>
      </c>
    </row>
    <row r="50" spans="1:10" x14ac:dyDescent="0.25">
      <c r="A50">
        <v>49</v>
      </c>
      <c r="B50">
        <f t="shared" si="9"/>
        <v>59</v>
      </c>
      <c r="C50">
        <f t="shared" si="10"/>
        <v>15.8</v>
      </c>
      <c r="D50">
        <f t="shared" si="11"/>
        <v>-0.98296666070121963</v>
      </c>
      <c r="E50">
        <f t="shared" si="12"/>
        <v>0.36172783601759284</v>
      </c>
      <c r="F50">
        <f t="shared" si="13"/>
        <v>1.6627578316815741</v>
      </c>
      <c r="G50">
        <f t="shared" si="14"/>
        <v>2</v>
      </c>
      <c r="H50">
        <f t="shared" si="15"/>
        <v>13.093386606061596</v>
      </c>
      <c r="I50">
        <f t="shared" si="16"/>
        <v>2.7066133939384045</v>
      </c>
      <c r="J50">
        <f t="shared" si="17"/>
        <v>0.96391423830010825</v>
      </c>
    </row>
    <row r="51" spans="1:10" x14ac:dyDescent="0.25">
      <c r="A51">
        <v>50</v>
      </c>
      <c r="B51">
        <f t="shared" si="9"/>
        <v>60</v>
      </c>
      <c r="C51">
        <f t="shared" si="10"/>
        <v>10.3</v>
      </c>
      <c r="D51">
        <f t="shared" si="11"/>
        <v>0.62221402296629535</v>
      </c>
      <c r="E51">
        <f t="shared" si="12"/>
        <v>1.3802112417116059</v>
      </c>
      <c r="F51">
        <f t="shared" si="13"/>
        <v>2.3222192947339191</v>
      </c>
      <c r="G51">
        <f t="shared" si="14"/>
        <v>4</v>
      </c>
      <c r="H51">
        <f t="shared" si="15"/>
        <v>7.0470107817447438</v>
      </c>
      <c r="I51">
        <f t="shared" si="16"/>
        <v>3.2529892182552569</v>
      </c>
      <c r="J51">
        <f t="shared" si="17"/>
        <v>1.1584966776323942</v>
      </c>
    </row>
    <row r="52" spans="1:10" x14ac:dyDescent="0.25">
      <c r="A52">
        <v>51</v>
      </c>
      <c r="B52">
        <f t="shared" si="9"/>
        <v>61</v>
      </c>
      <c r="C52">
        <f t="shared" si="10"/>
        <v>19.399999999999999</v>
      </c>
      <c r="D52">
        <f t="shared" si="11"/>
        <v>0.54406804435027567</v>
      </c>
      <c r="E52">
        <f t="shared" si="12"/>
        <v>0.47712125471966244</v>
      </c>
      <c r="F52">
        <f t="shared" si="13"/>
        <v>1.146128035678238</v>
      </c>
      <c r="G52">
        <f t="shared" si="14"/>
        <v>1</v>
      </c>
      <c r="H52">
        <f t="shared" si="15"/>
        <v>15.21307721899367</v>
      </c>
      <c r="I52">
        <f t="shared" si="16"/>
        <v>4.186922781006329</v>
      </c>
      <c r="J52">
        <f t="shared" si="17"/>
        <v>1.4911012013439151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I46"/>
  <sheetViews>
    <sheetView topLeftCell="A26" zoomScaleNormal="100" workbookViewId="0">
      <selection activeCell="C40" sqref="C40"/>
    </sheetView>
  </sheetViews>
  <sheetFormatPr defaultColWidth="8.6328125" defaultRowHeight="12.5" x14ac:dyDescent="0.25"/>
  <cols>
    <col min="1" max="1" width="44.7265625" customWidth="1"/>
    <col min="2" max="2" width="16.7265625" customWidth="1"/>
    <col min="3" max="3" width="44.7265625" customWidth="1"/>
    <col min="4" max="5" width="3.7265625" customWidth="1"/>
    <col min="6" max="10" width="18.7265625" customWidth="1"/>
  </cols>
  <sheetData>
    <row r="1" spans="1:9" ht="20" x14ac:dyDescent="0.4">
      <c r="A1" s="14" t="s">
        <v>32</v>
      </c>
    </row>
    <row r="2" spans="1:9" ht="13" x14ac:dyDescent="0.3">
      <c r="A2" s="13"/>
    </row>
    <row r="3" spans="1:9" ht="13" x14ac:dyDescent="0.3">
      <c r="F3" s="15" t="s">
        <v>33</v>
      </c>
    </row>
    <row r="4" spans="1:9" ht="14" x14ac:dyDescent="0.3">
      <c r="A4" s="16" t="s">
        <v>34</v>
      </c>
      <c r="B4" s="16"/>
      <c r="C4" s="16"/>
      <c r="F4" s="17" t="s">
        <v>35</v>
      </c>
      <c r="G4" s="17" t="s">
        <v>36</v>
      </c>
      <c r="H4" s="17" t="s">
        <v>37</v>
      </c>
      <c r="I4" s="17" t="s">
        <v>38</v>
      </c>
    </row>
    <row r="5" spans="1:9" ht="13" x14ac:dyDescent="0.25">
      <c r="A5" s="17" t="s">
        <v>39</v>
      </c>
      <c r="B5" s="17" t="s">
        <v>40</v>
      </c>
      <c r="C5" s="17" t="s">
        <v>41</v>
      </c>
      <c r="F5" s="18" t="s">
        <v>42</v>
      </c>
      <c r="G5" s="18" t="s">
        <v>42</v>
      </c>
      <c r="H5" s="18" t="s">
        <v>42</v>
      </c>
      <c r="I5" s="18" t="s">
        <v>42</v>
      </c>
    </row>
    <row r="6" spans="1:9" ht="13" x14ac:dyDescent="0.3">
      <c r="A6" s="18" t="s">
        <v>43</v>
      </c>
      <c r="B6" s="19">
        <v>1E-3</v>
      </c>
      <c r="C6" s="13" t="s">
        <v>44</v>
      </c>
      <c r="F6" s="18">
        <v>1</v>
      </c>
      <c r="G6" s="18">
        <v>1</v>
      </c>
      <c r="H6" s="18">
        <v>1</v>
      </c>
      <c r="I6" s="18" t="str">
        <f>Settings!$C$23</f>
        <v>Tiny (&lt;1 kg)</v>
      </c>
    </row>
    <row r="7" spans="1:9" ht="13" x14ac:dyDescent="0.3">
      <c r="A7" s="18" t="s">
        <v>45</v>
      </c>
      <c r="B7" s="20">
        <v>20000</v>
      </c>
      <c r="C7" s="13" t="s">
        <v>46</v>
      </c>
      <c r="F7" s="18">
        <v>2</v>
      </c>
      <c r="G7" s="18">
        <v>2</v>
      </c>
      <c r="H7" s="18">
        <v>2</v>
      </c>
      <c r="I7" s="18" t="str">
        <f>Settings!$C$24</f>
        <v>Small (1-10 kg)</v>
      </c>
    </row>
    <row r="8" spans="1:9" ht="13" x14ac:dyDescent="0.3">
      <c r="A8" s="18" t="s">
        <v>47</v>
      </c>
      <c r="B8" s="20">
        <v>10000</v>
      </c>
      <c r="C8" s="13" t="s">
        <v>48</v>
      </c>
      <c r="F8" s="18">
        <v>3</v>
      </c>
      <c r="G8" s="18">
        <v>3</v>
      </c>
      <c r="H8" s="18">
        <v>3</v>
      </c>
      <c r="I8" s="18" t="str">
        <f>Settings!$C$25</f>
        <v>Medium (10-100 kg)</v>
      </c>
    </row>
    <row r="9" spans="1:9" ht="13" x14ac:dyDescent="0.3">
      <c r="A9" s="18" t="s">
        <v>49</v>
      </c>
      <c r="B9" s="20">
        <v>150</v>
      </c>
      <c r="C9" s="13" t="s">
        <v>50</v>
      </c>
      <c r="F9" s="18">
        <v>4</v>
      </c>
      <c r="G9" s="18">
        <v>4</v>
      </c>
      <c r="H9" s="18">
        <v>4</v>
      </c>
      <c r="I9" s="18" t="str">
        <f>Settings!$C$26</f>
        <v>Large (100+ kg)</v>
      </c>
    </row>
    <row r="10" spans="1:9" ht="13" x14ac:dyDescent="0.3">
      <c r="A10" s="18" t="s">
        <v>51</v>
      </c>
      <c r="B10" s="20">
        <v>1000</v>
      </c>
      <c r="C10" s="13" t="s">
        <v>52</v>
      </c>
      <c r="F10" s="18">
        <v>5</v>
      </c>
      <c r="G10" s="18">
        <v>5</v>
      </c>
      <c r="H10" s="18">
        <v>5</v>
      </c>
    </row>
    <row r="11" spans="1:9" ht="13" x14ac:dyDescent="0.3">
      <c r="A11" s="18" t="s">
        <v>53</v>
      </c>
      <c r="B11" s="20">
        <v>1</v>
      </c>
      <c r="C11" s="13" t="s">
        <v>54</v>
      </c>
    </row>
    <row r="12" spans="1:9" ht="13" x14ac:dyDescent="0.3">
      <c r="A12" s="18" t="s">
        <v>55</v>
      </c>
      <c r="B12" s="20">
        <v>5</v>
      </c>
      <c r="C12" s="13" t="s">
        <v>54</v>
      </c>
    </row>
    <row r="13" spans="1:9" ht="13" x14ac:dyDescent="0.3">
      <c r="A13" s="18" t="s">
        <v>56</v>
      </c>
      <c r="B13" s="20">
        <v>24</v>
      </c>
      <c r="C13" s="13" t="s">
        <v>57</v>
      </c>
    </row>
    <row r="14" spans="1:9" ht="13" x14ac:dyDescent="0.3">
      <c r="A14" s="18" t="s">
        <v>58</v>
      </c>
      <c r="B14" s="19">
        <v>0.05</v>
      </c>
      <c r="C14" s="13" t="s">
        <v>59</v>
      </c>
    </row>
    <row r="16" spans="1:9" ht="14" x14ac:dyDescent="0.3">
      <c r="A16" s="16" t="s">
        <v>60</v>
      </c>
      <c r="B16" s="16"/>
      <c r="C16" s="16"/>
    </row>
    <row r="17" spans="1:3" ht="13" x14ac:dyDescent="0.3">
      <c r="A17" s="15" t="s">
        <v>61</v>
      </c>
      <c r="B17" s="17" t="s">
        <v>62</v>
      </c>
      <c r="C17" s="17" t="s">
        <v>63</v>
      </c>
    </row>
    <row r="18" spans="1:3" ht="13" x14ac:dyDescent="0.3">
      <c r="A18" s="18" t="s">
        <v>64</v>
      </c>
      <c r="B18" s="20">
        <v>0</v>
      </c>
      <c r="C18" s="18" t="str">
        <f>$A$18&amp;" (&lt;"&amp;$B$19&amp;"h)"</f>
        <v>Short (&lt;8h)</v>
      </c>
    </row>
    <row r="19" spans="1:3" ht="13" x14ac:dyDescent="0.3">
      <c r="A19" s="18" t="s">
        <v>65</v>
      </c>
      <c r="B19" s="20">
        <v>8</v>
      </c>
      <c r="C19" s="18" t="str">
        <f>$A$19&amp;" ("&amp;$B$19&amp;"-"&amp;$B$20&amp;"h)"</f>
        <v>Medium (8-12h)</v>
      </c>
    </row>
    <row r="20" spans="1:3" ht="13" x14ac:dyDescent="0.3">
      <c r="A20" s="18" t="s">
        <v>66</v>
      </c>
      <c r="B20" s="20">
        <v>12</v>
      </c>
      <c r="C20" s="18" t="str">
        <f>$A$20&amp;" ("&amp;$B$20&amp;"h+)"</f>
        <v>Long (12h+)</v>
      </c>
    </row>
    <row r="22" spans="1:3" ht="13" x14ac:dyDescent="0.3">
      <c r="A22" s="15" t="s">
        <v>67</v>
      </c>
      <c r="B22" s="17" t="s">
        <v>62</v>
      </c>
      <c r="C22" s="17" t="s">
        <v>63</v>
      </c>
    </row>
    <row r="23" spans="1:3" ht="13" x14ac:dyDescent="0.3">
      <c r="A23" s="18" t="s">
        <v>68</v>
      </c>
      <c r="B23" s="20">
        <v>0</v>
      </c>
      <c r="C23" s="18" t="str">
        <f>$A$23&amp;" (&lt;"&amp;$B$24&amp;" kg)"</f>
        <v>Tiny (&lt;1 kg)</v>
      </c>
    </row>
    <row r="24" spans="1:3" ht="13" x14ac:dyDescent="0.3">
      <c r="A24" s="18" t="s">
        <v>69</v>
      </c>
      <c r="B24" s="20">
        <v>1</v>
      </c>
      <c r="C24" s="18" t="str">
        <f>$A$24&amp;" ("&amp;$B$24&amp;"-"&amp;$B$25&amp;" kg)"</f>
        <v>Small (1-10 kg)</v>
      </c>
    </row>
    <row r="25" spans="1:3" ht="13" x14ac:dyDescent="0.3">
      <c r="A25" s="18" t="s">
        <v>65</v>
      </c>
      <c r="B25" s="20">
        <v>10</v>
      </c>
      <c r="C25" s="18" t="str">
        <f>$A$25&amp;" ("&amp;$B$25&amp;"-"&amp;$B$26&amp;" kg)"</f>
        <v>Medium (10-100 kg)</v>
      </c>
    </row>
    <row r="26" spans="1:3" ht="13" x14ac:dyDescent="0.3">
      <c r="A26" s="18" t="s">
        <v>70</v>
      </c>
      <c r="B26" s="20">
        <v>100</v>
      </c>
      <c r="C26" s="18" t="str">
        <f>$A$26&amp;" ("&amp;$B$26&amp;"+ kg)"</f>
        <v>Large (100+ kg)</v>
      </c>
    </row>
    <row r="28" spans="1:3" ht="13" x14ac:dyDescent="0.3">
      <c r="A28" s="15" t="s">
        <v>71</v>
      </c>
      <c r="B28" s="17" t="s">
        <v>62</v>
      </c>
      <c r="C28" s="17" t="s">
        <v>63</v>
      </c>
    </row>
    <row r="29" spans="1:3" ht="13" x14ac:dyDescent="0.3">
      <c r="A29" s="18" t="s">
        <v>72</v>
      </c>
      <c r="B29" s="20">
        <v>1</v>
      </c>
      <c r="C29" s="18" t="str">
        <f>$A$29&amp;" ("&amp;$B$29&amp;"-"&amp;($B$30-1)&amp;")"</f>
        <v>Low (1-2)</v>
      </c>
    </row>
    <row r="30" spans="1:3" ht="13" x14ac:dyDescent="0.3">
      <c r="A30" s="18" t="s">
        <v>73</v>
      </c>
      <c r="B30" s="20">
        <v>3</v>
      </c>
      <c r="C30" s="18" t="str">
        <f>$A$30&amp;" ("&amp;$B$30&amp;")"</f>
        <v>Moderate (3)</v>
      </c>
    </row>
    <row r="31" spans="1:3" ht="13" x14ac:dyDescent="0.3">
      <c r="A31" s="18" t="s">
        <v>74</v>
      </c>
      <c r="B31" s="20">
        <v>4</v>
      </c>
      <c r="C31" s="18" t="str">
        <f>$A$31&amp;" ("&amp;$B$31&amp;"-5)"</f>
        <v>High (4-5)</v>
      </c>
    </row>
    <row r="34" spans="1:3" ht="13" x14ac:dyDescent="0.3">
      <c r="A34" s="21"/>
      <c r="C34" s="13"/>
    </row>
    <row r="35" spans="1:3" ht="13" x14ac:dyDescent="0.3">
      <c r="A35" s="21"/>
      <c r="C35" s="13"/>
    </row>
    <row r="36" spans="1:3" ht="13" x14ac:dyDescent="0.3">
      <c r="A36" s="21"/>
      <c r="C36" s="13"/>
    </row>
    <row r="37" spans="1:3" ht="13" x14ac:dyDescent="0.3">
      <c r="A37" s="21"/>
      <c r="C37" s="13"/>
    </row>
    <row r="38" spans="1:3" ht="13" x14ac:dyDescent="0.3">
      <c r="A38" s="21"/>
      <c r="C38" s="13"/>
    </row>
    <row r="39" spans="1:3" ht="13" x14ac:dyDescent="0.3">
      <c r="A39" s="21"/>
      <c r="C39" s="13"/>
    </row>
    <row r="40" spans="1:3" ht="13" x14ac:dyDescent="0.3">
      <c r="A40" s="21"/>
      <c r="C40" s="13"/>
    </row>
    <row r="41" spans="1:3" ht="13" x14ac:dyDescent="0.3">
      <c r="A41" s="21"/>
      <c r="C41" s="13"/>
    </row>
    <row r="42" spans="1:3" ht="13" x14ac:dyDescent="0.3">
      <c r="A42" s="21"/>
      <c r="C42" s="13"/>
    </row>
    <row r="43" spans="1:3" ht="13" x14ac:dyDescent="0.3">
      <c r="A43" s="21"/>
      <c r="C43" s="13"/>
    </row>
    <row r="44" spans="1:3" ht="13" x14ac:dyDescent="0.3">
      <c r="A44" s="21"/>
      <c r="C44" s="13"/>
    </row>
    <row r="45" spans="1:3" ht="13" x14ac:dyDescent="0.3">
      <c r="A45" s="21"/>
      <c r="C45" s="13"/>
    </row>
    <row r="46" spans="1:3" ht="13" x14ac:dyDescent="0.3">
      <c r="A46" s="21"/>
      <c r="C46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H49"/>
  <sheetViews>
    <sheetView topLeftCell="A37" zoomScaleNormal="100" workbookViewId="0">
      <selection activeCell="B48" sqref="B48"/>
    </sheetView>
  </sheetViews>
  <sheetFormatPr defaultColWidth="8.6328125" defaultRowHeight="12.5" x14ac:dyDescent="0.25"/>
  <cols>
    <col min="1" max="1" width="34.7265625" customWidth="1"/>
    <col min="2" max="2" width="50.7265625" customWidth="1"/>
    <col min="3" max="10" width="13.7265625" customWidth="1"/>
  </cols>
  <sheetData>
    <row r="1" spans="1:8" ht="20" x14ac:dyDescent="0.4">
      <c r="A1" s="14" t="s">
        <v>76</v>
      </c>
    </row>
    <row r="2" spans="1:8" ht="13" x14ac:dyDescent="0.3">
      <c r="A2" s="13"/>
    </row>
    <row r="4" spans="1:8" ht="14" x14ac:dyDescent="0.3">
      <c r="A4" s="16" t="s">
        <v>77</v>
      </c>
      <c r="B4" s="16"/>
      <c r="C4" s="16"/>
      <c r="D4" s="16"/>
      <c r="E4" s="16"/>
      <c r="F4" s="16"/>
      <c r="G4" s="16"/>
      <c r="H4" s="16"/>
    </row>
    <row r="5" spans="1:8" ht="26" x14ac:dyDescent="0.25">
      <c r="A5" s="17" t="s">
        <v>78</v>
      </c>
      <c r="B5" s="17" t="s">
        <v>79</v>
      </c>
      <c r="C5" s="17" t="s">
        <v>80</v>
      </c>
      <c r="D5" s="17" t="s">
        <v>81</v>
      </c>
      <c r="E5" s="17" t="s">
        <v>82</v>
      </c>
      <c r="F5" s="17" t="s">
        <v>83</v>
      </c>
      <c r="G5" s="17" t="s">
        <v>84</v>
      </c>
      <c r="H5" s="17" t="s">
        <v>85</v>
      </c>
    </row>
    <row r="6" spans="1:8" ht="13" x14ac:dyDescent="0.3">
      <c r="A6" s="15" t="s">
        <v>0</v>
      </c>
      <c r="B6" s="18" t="s">
        <v>86</v>
      </c>
      <c r="C6" s="22">
        <f>COUNT(s_body)</f>
        <v>62</v>
      </c>
      <c r="D6" s="22">
        <f>ROWS(s_body)-C6</f>
        <v>0</v>
      </c>
      <c r="E6" s="23">
        <f>IF(ROWS(s_body)=0,0,D6/ROWS(s_body))</f>
        <v>0</v>
      </c>
      <c r="F6" s="22">
        <f>COUNTIF(raw_body_weight,"~?")</f>
        <v>0</v>
      </c>
      <c r="G6" s="24">
        <f>MIN(s_body)</f>
        <v>5.0000000000000001E-3</v>
      </c>
      <c r="H6" s="24">
        <f>MAX(s_body)</f>
        <v>6654</v>
      </c>
    </row>
    <row r="7" spans="1:8" ht="13" x14ac:dyDescent="0.3">
      <c r="A7" s="15" t="s">
        <v>1</v>
      </c>
      <c r="B7" s="18" t="s">
        <v>86</v>
      </c>
      <c r="C7" s="22">
        <f>COUNT(s_brain)</f>
        <v>62</v>
      </c>
      <c r="D7" s="22">
        <f>ROWS(s_brain)-C7</f>
        <v>0</v>
      </c>
      <c r="E7" s="23">
        <f>IF(ROWS(s_brain)=0,0,D7/ROWS(s_brain))</f>
        <v>0</v>
      </c>
      <c r="F7" s="22">
        <f>COUNTIF(raw_brain_weight,"~?")</f>
        <v>0</v>
      </c>
      <c r="G7" s="24">
        <f>MIN(s_brain)</f>
        <v>0.14000000000000001</v>
      </c>
      <c r="H7" s="24">
        <f>MAX(s_brain)</f>
        <v>5712</v>
      </c>
    </row>
    <row r="8" spans="1:8" ht="13" x14ac:dyDescent="0.3">
      <c r="A8" s="15" t="s">
        <v>2</v>
      </c>
      <c r="B8" s="18" t="s">
        <v>87</v>
      </c>
      <c r="C8" s="22">
        <f>COUNT(s_life)</f>
        <v>58</v>
      </c>
      <c r="D8" s="22">
        <f>ROWS(s_life)-C8</f>
        <v>4</v>
      </c>
      <c r="E8" s="23">
        <f>IF(ROWS(s_life)=0,0,D8/ROWS(s_life))</f>
        <v>6.4516129032258063E-2</v>
      </c>
      <c r="F8" s="22">
        <f>COUNTIF(raw_max_life_span,"~?")</f>
        <v>4</v>
      </c>
      <c r="G8" s="24">
        <f>MIN(s_life)</f>
        <v>2</v>
      </c>
      <c r="H8" s="24">
        <f>MAX(s_life)</f>
        <v>100</v>
      </c>
    </row>
    <row r="9" spans="1:8" ht="13" x14ac:dyDescent="0.3">
      <c r="A9" s="15" t="s">
        <v>3</v>
      </c>
      <c r="B9" s="18" t="s">
        <v>87</v>
      </c>
      <c r="C9" s="22">
        <f>COUNT(s_gest)</f>
        <v>58</v>
      </c>
      <c r="D9" s="22">
        <f>ROWS(s_gest)-C9</f>
        <v>4</v>
      </c>
      <c r="E9" s="23">
        <f>IF(ROWS(s_gest)=0,0,D9/ROWS(s_gest))</f>
        <v>6.4516129032258063E-2</v>
      </c>
      <c r="F9" s="22">
        <f>COUNTIF(raw_gestation_time,"~?")</f>
        <v>4</v>
      </c>
      <c r="G9" s="24">
        <f>MIN(s_gest)</f>
        <v>12</v>
      </c>
      <c r="H9" s="24">
        <f>MAX(s_gest)</f>
        <v>645</v>
      </c>
    </row>
    <row r="10" spans="1:8" ht="13" x14ac:dyDescent="0.3">
      <c r="A10" s="15" t="s">
        <v>4</v>
      </c>
      <c r="B10" s="18" t="s">
        <v>86</v>
      </c>
      <c r="C10" s="22">
        <f>COUNT(s_pred)</f>
        <v>62</v>
      </c>
      <c r="D10" s="22">
        <f>ROWS(s_pred)-C10</f>
        <v>0</v>
      </c>
      <c r="E10" s="23">
        <f>IF(ROWS(s_pred)=0,0,D10/ROWS(s_pred))</f>
        <v>0</v>
      </c>
      <c r="F10" s="22">
        <f>COUNTIF(raw_predation_index,"~?")</f>
        <v>0</v>
      </c>
      <c r="G10" s="24">
        <f>MIN(s_pred)</f>
        <v>1</v>
      </c>
      <c r="H10" s="24">
        <f>MAX(s_pred)</f>
        <v>5</v>
      </c>
    </row>
    <row r="11" spans="1:8" ht="13" x14ac:dyDescent="0.3">
      <c r="A11" s="15" t="s">
        <v>5</v>
      </c>
      <c r="B11" s="18" t="s">
        <v>86</v>
      </c>
      <c r="C11" s="22">
        <f>COUNT(s_expo)</f>
        <v>62</v>
      </c>
      <c r="D11" s="22">
        <f>ROWS(s_expo)-C11</f>
        <v>0</v>
      </c>
      <c r="E11" s="23">
        <f>IF(ROWS(s_expo)=0,0,D11/ROWS(s_expo))</f>
        <v>0</v>
      </c>
      <c r="F11" s="22">
        <f>COUNTIF(raw_sleep_exposure_index,"~?")</f>
        <v>0</v>
      </c>
      <c r="G11" s="24">
        <f>MIN(s_expo)</f>
        <v>1</v>
      </c>
      <c r="H11" s="24">
        <f>MAX(s_expo)</f>
        <v>5</v>
      </c>
    </row>
    <row r="12" spans="1:8" ht="13" x14ac:dyDescent="0.3">
      <c r="A12" s="15" t="s">
        <v>6</v>
      </c>
      <c r="B12" s="18" t="s">
        <v>86</v>
      </c>
      <c r="C12" s="22">
        <f>COUNT(s_danger)</f>
        <v>62</v>
      </c>
      <c r="D12" s="22">
        <f>ROWS(s_danger)-C12</f>
        <v>0</v>
      </c>
      <c r="E12" s="23">
        <f>IF(ROWS(s_danger)=0,0,D12/ROWS(s_danger))</f>
        <v>0</v>
      </c>
      <c r="F12" s="22">
        <f>COUNTIF(raw_danger_index,"~?")</f>
        <v>0</v>
      </c>
      <c r="G12" s="24">
        <f>MIN(s_danger)</f>
        <v>1</v>
      </c>
      <c r="H12" s="24">
        <f>MAX(s_danger)</f>
        <v>5</v>
      </c>
    </row>
    <row r="13" spans="1:8" ht="13" x14ac:dyDescent="0.3">
      <c r="A13" s="15" t="s">
        <v>7</v>
      </c>
      <c r="B13" s="18" t="s">
        <v>88</v>
      </c>
      <c r="C13" s="22">
        <f>COUNT(s_sleep)</f>
        <v>58</v>
      </c>
      <c r="D13" s="22">
        <f>ROWS(s_sleep)-C13</f>
        <v>4</v>
      </c>
      <c r="E13" s="23">
        <f>IF(ROWS(s_sleep)=0,0,D13/ROWS(s_sleep))</f>
        <v>6.4516129032258063E-2</v>
      </c>
      <c r="F13" s="22">
        <f>COUNTIF(raw_total_sleep,"~?")</f>
        <v>4</v>
      </c>
      <c r="G13" s="24">
        <f>MIN(s_sleep)</f>
        <v>2.6</v>
      </c>
      <c r="H13" s="24">
        <f>MAX(s_sleep)</f>
        <v>19.899999999999999</v>
      </c>
    </row>
    <row r="15" spans="1:8" ht="14" x14ac:dyDescent="0.3">
      <c r="A15" s="16" t="s">
        <v>89</v>
      </c>
      <c r="B15" s="16"/>
      <c r="C15" s="16"/>
      <c r="D15" s="16"/>
      <c r="E15" s="16"/>
    </row>
    <row r="16" spans="1:8" ht="13" x14ac:dyDescent="0.25">
      <c r="A16" s="17" t="s">
        <v>90</v>
      </c>
      <c r="B16" s="17" t="s">
        <v>91</v>
      </c>
      <c r="C16" s="17" t="s">
        <v>92</v>
      </c>
      <c r="D16" s="17" t="s">
        <v>93</v>
      </c>
    </row>
    <row r="17" spans="1:5" ht="13" x14ac:dyDescent="0.3">
      <c r="A17" s="15" t="s">
        <v>94</v>
      </c>
      <c r="B17" s="18" t="s">
        <v>95</v>
      </c>
      <c r="C17" s="22">
        <f>ROWS(s_body)</f>
        <v>62</v>
      </c>
      <c r="D17" s="23">
        <f t="shared" ref="D17:D23" si="0">IF($C$17=0,0,C17/$C$17)</f>
        <v>1</v>
      </c>
    </row>
    <row r="18" spans="1:5" ht="13" x14ac:dyDescent="0.3">
      <c r="A18" s="15" t="s">
        <v>96</v>
      </c>
      <c r="B18" s="18" t="s">
        <v>97</v>
      </c>
      <c r="C18" s="22">
        <f>COUNTIF(s_missing,"&gt;0")</f>
        <v>11</v>
      </c>
      <c r="D18" s="23">
        <f t="shared" si="0"/>
        <v>0.17741935483870969</v>
      </c>
    </row>
    <row r="19" spans="1:5" ht="13" x14ac:dyDescent="0.3">
      <c r="A19" s="15" t="s">
        <v>98</v>
      </c>
      <c r="B19" s="18" t="s">
        <v>99</v>
      </c>
      <c r="C19" s="22">
        <f>ROWS(s_sleep)-SUM(s_hassleep)</f>
        <v>4</v>
      </c>
      <c r="D19" s="23">
        <f t="shared" si="0"/>
        <v>6.4516129032258063E-2</v>
      </c>
    </row>
    <row r="20" spans="1:5" ht="13" x14ac:dyDescent="0.3">
      <c r="A20" s="15" t="s">
        <v>100</v>
      </c>
      <c r="B20" s="18" t="s">
        <v>101</v>
      </c>
      <c r="C20" s="22">
        <f>SUM(s_hassleep)</f>
        <v>58</v>
      </c>
      <c r="D20" s="23">
        <f t="shared" si="0"/>
        <v>0.93548387096774188</v>
      </c>
    </row>
    <row r="21" spans="1:5" ht="13" x14ac:dyDescent="0.3">
      <c r="A21" s="15" t="s">
        <v>102</v>
      </c>
      <c r="B21" s="18" t="s">
        <v>103</v>
      </c>
      <c r="C21" s="22">
        <f>SUM(s_complete)</f>
        <v>51</v>
      </c>
      <c r="D21" s="23">
        <f t="shared" si="0"/>
        <v>0.82258064516129037</v>
      </c>
    </row>
    <row r="22" spans="1:5" ht="13" x14ac:dyDescent="0.3">
      <c r="A22" s="15" t="s">
        <v>104</v>
      </c>
      <c r="B22" s="18" t="s">
        <v>105</v>
      </c>
      <c r="C22" s="22">
        <f>SUM(s_rangeok)</f>
        <v>62</v>
      </c>
      <c r="D22" s="23">
        <f t="shared" si="0"/>
        <v>1</v>
      </c>
    </row>
    <row r="23" spans="1:5" ht="13" x14ac:dyDescent="0.3">
      <c r="A23" s="15" t="s">
        <v>106</v>
      </c>
      <c r="B23" s="18" t="s">
        <v>107</v>
      </c>
      <c r="C23" s="22">
        <f>SUM(Clean_1_Numeric!L2:L63)</f>
        <v>0</v>
      </c>
      <c r="D23" s="23">
        <f t="shared" si="0"/>
        <v>0</v>
      </c>
    </row>
    <row r="25" spans="1:5" ht="13" x14ac:dyDescent="0.3">
      <c r="A25" s="15" t="s">
        <v>108</v>
      </c>
      <c r="B25" s="25" t="str">
        <f>IF(SUM(s_complete)=ROWS(md_y),"OK - Model_Data holds every complete case","CHECK - Model_Data row count differs from complete cases")</f>
        <v>OK - Model_Data holds every complete case</v>
      </c>
    </row>
    <row r="27" spans="1:5" ht="14" x14ac:dyDescent="0.3">
      <c r="A27" s="16" t="s">
        <v>109</v>
      </c>
      <c r="B27" s="16"/>
      <c r="C27" s="16"/>
      <c r="D27" s="16"/>
      <c r="E27" s="16"/>
    </row>
    <row r="28" spans="1:5" ht="13" x14ac:dyDescent="0.25">
      <c r="A28" s="17" t="s">
        <v>110</v>
      </c>
      <c r="B28" s="17" t="s">
        <v>111</v>
      </c>
      <c r="C28" s="17" t="s">
        <v>112</v>
      </c>
      <c r="D28" s="17" t="s">
        <v>113</v>
      </c>
      <c r="E28" s="17" t="s">
        <v>114</v>
      </c>
    </row>
    <row r="29" spans="1:5" ht="13" x14ac:dyDescent="0.3">
      <c r="A29" s="15" t="s">
        <v>0</v>
      </c>
      <c r="B29" s="18" t="str">
        <f>IF(ABS(C29)&gt;1,"Log10-transform (|skew| &gt; 1)","Keep raw")</f>
        <v>Log10-transform (|skew| &gt; 1)</v>
      </c>
      <c r="C29" s="24">
        <f>SKEW(s_body)</f>
        <v>6.5636080628337616</v>
      </c>
      <c r="D29" s="24">
        <f>SKEW(l_body)</f>
        <v>0.15266760355561551</v>
      </c>
      <c r="E29" s="24">
        <f>ABS(C29)-ABS(D29)</f>
        <v>6.4109404592781463</v>
      </c>
    </row>
    <row r="30" spans="1:5" ht="13" x14ac:dyDescent="0.3">
      <c r="A30" s="15" t="s">
        <v>1</v>
      </c>
      <c r="B30" s="18" t="str">
        <f>IF(ABS(C30)&gt;1,"Log10-transform (|skew| &gt; 1)","Keep raw")</f>
        <v>Log10-transform (|skew| &gt; 1)</v>
      </c>
      <c r="C30" s="24">
        <f>SKEW(s_brain)</f>
        <v>5.0715894569396784</v>
      </c>
      <c r="D30" s="24">
        <f>SKEW(l_brain)</f>
        <v>4.5626097555450565E-2</v>
      </c>
      <c r="E30" s="24">
        <f>ABS(C30)-ABS(D30)</f>
        <v>5.0259633593842281</v>
      </c>
    </row>
    <row r="31" spans="1:5" ht="13" x14ac:dyDescent="0.3">
      <c r="A31" s="15" t="s">
        <v>2</v>
      </c>
      <c r="B31" s="18" t="str">
        <f>IF(ABS(C31)&gt;1,"Log10-transform (|skew| &gt; 1)","Keep raw")</f>
        <v>Log10-transform (|skew| &gt; 1)</v>
      </c>
      <c r="C31" s="24">
        <f>SKEW(s_life)</f>
        <v>2.0137595053060884</v>
      </c>
      <c r="D31" s="24">
        <f>SKEW(l_life)</f>
        <v>-0.17169382793256327</v>
      </c>
      <c r="E31" s="24">
        <f>ABS(C31)-ABS(D31)</f>
        <v>1.8420656773735251</v>
      </c>
    </row>
    <row r="32" spans="1:5" ht="13" x14ac:dyDescent="0.3">
      <c r="A32" s="15" t="s">
        <v>3</v>
      </c>
      <c r="B32" s="18" t="str">
        <f>IF(ABS(C32)&gt;1,"Log10-transform (|skew| &gt; 1)","Keep raw")</f>
        <v>Log10-transform (|skew| &gt; 1)</v>
      </c>
      <c r="C32" s="24">
        <f>SKEW(s_gest)</f>
        <v>1.6835007981286434</v>
      </c>
      <c r="D32" s="24">
        <f>SKEW(l_gest)</f>
        <v>4.9883014492964652E-2</v>
      </c>
      <c r="E32" s="24">
        <f>ABS(C32)-ABS(D32)</f>
        <v>1.6336177836356787</v>
      </c>
    </row>
    <row r="34" spans="1:8" ht="14" x14ac:dyDescent="0.3">
      <c r="A34" s="16" t="s">
        <v>115</v>
      </c>
      <c r="B34" s="16"/>
      <c r="C34" s="16"/>
      <c r="D34" s="16"/>
      <c r="E34" s="16"/>
      <c r="F34" s="16"/>
      <c r="G34" s="16"/>
      <c r="H34" s="16"/>
    </row>
    <row r="35" spans="1:8" ht="13" x14ac:dyDescent="0.25">
      <c r="A35" s="17" t="s">
        <v>110</v>
      </c>
      <c r="B35" s="17" t="s">
        <v>79</v>
      </c>
      <c r="C35" s="17" t="s">
        <v>116</v>
      </c>
      <c r="D35" s="17" t="s">
        <v>117</v>
      </c>
      <c r="E35" s="17" t="s">
        <v>118</v>
      </c>
      <c r="F35" s="17" t="s">
        <v>119</v>
      </c>
      <c r="G35" s="17" t="s">
        <v>120</v>
      </c>
      <c r="H35" s="17" t="s">
        <v>121</v>
      </c>
    </row>
    <row r="36" spans="1:8" ht="13" x14ac:dyDescent="0.3">
      <c r="A36" s="15" t="s">
        <v>122</v>
      </c>
      <c r="B36" s="18" t="s">
        <v>123</v>
      </c>
      <c r="C36" s="24">
        <f>Descriptive_Stats!H5</f>
        <v>0.60000000000000009</v>
      </c>
      <c r="D36" s="24">
        <f>Descriptive_Stats!I5</f>
        <v>48.202500000000001</v>
      </c>
      <c r="E36" s="24">
        <f>C36-1.5*(D36-C36)</f>
        <v>-70.803750000000008</v>
      </c>
      <c r="F36" s="24">
        <f>D36+1.5*(D36-C36)</f>
        <v>119.60625</v>
      </c>
      <c r="G36" s="22">
        <f>COUNTIF(s_body,"&lt;"&amp;E36)</f>
        <v>0</v>
      </c>
      <c r="H36" s="22">
        <f>COUNTIF(s_body,"&gt;"&amp;F36)</f>
        <v>10</v>
      </c>
    </row>
    <row r="37" spans="1:8" ht="13" x14ac:dyDescent="0.3">
      <c r="A37" s="15" t="s">
        <v>124</v>
      </c>
      <c r="B37" s="18" t="s">
        <v>123</v>
      </c>
      <c r="C37" s="24">
        <f>Descriptive_Stats!H6</f>
        <v>4.25</v>
      </c>
      <c r="D37" s="24">
        <f>Descriptive_Stats!I6</f>
        <v>166</v>
      </c>
      <c r="E37" s="24">
        <f>C37-1.5*(D37-C37)</f>
        <v>-238.375</v>
      </c>
      <c r="F37" s="24">
        <f>D37+1.5*(D37-C37)</f>
        <v>408.625</v>
      </c>
      <c r="G37" s="22">
        <f>COUNTIF(s_brain,"&lt;"&amp;E37)</f>
        <v>0</v>
      </c>
      <c r="H37" s="22">
        <f>COUNTIF(s_brain,"&gt;"&amp;F37)</f>
        <v>9</v>
      </c>
    </row>
    <row r="38" spans="1:8" ht="13" x14ac:dyDescent="0.3">
      <c r="A38" s="15" t="s">
        <v>125</v>
      </c>
      <c r="B38" s="18" t="s">
        <v>123</v>
      </c>
      <c r="C38" s="24">
        <f>Descriptive_Stats!H7</f>
        <v>6.625</v>
      </c>
      <c r="D38" s="24">
        <f>Descriptive_Stats!I7</f>
        <v>27.75</v>
      </c>
      <c r="E38" s="24">
        <f>C38-1.5*(D38-C38)</f>
        <v>-25.0625</v>
      </c>
      <c r="F38" s="24">
        <f>D38+1.5*(D38-C38)</f>
        <v>59.4375</v>
      </c>
      <c r="G38" s="22">
        <f>COUNTIF(s_life,"&lt;"&amp;E38)</f>
        <v>0</v>
      </c>
      <c r="H38" s="22">
        <f>COUNTIF(s_life,"&gt;"&amp;F38)</f>
        <v>2</v>
      </c>
    </row>
    <row r="39" spans="1:8" ht="13" x14ac:dyDescent="0.3">
      <c r="A39" s="15" t="s">
        <v>126</v>
      </c>
      <c r="B39" s="18" t="s">
        <v>123</v>
      </c>
      <c r="C39" s="24">
        <f>Descriptive_Stats!H8</f>
        <v>35.75</v>
      </c>
      <c r="D39" s="24">
        <f>Descriptive_Stats!I8</f>
        <v>207.5</v>
      </c>
      <c r="E39" s="24">
        <f>C39-1.5*(D39-C39)</f>
        <v>-221.875</v>
      </c>
      <c r="F39" s="24">
        <f>D39+1.5*(D39-C39)</f>
        <v>465.125</v>
      </c>
      <c r="G39" s="22">
        <f>COUNTIF(s_gest,"&lt;"&amp;E39)</f>
        <v>0</v>
      </c>
      <c r="H39" s="22">
        <f>COUNTIF(s_gest,"&gt;"&amp;F39)</f>
        <v>2</v>
      </c>
    </row>
    <row r="40" spans="1:8" ht="13" x14ac:dyDescent="0.3">
      <c r="A40" s="15" t="s">
        <v>127</v>
      </c>
      <c r="B40" s="18" t="s">
        <v>123</v>
      </c>
      <c r="C40" s="24">
        <f>Descriptive_Stats!H12</f>
        <v>8.0500000000000007</v>
      </c>
      <c r="D40" s="24">
        <f>Descriptive_Stats!I12</f>
        <v>13.2</v>
      </c>
      <c r="E40" s="24">
        <f>C40-1.5*(D40-C40)</f>
        <v>0.32500000000000284</v>
      </c>
      <c r="F40" s="24">
        <f>D40+1.5*(D40-C40)</f>
        <v>20.924999999999997</v>
      </c>
      <c r="G40" s="22">
        <f>COUNTIF(s_sleep,"&lt;"&amp;E40)</f>
        <v>0</v>
      </c>
      <c r="H40" s="22">
        <f>COUNTIF(s_sleep,"&gt;"&amp;F40)</f>
        <v>0</v>
      </c>
    </row>
    <row r="42" spans="1:8" ht="14" x14ac:dyDescent="0.3">
      <c r="A42" s="16" t="s">
        <v>128</v>
      </c>
      <c r="B42" s="16"/>
    </row>
    <row r="43" spans="1:8" ht="13" x14ac:dyDescent="0.3">
      <c r="A43" s="15" t="s">
        <v>129</v>
      </c>
      <c r="B43" s="18" t="s">
        <v>130</v>
      </c>
    </row>
    <row r="44" spans="1:8" ht="13" x14ac:dyDescent="0.3">
      <c r="A44" s="15" t="s">
        <v>131</v>
      </c>
      <c r="B44" s="18" t="s">
        <v>132</v>
      </c>
    </row>
    <row r="45" spans="1:8" ht="13" x14ac:dyDescent="0.3">
      <c r="A45" s="15" t="s">
        <v>133</v>
      </c>
      <c r="B45" s="18" t="s">
        <v>134</v>
      </c>
    </row>
    <row r="46" spans="1:8" ht="13" x14ac:dyDescent="0.3">
      <c r="A46" s="15" t="s">
        <v>135</v>
      </c>
      <c r="B46" s="18" t="s">
        <v>136</v>
      </c>
    </row>
    <row r="47" spans="1:8" ht="13" x14ac:dyDescent="0.3">
      <c r="A47" s="15" t="s">
        <v>137</v>
      </c>
      <c r="B47" s="18" t="s">
        <v>138</v>
      </c>
    </row>
    <row r="48" spans="1:8" ht="13" x14ac:dyDescent="0.3">
      <c r="A48" s="15" t="s">
        <v>139</v>
      </c>
      <c r="B48" s="18" t="s">
        <v>140</v>
      </c>
    </row>
    <row r="49" spans="1:2" ht="13" x14ac:dyDescent="0.3">
      <c r="A49" s="15" t="s">
        <v>75</v>
      </c>
      <c r="B49" s="18" t="s">
        <v>141</v>
      </c>
    </row>
  </sheetData>
  <conditionalFormatting sqref="E6:E13">
    <cfRule type="dataBar" priority="2">
      <dataBar>
        <cfvo type="num" val="0"/>
        <cfvo type="num" val="0.2"/>
        <color rgb="FFF4B183"/>
      </dataBar>
      <extLst>
        <ext xmlns:x14="http://schemas.microsoft.com/office/spreadsheetml/2009/9/main" uri="{B025F937-C7B1-47D3-B67F-A62EFF666E3E}">
          <x14:id>{699340D3-4926-4636-B7F8-2491DE195D8E}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9340D3-4926-4636-B7F8-2491DE195D8E}">
            <x14:dataBar gradient="0">
              <x14:cfvo type="num">
                <xm:f>0</xm:f>
              </x14:cfvo>
              <x14:cfvo type="num">
                <xm:f>0.2</xm:f>
              </x14:cfvo>
              <x14:negativeFillColor rgb="FFFF0000"/>
              <x14:axisColor rgb="FF000000"/>
            </x14:dataBar>
          </x14:cfRule>
          <xm:sqref>E6:E13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L3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ColWidth="8.6328125" defaultRowHeight="12.5" x14ac:dyDescent="0.25"/>
  <cols>
    <col min="1" max="1" width="28.7265625" customWidth="1"/>
    <col min="2" max="13" width="12.7265625" customWidth="1"/>
  </cols>
  <sheetData>
    <row r="1" spans="1:12" ht="20" x14ac:dyDescent="0.4">
      <c r="A1" s="14" t="s">
        <v>142</v>
      </c>
    </row>
    <row r="2" spans="1:12" ht="13" x14ac:dyDescent="0.3">
      <c r="A2" s="13"/>
    </row>
    <row r="4" spans="1:12" ht="13" x14ac:dyDescent="0.25">
      <c r="A4" s="17" t="s">
        <v>110</v>
      </c>
      <c r="B4" s="17" t="s">
        <v>143</v>
      </c>
      <c r="C4" s="17" t="s">
        <v>81</v>
      </c>
      <c r="D4" s="17" t="s">
        <v>144</v>
      </c>
      <c r="E4" s="17" t="s">
        <v>145</v>
      </c>
      <c r="F4" s="17" t="s">
        <v>146</v>
      </c>
      <c r="G4" s="17" t="s">
        <v>84</v>
      </c>
      <c r="H4" s="17" t="s">
        <v>116</v>
      </c>
      <c r="I4" s="17" t="s">
        <v>117</v>
      </c>
      <c r="J4" s="17" t="s">
        <v>85</v>
      </c>
      <c r="K4" s="17" t="s">
        <v>147</v>
      </c>
      <c r="L4" s="17" t="s">
        <v>148</v>
      </c>
    </row>
    <row r="5" spans="1:12" ht="13" x14ac:dyDescent="0.3">
      <c r="A5" s="15" t="s">
        <v>122</v>
      </c>
      <c r="B5" s="22">
        <f>COUNT(s_body)</f>
        <v>62</v>
      </c>
      <c r="C5" s="22">
        <f>ROWS(s_body)-B5</f>
        <v>0</v>
      </c>
      <c r="D5" s="24">
        <f>AVERAGE(s_body)</f>
        <v>198.78998387096775</v>
      </c>
      <c r="E5" s="24">
        <f>MEDIAN(s_body)</f>
        <v>3.3424999999999998</v>
      </c>
      <c r="F5" s="24">
        <f>STDEV(s_body)</f>
        <v>899.15801051742608</v>
      </c>
      <c r="G5" s="24">
        <f>MIN(s_body)</f>
        <v>5.0000000000000001E-3</v>
      </c>
      <c r="H5" s="24">
        <f>QUARTILE(s_body,1)</f>
        <v>0.60000000000000009</v>
      </c>
      <c r="I5" s="24">
        <f>QUARTILE(s_body,3)</f>
        <v>48.202500000000001</v>
      </c>
      <c r="J5" s="24">
        <f>MAX(s_body)</f>
        <v>6654</v>
      </c>
      <c r="K5" s="24">
        <f>SKEW(s_body)</f>
        <v>6.5636080628337616</v>
      </c>
      <c r="L5" s="26">
        <f t="shared" ref="L5:L17" si="0">IF(D5=0,0,F5/D5*100)</f>
        <v>452.31555081822387</v>
      </c>
    </row>
    <row r="6" spans="1:12" ht="13" x14ac:dyDescent="0.3">
      <c r="A6" s="15" t="s">
        <v>124</v>
      </c>
      <c r="B6" s="22">
        <f>COUNT(s_brain)</f>
        <v>62</v>
      </c>
      <c r="C6" s="22">
        <f>ROWS(s_brain)-B6</f>
        <v>0</v>
      </c>
      <c r="D6" s="24">
        <f>AVERAGE(s_brain)</f>
        <v>283.13419354838709</v>
      </c>
      <c r="E6" s="24">
        <f>MEDIAN(s_brain)</f>
        <v>17.25</v>
      </c>
      <c r="F6" s="24">
        <f>STDEV(s_brain)</f>
        <v>930.27894225430998</v>
      </c>
      <c r="G6" s="24">
        <f>MIN(s_brain)</f>
        <v>0.14000000000000001</v>
      </c>
      <c r="H6" s="24">
        <f>QUARTILE(s_brain,1)</f>
        <v>4.25</v>
      </c>
      <c r="I6" s="24">
        <f>QUARTILE(s_brain,3)</f>
        <v>166</v>
      </c>
      <c r="J6" s="24">
        <f>MAX(s_brain)</f>
        <v>5712</v>
      </c>
      <c r="K6" s="24">
        <f>SKEW(s_brain)</f>
        <v>5.0715894569396784</v>
      </c>
      <c r="L6" s="26">
        <f t="shared" si="0"/>
        <v>328.5646747909758</v>
      </c>
    </row>
    <row r="7" spans="1:12" ht="13" x14ac:dyDescent="0.3">
      <c r="A7" s="15" t="s">
        <v>125</v>
      </c>
      <c r="B7" s="22">
        <f>COUNT(s_life)</f>
        <v>58</v>
      </c>
      <c r="C7" s="22">
        <f>ROWS(s_life)-B7</f>
        <v>4</v>
      </c>
      <c r="D7" s="24">
        <f>AVERAGE(s_life)</f>
        <v>19.877586206896552</v>
      </c>
      <c r="E7" s="24">
        <f>MEDIAN(s_life)</f>
        <v>15.1</v>
      </c>
      <c r="F7" s="24">
        <f>STDEV(s_life)</f>
        <v>18.20625536518321</v>
      </c>
      <c r="G7" s="24">
        <f>MIN(s_life)</f>
        <v>2</v>
      </c>
      <c r="H7" s="24">
        <f>QUARTILE(s_life,1)</f>
        <v>6.625</v>
      </c>
      <c r="I7" s="24">
        <f>QUARTILE(s_life,3)</f>
        <v>27.75</v>
      </c>
      <c r="J7" s="24">
        <f>MAX(s_life)</f>
        <v>100</v>
      </c>
      <c r="K7" s="24">
        <f>SKEW(s_life)</f>
        <v>2.0137595053060884</v>
      </c>
      <c r="L7" s="26">
        <f t="shared" si="0"/>
        <v>91.591882312483847</v>
      </c>
    </row>
    <row r="8" spans="1:12" ht="13" x14ac:dyDescent="0.3">
      <c r="A8" s="15" t="s">
        <v>126</v>
      </c>
      <c r="B8" s="22">
        <f>COUNT(s_gest)</f>
        <v>58</v>
      </c>
      <c r="C8" s="22">
        <f>ROWS(s_gest)-B8</f>
        <v>4</v>
      </c>
      <c r="D8" s="24">
        <f>AVERAGE(s_gest)</f>
        <v>142.35344827586206</v>
      </c>
      <c r="E8" s="24">
        <f>MEDIAN(s_gest)</f>
        <v>79</v>
      </c>
      <c r="F8" s="24">
        <f>STDEV(s_gest)</f>
        <v>146.80503865285311</v>
      </c>
      <c r="G8" s="24">
        <f>MIN(s_gest)</f>
        <v>12</v>
      </c>
      <c r="H8" s="24">
        <f>QUARTILE(s_gest,1)</f>
        <v>35.75</v>
      </c>
      <c r="I8" s="24">
        <f>QUARTILE(s_gest,3)</f>
        <v>207.5</v>
      </c>
      <c r="J8" s="24">
        <f>MAX(s_gest)</f>
        <v>645</v>
      </c>
      <c r="K8" s="24">
        <f>SKEW(s_gest)</f>
        <v>1.6835007981286434</v>
      </c>
      <c r="L8" s="26">
        <f t="shared" si="0"/>
        <v>103.12713912511937</v>
      </c>
    </row>
    <row r="9" spans="1:12" ht="13" x14ac:dyDescent="0.3">
      <c r="A9" s="15" t="s">
        <v>4</v>
      </c>
      <c r="B9" s="22">
        <f>COUNT(s_pred)</f>
        <v>62</v>
      </c>
      <c r="C9" s="22">
        <f>ROWS(s_pred)-B9</f>
        <v>0</v>
      </c>
      <c r="D9" s="24">
        <f>AVERAGE(s_pred)</f>
        <v>2.870967741935484</v>
      </c>
      <c r="E9" s="24">
        <f>MEDIAN(s_pred)</f>
        <v>3</v>
      </c>
      <c r="F9" s="24">
        <f>STDEV(s_pred)</f>
        <v>1.4764142535625582</v>
      </c>
      <c r="G9" s="24">
        <f>MIN(s_pred)</f>
        <v>1</v>
      </c>
      <c r="H9" s="24">
        <f>QUARTILE(s_pred,1)</f>
        <v>2</v>
      </c>
      <c r="I9" s="24">
        <f>QUARTILE(s_pred,3)</f>
        <v>4</v>
      </c>
      <c r="J9" s="24">
        <f>MAX(s_pred)</f>
        <v>5</v>
      </c>
      <c r="K9" s="24">
        <f>SKEW(s_pred)</f>
        <v>0.22951866524133482</v>
      </c>
      <c r="L9" s="26">
        <f t="shared" si="0"/>
        <v>51.425665011729549</v>
      </c>
    </row>
    <row r="10" spans="1:12" ht="13" x14ac:dyDescent="0.3">
      <c r="A10" s="15" t="s">
        <v>5</v>
      </c>
      <c r="B10" s="22">
        <f>COUNT(s_expo)</f>
        <v>62</v>
      </c>
      <c r="C10" s="22">
        <f>ROWS(s_expo)-B10</f>
        <v>0</v>
      </c>
      <c r="D10" s="24">
        <f>AVERAGE(s_expo)</f>
        <v>2.4193548387096775</v>
      </c>
      <c r="E10" s="24">
        <f>MEDIAN(s_expo)</f>
        <v>2</v>
      </c>
      <c r="F10" s="24">
        <f>STDEV(s_expo)</f>
        <v>1.6047918724845902</v>
      </c>
      <c r="G10" s="24">
        <f>MIN(s_expo)</f>
        <v>1</v>
      </c>
      <c r="H10" s="24">
        <f>QUARTILE(s_expo,1)</f>
        <v>1</v>
      </c>
      <c r="I10" s="24">
        <f>QUARTILE(s_expo,3)</f>
        <v>4</v>
      </c>
      <c r="J10" s="24">
        <f>MAX(s_expo)</f>
        <v>5</v>
      </c>
      <c r="K10" s="24">
        <f>SKEW(s_expo)</f>
        <v>0.67953568666460218</v>
      </c>
      <c r="L10" s="26">
        <f t="shared" si="0"/>
        <v>66.331397396029729</v>
      </c>
    </row>
    <row r="11" spans="1:12" ht="13" x14ac:dyDescent="0.3">
      <c r="A11" s="15" t="s">
        <v>6</v>
      </c>
      <c r="B11" s="22">
        <f>COUNT(s_danger)</f>
        <v>62</v>
      </c>
      <c r="C11" s="22">
        <f>ROWS(s_danger)-B11</f>
        <v>0</v>
      </c>
      <c r="D11" s="24">
        <f>AVERAGE(s_danger)</f>
        <v>2.6129032258064515</v>
      </c>
      <c r="E11" s="24">
        <f>MEDIAN(s_danger)</f>
        <v>2</v>
      </c>
      <c r="F11" s="24">
        <f>STDEV(s_danger)</f>
        <v>1.4412521731282144</v>
      </c>
      <c r="G11" s="24">
        <f>MIN(s_danger)</f>
        <v>1</v>
      </c>
      <c r="H11" s="24">
        <f>QUARTILE(s_danger,1)</f>
        <v>1</v>
      </c>
      <c r="I11" s="24">
        <f>QUARTILE(s_danger,3)</f>
        <v>4</v>
      </c>
      <c r="J11" s="24">
        <f>MAX(s_danger)</f>
        <v>5</v>
      </c>
      <c r="K11" s="24">
        <f>SKEW(s_danger)</f>
        <v>0.37765587625153102</v>
      </c>
      <c r="L11" s="26">
        <f t="shared" si="0"/>
        <v>55.159033786388456</v>
      </c>
    </row>
    <row r="12" spans="1:12" ht="13" x14ac:dyDescent="0.3">
      <c r="A12" s="15" t="s">
        <v>127</v>
      </c>
      <c r="B12" s="22">
        <f>COUNT(s_sleep)</f>
        <v>58</v>
      </c>
      <c r="C12" s="22">
        <f>ROWS(s_sleep)-B12</f>
        <v>4</v>
      </c>
      <c r="D12" s="24">
        <f>AVERAGE(s_sleep)</f>
        <v>10.532758620689648</v>
      </c>
      <c r="E12" s="24">
        <f>MEDIAN(s_sleep)</f>
        <v>10.45</v>
      </c>
      <c r="F12" s="24">
        <f>STDEV(s_sleep)</f>
        <v>4.6067603995986692</v>
      </c>
      <c r="G12" s="24">
        <f>MIN(s_sleep)</f>
        <v>2.6</v>
      </c>
      <c r="H12" s="24">
        <f>QUARTILE(s_sleep,1)</f>
        <v>8.0500000000000007</v>
      </c>
      <c r="I12" s="24">
        <f>QUARTILE(s_sleep,3)</f>
        <v>13.2</v>
      </c>
      <c r="J12" s="24">
        <f>MAX(s_sleep)</f>
        <v>19.899999999999999</v>
      </c>
      <c r="K12" s="24">
        <f>SKEW(s_sleep)</f>
        <v>0.20124523613050221</v>
      </c>
      <c r="L12" s="26">
        <f t="shared" si="0"/>
        <v>43.737453458294809</v>
      </c>
    </row>
    <row r="13" spans="1:12" ht="13" x14ac:dyDescent="0.3">
      <c r="A13" s="15" t="s">
        <v>149</v>
      </c>
      <c r="B13" s="22">
        <f>COUNT(l_body)</f>
        <v>62</v>
      </c>
      <c r="C13" s="22">
        <f>ROWS(l_body)-B13</f>
        <v>0</v>
      </c>
      <c r="D13" s="24">
        <f>AVERAGE(l_body)</f>
        <v>0.58088579459168144</v>
      </c>
      <c r="E13" s="24">
        <f>MEDIAN(l_body)</f>
        <v>0.52403630644952526</v>
      </c>
      <c r="F13" s="24">
        <f>STDEV(l_body)</f>
        <v>1.356357110487534</v>
      </c>
      <c r="G13" s="24">
        <f>MIN(l_body)</f>
        <v>-2.3010299956639813</v>
      </c>
      <c r="H13" s="24">
        <f>QUARTILE(l_body,1)</f>
        <v>-0.22596266703139206</v>
      </c>
      <c r="I13" s="24">
        <f>QUARTILE(l_body,3)</f>
        <v>1.6780695365085765</v>
      </c>
      <c r="J13" s="24">
        <f>MAX(l_body)</f>
        <v>3.8230827965328036</v>
      </c>
      <c r="K13" s="24">
        <f>SKEW(l_body)</f>
        <v>0.15266760355561551</v>
      </c>
      <c r="L13" s="26">
        <f t="shared" si="0"/>
        <v>233.49806848710256</v>
      </c>
    </row>
    <row r="14" spans="1:12" ht="13" x14ac:dyDescent="0.3">
      <c r="A14" s="15" t="s">
        <v>150</v>
      </c>
      <c r="B14" s="22">
        <f>COUNT(l_brain)</f>
        <v>62</v>
      </c>
      <c r="C14" s="22">
        <f>ROWS(l_brain)-B14</f>
        <v>0</v>
      </c>
      <c r="D14" s="24">
        <f>AVERAGE(l_brain)</f>
        <v>1.3637706247056938</v>
      </c>
      <c r="E14" s="24">
        <f>MEDIAN(l_brain)</f>
        <v>1.2367434850322843</v>
      </c>
      <c r="F14" s="24">
        <f>STDEV(l_brain)</f>
        <v>1.0625066526406204</v>
      </c>
      <c r="G14" s="24">
        <f>MIN(l_brain)</f>
        <v>-0.85387196432176193</v>
      </c>
      <c r="H14" s="24">
        <f>QUARTILE(l_brain,1)</f>
        <v>0.62628749457997657</v>
      </c>
      <c r="I14" s="24">
        <f>QUARTILE(l_brain,3)</f>
        <v>2.2198899415625633</v>
      </c>
      <c r="J14" s="24">
        <f>MAX(l_brain)</f>
        <v>3.7567881987681178</v>
      </c>
      <c r="K14" s="24">
        <f>SKEW(l_brain)</f>
        <v>4.5626097555450565E-2</v>
      </c>
      <c r="L14" s="26">
        <f t="shared" si="0"/>
        <v>77.909483705877065</v>
      </c>
    </row>
    <row r="15" spans="1:12" ht="13" x14ac:dyDescent="0.3">
      <c r="A15" s="15" t="s">
        <v>151</v>
      </c>
      <c r="B15" s="22">
        <f>COUNT(l_life)</f>
        <v>58</v>
      </c>
      <c r="C15" s="22">
        <f>ROWS(l_life)-B15</f>
        <v>4</v>
      </c>
      <c r="D15" s="24">
        <f>AVERAGE(l_life)</f>
        <v>1.1261510434584516</v>
      </c>
      <c r="E15" s="24">
        <f>MEDIAN(l_life)</f>
        <v>1.1778215251104345</v>
      </c>
      <c r="F15" s="24">
        <f>STDEV(l_life)</f>
        <v>0.40976315878351566</v>
      </c>
      <c r="G15" s="24">
        <f>MIN(l_life)</f>
        <v>0.3010299956639812</v>
      </c>
      <c r="H15" s="24">
        <f>QUARTILE(l_life,1)</f>
        <v>0.82095952748570589</v>
      </c>
      <c r="I15" s="24">
        <f>QUARTILE(l_life,3)</f>
        <v>1.4432094645464113</v>
      </c>
      <c r="J15" s="24">
        <f>MAX(l_life)</f>
        <v>2</v>
      </c>
      <c r="K15" s="24">
        <f>SKEW(l_life)</f>
        <v>-0.17169382793256327</v>
      </c>
      <c r="L15" s="26">
        <f t="shared" si="0"/>
        <v>36.386163398216794</v>
      </c>
    </row>
    <row r="16" spans="1:12" ht="13" x14ac:dyDescent="0.3">
      <c r="A16" s="15" t="s">
        <v>152</v>
      </c>
      <c r="B16" s="22">
        <f>COUNT(l_gest)</f>
        <v>58</v>
      </c>
      <c r="C16" s="22">
        <f>ROWS(l_gest)-B16</f>
        <v>4</v>
      </c>
      <c r="D16" s="24">
        <f>AVERAGE(l_gest)</f>
        <v>1.930087608264226</v>
      </c>
      <c r="E16" s="24">
        <f>MEDIAN(l_gest)</f>
        <v>1.8933757110727807</v>
      </c>
      <c r="F16" s="24">
        <f>STDEV(l_gest)</f>
        <v>0.46046145909170683</v>
      </c>
      <c r="G16" s="24">
        <f>MIN(l_gest)</f>
        <v>1.0791812460476249</v>
      </c>
      <c r="H16" s="24">
        <f>QUARTILE(l_gest,1)</f>
        <v>1.5529969324169093</v>
      </c>
      <c r="I16" s="24">
        <f>QUARTILE(l_gest,3)</f>
        <v>2.3169219699664345</v>
      </c>
      <c r="J16" s="24">
        <f>MAX(l_gest)</f>
        <v>2.8095597146352675</v>
      </c>
      <c r="K16" s="24">
        <f>SKEW(l_gest)</f>
        <v>4.9883014492964652E-2</v>
      </c>
      <c r="L16" s="26">
        <f t="shared" si="0"/>
        <v>23.857023749601233</v>
      </c>
    </row>
    <row r="17" spans="1:12" ht="13" x14ac:dyDescent="0.3">
      <c r="A17" s="15" t="s">
        <v>153</v>
      </c>
      <c r="B17" s="22">
        <f>COUNT(x_ratio)</f>
        <v>62</v>
      </c>
      <c r="C17" s="22">
        <f>ROWS(x_ratio)-B17</f>
        <v>0</v>
      </c>
      <c r="D17" s="24">
        <f>AVERAGE(x_ratio)</f>
        <v>9.6242136400232869</v>
      </c>
      <c r="E17" s="24">
        <f>MEDIAN(x_ratio)</f>
        <v>6.6108563722184766</v>
      </c>
      <c r="F17" s="24">
        <f>STDEV(x_ratio)</f>
        <v>8.9150448772055633</v>
      </c>
      <c r="G17" s="24">
        <f>MIN(x_ratio)</f>
        <v>0.8584310189359784</v>
      </c>
      <c r="H17" s="24">
        <f>QUARTILE(x_ratio,1)</f>
        <v>3.102574002574003</v>
      </c>
      <c r="I17" s="24">
        <f>QUARTILE(x_ratio,3)</f>
        <v>13.668419920821538</v>
      </c>
      <c r="J17" s="24">
        <f>MAX(x_ratio)</f>
        <v>39.603960396039604</v>
      </c>
      <c r="K17" s="24">
        <f>SKEW(x_ratio)</f>
        <v>1.348368633097444</v>
      </c>
      <c r="L17" s="26">
        <f t="shared" si="0"/>
        <v>92.631410842039372</v>
      </c>
    </row>
    <row r="19" spans="1:12" ht="13" x14ac:dyDescent="0.3">
      <c r="A19" s="13"/>
    </row>
    <row r="22" spans="1:12" ht="14" x14ac:dyDescent="0.3">
      <c r="A22" s="16" t="s">
        <v>154</v>
      </c>
      <c r="B22" s="16"/>
      <c r="C22" s="16"/>
      <c r="D22" s="16"/>
      <c r="E22" s="16"/>
    </row>
    <row r="23" spans="1:12" ht="13" x14ac:dyDescent="0.25">
      <c r="A23" s="17" t="s">
        <v>155</v>
      </c>
      <c r="B23" s="17" t="s">
        <v>156</v>
      </c>
      <c r="C23" s="17" t="s">
        <v>157</v>
      </c>
      <c r="D23" s="17" t="s">
        <v>158</v>
      </c>
      <c r="E23" s="17" t="s">
        <v>159</v>
      </c>
    </row>
    <row r="24" spans="1:12" ht="13" x14ac:dyDescent="0.3">
      <c r="A24" s="15" t="s">
        <v>160</v>
      </c>
      <c r="B24" s="26">
        <v>2</v>
      </c>
      <c r="C24" s="27">
        <v>4</v>
      </c>
      <c r="D24" s="22">
        <f t="shared" ref="D24:D32" si="1">COUNTIFS(s_sleep,"&gt;="&amp;B24,s_sleep,"&lt;"&amp;C24)</f>
        <v>8</v>
      </c>
      <c r="E24" s="23">
        <f t="shared" ref="E24:E32" si="2">IF(SUM($D$24:$D$32)=0,0,D24/SUM($D$24:$D$32))</f>
        <v>0.13793103448275862</v>
      </c>
    </row>
    <row r="25" spans="1:12" ht="13" x14ac:dyDescent="0.3">
      <c r="A25" s="15" t="s">
        <v>161</v>
      </c>
      <c r="B25" s="26">
        <v>4</v>
      </c>
      <c r="C25" s="27">
        <v>6</v>
      </c>
      <c r="D25" s="22">
        <f t="shared" si="1"/>
        <v>2</v>
      </c>
      <c r="E25" s="23">
        <f t="shared" si="2"/>
        <v>3.4482758620689655E-2</v>
      </c>
    </row>
    <row r="26" spans="1:12" ht="13" x14ac:dyDescent="0.3">
      <c r="A26" s="15" t="s">
        <v>162</v>
      </c>
      <c r="B26" s="26">
        <v>6</v>
      </c>
      <c r="C26" s="27">
        <v>8</v>
      </c>
      <c r="D26" s="22">
        <f t="shared" si="1"/>
        <v>4</v>
      </c>
      <c r="E26" s="23">
        <f t="shared" si="2"/>
        <v>6.8965517241379309E-2</v>
      </c>
    </row>
    <row r="27" spans="1:12" ht="13" x14ac:dyDescent="0.3">
      <c r="A27" s="15" t="s">
        <v>163</v>
      </c>
      <c r="B27" s="26">
        <v>8</v>
      </c>
      <c r="C27" s="27">
        <v>10</v>
      </c>
      <c r="D27" s="22">
        <f t="shared" si="1"/>
        <v>12</v>
      </c>
      <c r="E27" s="23">
        <f t="shared" si="2"/>
        <v>0.20689655172413793</v>
      </c>
    </row>
    <row r="28" spans="1:12" ht="13" x14ac:dyDescent="0.3">
      <c r="A28" s="15" t="s">
        <v>164</v>
      </c>
      <c r="B28" s="26">
        <v>10</v>
      </c>
      <c r="C28" s="27">
        <v>12</v>
      </c>
      <c r="D28" s="22">
        <f t="shared" si="1"/>
        <v>10</v>
      </c>
      <c r="E28" s="23">
        <f t="shared" si="2"/>
        <v>0.17241379310344829</v>
      </c>
    </row>
    <row r="29" spans="1:12" ht="13" x14ac:dyDescent="0.3">
      <c r="A29" s="15" t="s">
        <v>165</v>
      </c>
      <c r="B29" s="26">
        <v>12</v>
      </c>
      <c r="C29" s="27">
        <v>14</v>
      </c>
      <c r="D29" s="22">
        <f t="shared" si="1"/>
        <v>11</v>
      </c>
      <c r="E29" s="23">
        <f t="shared" si="2"/>
        <v>0.18965517241379309</v>
      </c>
    </row>
    <row r="30" spans="1:12" ht="13" x14ac:dyDescent="0.3">
      <c r="A30" s="15" t="s">
        <v>166</v>
      </c>
      <c r="B30" s="26">
        <v>14</v>
      </c>
      <c r="C30" s="27">
        <v>16</v>
      </c>
      <c r="D30" s="22">
        <f t="shared" si="1"/>
        <v>3</v>
      </c>
      <c r="E30" s="23">
        <f t="shared" si="2"/>
        <v>5.1724137931034482E-2</v>
      </c>
    </row>
    <row r="31" spans="1:12" ht="13" x14ac:dyDescent="0.3">
      <c r="A31" s="15" t="s">
        <v>167</v>
      </c>
      <c r="B31" s="26">
        <v>16</v>
      </c>
      <c r="C31" s="27">
        <v>18</v>
      </c>
      <c r="D31" s="22">
        <f t="shared" si="1"/>
        <v>3</v>
      </c>
      <c r="E31" s="23">
        <f t="shared" si="2"/>
        <v>5.1724137931034482E-2</v>
      </c>
    </row>
    <row r="32" spans="1:12" ht="13" x14ac:dyDescent="0.3">
      <c r="A32" s="15" t="s">
        <v>168</v>
      </c>
      <c r="B32" s="26">
        <v>18</v>
      </c>
      <c r="C32" s="27">
        <v>20.010000000000002</v>
      </c>
      <c r="D32" s="22">
        <f t="shared" si="1"/>
        <v>5</v>
      </c>
      <c r="E32" s="23">
        <f t="shared" si="2"/>
        <v>8.6206896551724144E-2</v>
      </c>
    </row>
  </sheetData>
  <conditionalFormatting sqref="K5:K18">
    <cfRule type="colorScale" priority="2">
      <colorScale>
        <cfvo type="num" val="-3"/>
        <cfvo type="num" val="0"/>
        <cfvo type="num" val="3"/>
        <color rgb="FF63BE7B"/>
        <color rgb="FFFFFFFF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N29"/>
  <sheetViews>
    <sheetView zoomScaleNormal="100" workbookViewId="0">
      <pane xSplit="1" ySplit="5" topLeftCell="L32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8.6328125" defaultRowHeight="12.5" x14ac:dyDescent="0.25"/>
  <cols>
    <col min="1" max="1" width="28.7265625" customWidth="1"/>
    <col min="2" max="10" width="12.7265625" customWidth="1"/>
    <col min="12" max="12" width="26.7265625" customWidth="1"/>
    <col min="13" max="15" width="12.7265625" customWidth="1"/>
  </cols>
  <sheetData>
    <row r="1" spans="1:14" ht="20" x14ac:dyDescent="0.4">
      <c r="A1" s="14" t="s">
        <v>169</v>
      </c>
    </row>
    <row r="2" spans="1:14" ht="13" x14ac:dyDescent="0.3">
      <c r="A2" s="13" t="s">
        <v>170</v>
      </c>
    </row>
    <row r="3" spans="1:14" ht="13" x14ac:dyDescent="0.3">
      <c r="A3" s="15" t="s">
        <v>171</v>
      </c>
      <c r="B3" s="18" t="s">
        <v>172</v>
      </c>
      <c r="C3" s="19">
        <v>0.7</v>
      </c>
      <c r="D3" s="18" t="s">
        <v>173</v>
      </c>
      <c r="E3" s="19">
        <v>0.5</v>
      </c>
      <c r="F3" s="18" t="s">
        <v>73</v>
      </c>
      <c r="G3" s="19">
        <v>0.3</v>
      </c>
      <c r="H3" s="18" t="s">
        <v>174</v>
      </c>
      <c r="I3" s="19">
        <v>0.1</v>
      </c>
    </row>
    <row r="4" spans="1:14" ht="13" x14ac:dyDescent="0.3">
      <c r="K4" s="15" t="s">
        <v>175</v>
      </c>
    </row>
    <row r="5" spans="1:14" ht="13" x14ac:dyDescent="0.25">
      <c r="A5" s="17" t="s">
        <v>110</v>
      </c>
      <c r="B5" s="17" t="s">
        <v>176</v>
      </c>
      <c r="C5" s="17" t="s">
        <v>177</v>
      </c>
      <c r="D5" s="17" t="s">
        <v>178</v>
      </c>
      <c r="E5" s="17" t="s">
        <v>179</v>
      </c>
      <c r="F5" s="17" t="s">
        <v>180</v>
      </c>
      <c r="G5" s="17" t="s">
        <v>181</v>
      </c>
      <c r="H5" s="17" t="s">
        <v>182</v>
      </c>
      <c r="I5" s="17" t="s">
        <v>183</v>
      </c>
      <c r="J5" s="17" t="s">
        <v>184</v>
      </c>
      <c r="K5" s="17" t="s">
        <v>179</v>
      </c>
      <c r="L5" s="17" t="s">
        <v>110</v>
      </c>
      <c r="M5" s="17" t="s">
        <v>185</v>
      </c>
      <c r="N5" s="17" t="s">
        <v>181</v>
      </c>
    </row>
    <row r="6" spans="1:14" ht="13" x14ac:dyDescent="0.3">
      <c r="A6" s="15" t="s">
        <v>122</v>
      </c>
      <c r="B6" s="22">
        <f>SUMPRODUCT(ISNUMBER(s_body)*ISNUMBER(s_sleep))</f>
        <v>58</v>
      </c>
      <c r="C6" s="28">
        <f>CORREL(s_body,s_sleep)</f>
        <v>-0.30718591141343737</v>
      </c>
      <c r="D6" s="28">
        <f t="shared" ref="D6:D16" si="0">ABS(C6)</f>
        <v>0.30718591141343737</v>
      </c>
      <c r="E6" s="29">
        <f>RANK(D6,$D$6:$D$16)+COUNTIF($D$5:D5,D6)</f>
        <v>11</v>
      </c>
      <c r="F6" s="18" t="str">
        <f t="shared" ref="F6:F16" si="1">IF(C6&gt;0,"More sleep","Less sleep")</f>
        <v>Less sleep</v>
      </c>
      <c r="G6" s="18" t="str">
        <f t="shared" ref="G6:G16" si="2">IF(D6&gt;=thr_vs,"Very strong",IF(D6&gt;=thr_s,"Strong",IF(D6&gt;=thr_m,"Moderate",IF(D6&gt;=thr_w,"Weak","Negligible"))))</f>
        <v>Moderate</v>
      </c>
      <c r="H6" s="24">
        <f t="shared" ref="H6:H16" si="3">C6*SQRT((B6-2)/(1-C6^2))</f>
        <v>-2.4155624649845024</v>
      </c>
      <c r="I6" s="30">
        <f t="shared" ref="I6:I16" si="4">TDIST(ABS(H6),B6-2,2)</f>
        <v>1.8998849844241061E-2</v>
      </c>
      <c r="J6" s="31" t="str">
        <f t="shared" ref="J6:J16" si="5">IF(I6&lt;0.001,"***",IF(I6&lt;0.01,"**",IF(I6&lt;alpha,"*","ns")))</f>
        <v>*</v>
      </c>
      <c r="K6" s="29">
        <v>1</v>
      </c>
      <c r="L6" s="15" t="str">
        <f t="shared" ref="L6:L16" si="6">INDEX($A$6:$A$16,MATCH(K6,$E$6:$E$16,0))</f>
        <v>log10 gestation_time</v>
      </c>
      <c r="M6" s="28">
        <f t="shared" ref="M6:M16" si="7">INDEX($C$6:$C$16,MATCH(K6,$E$6:$E$16,0))</f>
        <v>-0.66365598615326815</v>
      </c>
      <c r="N6" s="18" t="str">
        <f t="shared" ref="N6:N16" si="8">INDEX($G$6:$G$16,MATCH(K6,$E$6:$E$16,0))</f>
        <v>Strong</v>
      </c>
    </row>
    <row r="7" spans="1:14" ht="13" x14ac:dyDescent="0.3">
      <c r="A7" s="15" t="s">
        <v>124</v>
      </c>
      <c r="B7" s="22">
        <f>SUMPRODUCT(ISNUMBER(s_brain)*ISNUMBER(s_sleep))</f>
        <v>58</v>
      </c>
      <c r="C7" s="28">
        <f>CORREL(s_brain,s_sleep)</f>
        <v>-0.35810202872054581</v>
      </c>
      <c r="D7" s="28">
        <f t="shared" si="0"/>
        <v>0.35810202872054581</v>
      </c>
      <c r="E7" s="29">
        <f>RANK(D7,$D$6:$D$16)+COUNTIF($D$5:D6,D7)</f>
        <v>10</v>
      </c>
      <c r="F7" s="18" t="str">
        <f t="shared" si="1"/>
        <v>Less sleep</v>
      </c>
      <c r="G7" s="18" t="str">
        <f t="shared" si="2"/>
        <v>Moderate</v>
      </c>
      <c r="H7" s="24">
        <f t="shared" si="3"/>
        <v>-2.8701301731171296</v>
      </c>
      <c r="I7" s="30">
        <f t="shared" si="4"/>
        <v>5.7795311849934113E-3</v>
      </c>
      <c r="J7" s="31" t="str">
        <f t="shared" si="5"/>
        <v>**</v>
      </c>
      <c r="K7" s="29">
        <v>2</v>
      </c>
      <c r="L7" s="15" t="str">
        <f t="shared" si="6"/>
        <v>sleep_exposure_index</v>
      </c>
      <c r="M7" s="28">
        <f t="shared" si="7"/>
        <v>-0.6422845069751526</v>
      </c>
      <c r="N7" s="18" t="str">
        <f t="shared" si="8"/>
        <v>Strong</v>
      </c>
    </row>
    <row r="8" spans="1:14" ht="13" x14ac:dyDescent="0.3">
      <c r="A8" s="15" t="s">
        <v>125</v>
      </c>
      <c r="B8" s="22">
        <f>SUMPRODUCT(ISNUMBER(s_life)*ISNUMBER(s_sleep))</f>
        <v>54</v>
      </c>
      <c r="C8" s="28">
        <f>CORREL(s_life,s_sleep)</f>
        <v>-0.4102023887595499</v>
      </c>
      <c r="D8" s="28">
        <f t="shared" si="0"/>
        <v>0.4102023887595499</v>
      </c>
      <c r="E8" s="29">
        <f>RANK(D8,$D$6:$D$16)+COUNTIF($D$5:D7,D8)</f>
        <v>8</v>
      </c>
      <c r="F8" s="18" t="str">
        <f t="shared" si="1"/>
        <v>Less sleep</v>
      </c>
      <c r="G8" s="18" t="str">
        <f t="shared" si="2"/>
        <v>Moderate</v>
      </c>
      <c r="H8" s="24">
        <f t="shared" si="3"/>
        <v>-3.2434531509525013</v>
      </c>
      <c r="I8" s="30">
        <f t="shared" si="4"/>
        <v>2.0655490888052287E-3</v>
      </c>
      <c r="J8" s="31" t="str">
        <f t="shared" si="5"/>
        <v>**</v>
      </c>
      <c r="K8" s="29">
        <v>3</v>
      </c>
      <c r="L8" s="15" t="str">
        <f t="shared" si="6"/>
        <v>gestation_time (days)</v>
      </c>
      <c r="M8" s="28">
        <f t="shared" si="7"/>
        <v>-0.63132620079982515</v>
      </c>
      <c r="N8" s="18" t="str">
        <f t="shared" si="8"/>
        <v>Strong</v>
      </c>
    </row>
    <row r="9" spans="1:14" ht="13" x14ac:dyDescent="0.3">
      <c r="A9" s="15" t="s">
        <v>126</v>
      </c>
      <c r="B9" s="22">
        <f>SUMPRODUCT(ISNUMBER(s_gest)*ISNUMBER(s_sleep))</f>
        <v>54</v>
      </c>
      <c r="C9" s="28">
        <f>CORREL(s_gest,s_sleep)</f>
        <v>-0.63132620079982515</v>
      </c>
      <c r="D9" s="28">
        <f t="shared" si="0"/>
        <v>0.63132620079982515</v>
      </c>
      <c r="E9" s="29">
        <f>RANK(D9,$D$6:$D$16)+COUNTIF($D$5:D8,D9)</f>
        <v>3</v>
      </c>
      <c r="F9" s="18" t="str">
        <f t="shared" si="1"/>
        <v>Less sleep</v>
      </c>
      <c r="G9" s="18" t="str">
        <f t="shared" si="2"/>
        <v>Strong</v>
      </c>
      <c r="H9" s="24">
        <f t="shared" si="3"/>
        <v>-5.8703492830504356</v>
      </c>
      <c r="I9" s="30">
        <f t="shared" si="4"/>
        <v>3.0827942564767081E-7</v>
      </c>
      <c r="J9" s="31" t="str">
        <f t="shared" si="5"/>
        <v>***</v>
      </c>
      <c r="K9" s="29">
        <v>4</v>
      </c>
      <c r="L9" s="15" t="str">
        <f t="shared" si="6"/>
        <v>danger_index</v>
      </c>
      <c r="M9" s="28">
        <f t="shared" si="7"/>
        <v>-0.58774240602169692</v>
      </c>
      <c r="N9" s="18" t="str">
        <f t="shared" si="8"/>
        <v>Strong</v>
      </c>
    </row>
    <row r="10" spans="1:14" ht="13" x14ac:dyDescent="0.3">
      <c r="A10" s="15" t="s">
        <v>4</v>
      </c>
      <c r="B10" s="22">
        <f>SUMPRODUCT(ISNUMBER(s_pred)*ISNUMBER(s_sleep))</f>
        <v>58</v>
      </c>
      <c r="C10" s="28">
        <f>CORREL(s_pred,s_sleep)</f>
        <v>-0.39583497235791382</v>
      </c>
      <c r="D10" s="28">
        <f t="shared" si="0"/>
        <v>0.39583497235791382</v>
      </c>
      <c r="E10" s="29">
        <f>RANK(D10,$D$6:$D$16)+COUNTIF($D$5:D9,D10)</f>
        <v>9</v>
      </c>
      <c r="F10" s="18" t="str">
        <f t="shared" si="1"/>
        <v>Less sleep</v>
      </c>
      <c r="G10" s="18" t="str">
        <f t="shared" si="2"/>
        <v>Moderate</v>
      </c>
      <c r="H10" s="24">
        <f t="shared" si="3"/>
        <v>-3.225621064522437</v>
      </c>
      <c r="I10" s="30">
        <f t="shared" si="4"/>
        <v>2.1004323154479605E-3</v>
      </c>
      <c r="J10" s="31" t="str">
        <f t="shared" si="5"/>
        <v>**</v>
      </c>
      <c r="K10" s="29">
        <v>5</v>
      </c>
      <c r="L10" s="15" t="str">
        <f t="shared" si="6"/>
        <v>log10 brain_weight</v>
      </c>
      <c r="M10" s="28">
        <f t="shared" si="7"/>
        <v>-0.56259576990794202</v>
      </c>
      <c r="N10" s="18" t="str">
        <f t="shared" si="8"/>
        <v>Strong</v>
      </c>
    </row>
    <row r="11" spans="1:14" ht="13" x14ac:dyDescent="0.3">
      <c r="A11" s="15" t="s">
        <v>5</v>
      </c>
      <c r="B11" s="22">
        <f>SUMPRODUCT(ISNUMBER(s_expo)*ISNUMBER(s_sleep))</f>
        <v>58</v>
      </c>
      <c r="C11" s="28">
        <f>CORREL(s_expo,s_sleep)</f>
        <v>-0.6422845069751526</v>
      </c>
      <c r="D11" s="28">
        <f t="shared" si="0"/>
        <v>0.6422845069751526</v>
      </c>
      <c r="E11" s="29">
        <f>RANK(D11,$D$6:$D$16)+COUNTIF($D$5:D10,D11)</f>
        <v>2</v>
      </c>
      <c r="F11" s="18" t="str">
        <f t="shared" si="1"/>
        <v>Less sleep</v>
      </c>
      <c r="G11" s="18" t="str">
        <f t="shared" si="2"/>
        <v>Strong</v>
      </c>
      <c r="H11" s="24">
        <f t="shared" si="3"/>
        <v>-6.2708785050543279</v>
      </c>
      <c r="I11" s="30">
        <f t="shared" si="4"/>
        <v>5.4915610925578896E-8</v>
      </c>
      <c r="J11" s="31" t="str">
        <f t="shared" si="5"/>
        <v>***</v>
      </c>
      <c r="K11" s="29">
        <v>6</v>
      </c>
      <c r="L11" s="15" t="str">
        <f t="shared" si="6"/>
        <v>log10 body_weight</v>
      </c>
      <c r="M11" s="28">
        <f t="shared" si="7"/>
        <v>-0.53283449984909004</v>
      </c>
      <c r="N11" s="18" t="str">
        <f t="shared" si="8"/>
        <v>Strong</v>
      </c>
    </row>
    <row r="12" spans="1:14" ht="13" x14ac:dyDescent="0.3">
      <c r="A12" s="15" t="s">
        <v>6</v>
      </c>
      <c r="B12" s="22">
        <f>SUMPRODUCT(ISNUMBER(s_danger)*ISNUMBER(s_sleep))</f>
        <v>58</v>
      </c>
      <c r="C12" s="28">
        <f>CORREL(s_danger,s_sleep)</f>
        <v>-0.58774240602169692</v>
      </c>
      <c r="D12" s="28">
        <f t="shared" si="0"/>
        <v>0.58774240602169692</v>
      </c>
      <c r="E12" s="29">
        <f>RANK(D12,$D$6:$D$16)+COUNTIF($D$5:D11,D12)</f>
        <v>4</v>
      </c>
      <c r="F12" s="18" t="str">
        <f t="shared" si="1"/>
        <v>Less sleep</v>
      </c>
      <c r="G12" s="18" t="str">
        <f t="shared" si="2"/>
        <v>Strong</v>
      </c>
      <c r="H12" s="24">
        <f t="shared" si="3"/>
        <v>-5.4363409405501555</v>
      </c>
      <c r="I12" s="30">
        <f t="shared" si="4"/>
        <v>1.2304662935063992E-6</v>
      </c>
      <c r="J12" s="31" t="str">
        <f t="shared" si="5"/>
        <v>***</v>
      </c>
      <c r="K12" s="29">
        <v>7</v>
      </c>
      <c r="L12" s="15" t="str">
        <f t="shared" si="6"/>
        <v>log10 max_life_span</v>
      </c>
      <c r="M12" s="28">
        <f t="shared" si="7"/>
        <v>-0.42994086645601248</v>
      </c>
      <c r="N12" s="18" t="str">
        <f t="shared" si="8"/>
        <v>Moderate</v>
      </c>
    </row>
    <row r="13" spans="1:14" ht="13" x14ac:dyDescent="0.3">
      <c r="A13" s="15" t="s">
        <v>149</v>
      </c>
      <c r="B13" s="22">
        <f>SUMPRODUCT(ISNUMBER(l_body)*ISNUMBER(s_sleep))</f>
        <v>58</v>
      </c>
      <c r="C13" s="28">
        <f>CORREL(l_body,s_sleep)</f>
        <v>-0.53283449984909004</v>
      </c>
      <c r="D13" s="28">
        <f t="shared" si="0"/>
        <v>0.53283449984909004</v>
      </c>
      <c r="E13" s="29">
        <f>RANK(D13,$D$6:$D$16)+COUNTIF($D$5:D12,D13)</f>
        <v>6</v>
      </c>
      <c r="F13" s="18" t="str">
        <f t="shared" si="1"/>
        <v>Less sleep</v>
      </c>
      <c r="G13" s="18" t="str">
        <f t="shared" si="2"/>
        <v>Strong</v>
      </c>
      <c r="H13" s="24">
        <f t="shared" si="3"/>
        <v>-4.7119788822965152</v>
      </c>
      <c r="I13" s="30">
        <f t="shared" si="4"/>
        <v>1.6639438610077597E-5</v>
      </c>
      <c r="J13" s="31" t="str">
        <f t="shared" si="5"/>
        <v>***</v>
      </c>
      <c r="K13" s="29">
        <v>8</v>
      </c>
      <c r="L13" s="15" t="str">
        <f t="shared" si="6"/>
        <v>max_life_span (years)</v>
      </c>
      <c r="M13" s="28">
        <f t="shared" si="7"/>
        <v>-0.4102023887595499</v>
      </c>
      <c r="N13" s="18" t="str">
        <f t="shared" si="8"/>
        <v>Moderate</v>
      </c>
    </row>
    <row r="14" spans="1:14" ht="13" x14ac:dyDescent="0.3">
      <c r="A14" s="15" t="s">
        <v>150</v>
      </c>
      <c r="B14" s="22">
        <f>SUMPRODUCT(ISNUMBER(l_brain)*ISNUMBER(s_sleep))</f>
        <v>58</v>
      </c>
      <c r="C14" s="28">
        <f>CORREL(l_brain,s_sleep)</f>
        <v>-0.56259576990794202</v>
      </c>
      <c r="D14" s="28">
        <f t="shared" si="0"/>
        <v>0.56259576990794202</v>
      </c>
      <c r="E14" s="29">
        <f>RANK(D14,$D$6:$D$16)+COUNTIF($D$5:D13,D14)</f>
        <v>5</v>
      </c>
      <c r="F14" s="18" t="str">
        <f t="shared" si="1"/>
        <v>Less sleep</v>
      </c>
      <c r="G14" s="18" t="str">
        <f t="shared" si="2"/>
        <v>Strong</v>
      </c>
      <c r="H14" s="24">
        <f t="shared" si="3"/>
        <v>-5.0924369940368406</v>
      </c>
      <c r="I14" s="30">
        <f t="shared" si="4"/>
        <v>4.2974930350386893E-6</v>
      </c>
      <c r="J14" s="31" t="str">
        <f t="shared" si="5"/>
        <v>***</v>
      </c>
      <c r="K14" s="29">
        <v>9</v>
      </c>
      <c r="L14" s="15" t="str">
        <f t="shared" si="6"/>
        <v>predation_index</v>
      </c>
      <c r="M14" s="28">
        <f t="shared" si="7"/>
        <v>-0.39583497235791382</v>
      </c>
      <c r="N14" s="18" t="str">
        <f t="shared" si="8"/>
        <v>Moderate</v>
      </c>
    </row>
    <row r="15" spans="1:14" ht="13" x14ac:dyDescent="0.3">
      <c r="A15" s="15" t="s">
        <v>151</v>
      </c>
      <c r="B15" s="22">
        <f>SUMPRODUCT(ISNUMBER(l_life)*ISNUMBER(s_sleep))</f>
        <v>54</v>
      </c>
      <c r="C15" s="28">
        <f>CORREL(l_life,s_sleep)</f>
        <v>-0.42994086645601248</v>
      </c>
      <c r="D15" s="28">
        <f t="shared" si="0"/>
        <v>0.42994086645601248</v>
      </c>
      <c r="E15" s="29">
        <f>RANK(D15,$D$6:$D$16)+COUNTIF($D$5:D14,D15)</f>
        <v>7</v>
      </c>
      <c r="F15" s="18" t="str">
        <f t="shared" si="1"/>
        <v>Less sleep</v>
      </c>
      <c r="G15" s="18" t="str">
        <f t="shared" si="2"/>
        <v>Moderate</v>
      </c>
      <c r="H15" s="24">
        <f t="shared" si="3"/>
        <v>-3.4339297472179293</v>
      </c>
      <c r="I15" s="30">
        <f t="shared" si="4"/>
        <v>1.1758493790573806E-3</v>
      </c>
      <c r="J15" s="31" t="str">
        <f t="shared" si="5"/>
        <v>**</v>
      </c>
      <c r="K15" s="29">
        <v>10</v>
      </c>
      <c r="L15" s="15" t="str">
        <f t="shared" si="6"/>
        <v>brain_weight (g)</v>
      </c>
      <c r="M15" s="28">
        <f t="shared" si="7"/>
        <v>-0.35810202872054581</v>
      </c>
      <c r="N15" s="18" t="str">
        <f t="shared" si="8"/>
        <v>Moderate</v>
      </c>
    </row>
    <row r="16" spans="1:14" ht="13" x14ac:dyDescent="0.3">
      <c r="A16" s="15" t="s">
        <v>152</v>
      </c>
      <c r="B16" s="22">
        <f>SUMPRODUCT(ISNUMBER(l_gest)*ISNUMBER(s_sleep))</f>
        <v>54</v>
      </c>
      <c r="C16" s="28">
        <f>CORREL(l_gest,s_sleep)</f>
        <v>-0.66365598615326815</v>
      </c>
      <c r="D16" s="28">
        <f t="shared" si="0"/>
        <v>0.66365598615326815</v>
      </c>
      <c r="E16" s="29">
        <f>RANK(D16,$D$6:$D$16)+COUNTIF($D$5:D15,D16)</f>
        <v>1</v>
      </c>
      <c r="F16" s="18" t="str">
        <f t="shared" si="1"/>
        <v>Less sleep</v>
      </c>
      <c r="G16" s="18" t="str">
        <f t="shared" si="2"/>
        <v>Strong</v>
      </c>
      <c r="H16" s="24">
        <f t="shared" si="3"/>
        <v>-6.397658777668779</v>
      </c>
      <c r="I16" s="30">
        <f t="shared" si="4"/>
        <v>4.5106511261021727E-8</v>
      </c>
      <c r="J16" s="31" t="str">
        <f t="shared" si="5"/>
        <v>***</v>
      </c>
      <c r="K16" s="29">
        <v>11</v>
      </c>
      <c r="L16" s="15" t="str">
        <f t="shared" si="6"/>
        <v>body_weight (kg)</v>
      </c>
      <c r="M16" s="28">
        <f t="shared" si="7"/>
        <v>-0.30718591141343737</v>
      </c>
      <c r="N16" s="18" t="str">
        <f t="shared" si="8"/>
        <v>Moderate</v>
      </c>
    </row>
    <row r="18" spans="1:9" ht="14" x14ac:dyDescent="0.3">
      <c r="A18" s="16" t="s">
        <v>186</v>
      </c>
      <c r="B18" s="16"/>
      <c r="C18" s="16"/>
      <c r="D18" s="16"/>
      <c r="E18" s="16"/>
      <c r="F18" s="16"/>
      <c r="G18" s="16"/>
      <c r="H18" s="16"/>
      <c r="I18" s="16"/>
    </row>
    <row r="19" spans="1:9" ht="30" customHeight="1" x14ac:dyDescent="0.25">
      <c r="B19" s="32" t="s">
        <v>187</v>
      </c>
      <c r="C19" s="32" t="s">
        <v>188</v>
      </c>
      <c r="D19" s="32" t="s">
        <v>189</v>
      </c>
      <c r="E19" s="32" t="s">
        <v>190</v>
      </c>
      <c r="F19" s="32" t="s">
        <v>191</v>
      </c>
      <c r="G19" s="32" t="s">
        <v>192</v>
      </c>
      <c r="H19" s="32" t="s">
        <v>35</v>
      </c>
      <c r="I19" s="32" t="s">
        <v>193</v>
      </c>
    </row>
    <row r="20" spans="1:9" ht="13" x14ac:dyDescent="0.3">
      <c r="A20" s="15" t="s">
        <v>187</v>
      </c>
      <c r="B20" s="33">
        <f>CORREL(l_body,l_body)</f>
        <v>1.0000000000000002</v>
      </c>
      <c r="C20" s="33">
        <f>CORREL(l_body,l_brain)</f>
        <v>0.95957475837098005</v>
      </c>
      <c r="D20" s="33">
        <f>CORREL(l_body,l_life)</f>
        <v>0.71023355917520292</v>
      </c>
      <c r="E20" s="33">
        <f>CORREL(l_body,l_gest)</f>
        <v>0.73582004664956646</v>
      </c>
      <c r="F20" s="33">
        <f>CORREL(l_body,s_pred)</f>
        <v>0.12325054212089835</v>
      </c>
      <c r="G20" s="33">
        <f>CORREL(l_body,s_expo)</f>
        <v>0.65063879593767115</v>
      </c>
      <c r="H20" s="33">
        <f>CORREL(l_body,s_danger)</f>
        <v>0.32271242435802666</v>
      </c>
      <c r="I20" s="33">
        <f>CORREL(l_body,s_sleep)</f>
        <v>-0.53283449984909004</v>
      </c>
    </row>
    <row r="21" spans="1:9" ht="13" x14ac:dyDescent="0.3">
      <c r="A21" s="15" t="s">
        <v>188</v>
      </c>
      <c r="B21" s="33">
        <f>CORREL(l_brain,l_body)</f>
        <v>0.95957475837098005</v>
      </c>
      <c r="C21" s="33">
        <f>CORREL(l_brain,l_brain)</f>
        <v>1</v>
      </c>
      <c r="D21" s="33">
        <f>CORREL(l_brain,l_life)</f>
        <v>0.79207016869341618</v>
      </c>
      <c r="E21" s="33">
        <f>CORREL(l_brain,l_gest)</f>
        <v>0.79480023554088142</v>
      </c>
      <c r="F21" s="33">
        <f>CORREL(l_brain,s_pred)</f>
        <v>8.3218783678322E-2</v>
      </c>
      <c r="G21" s="33">
        <f>CORREL(l_brain,s_expo)</f>
        <v>0.63274384492555336</v>
      </c>
      <c r="H21" s="33">
        <f>CORREL(l_brain,s_danger)</f>
        <v>0.28803574111586461</v>
      </c>
      <c r="I21" s="33">
        <f>CORREL(l_brain,s_sleep)</f>
        <v>-0.56259576990794202</v>
      </c>
    </row>
    <row r="22" spans="1:9" ht="13" x14ac:dyDescent="0.3">
      <c r="A22" s="15" t="s">
        <v>189</v>
      </c>
      <c r="B22" s="33">
        <f>CORREL(l_life,l_body)</f>
        <v>0.71023355917520292</v>
      </c>
      <c r="C22" s="33">
        <f>CORREL(l_life,l_brain)</f>
        <v>0.79207016869341618</v>
      </c>
      <c r="D22" s="33">
        <f>CORREL(l_life,l_life)</f>
        <v>1.0000000000000002</v>
      </c>
      <c r="E22" s="33">
        <f>CORREL(l_life,l_gest)</f>
        <v>0.66116938591374252</v>
      </c>
      <c r="F22" s="33">
        <f>CORREL(l_life,s_pred)</f>
        <v>-5.1685012277443203E-2</v>
      </c>
      <c r="G22" s="33">
        <f>CORREL(l_life,s_expo)</f>
        <v>0.52153779589472471</v>
      </c>
      <c r="H22" s="33">
        <f>CORREL(l_life,s_danger)</f>
        <v>0.15482146567662811</v>
      </c>
      <c r="I22" s="33">
        <f>CORREL(l_life,s_sleep)</f>
        <v>-0.42994086645601248</v>
      </c>
    </row>
    <row r="23" spans="1:9" ht="13" x14ac:dyDescent="0.3">
      <c r="A23" s="15" t="s">
        <v>190</v>
      </c>
      <c r="B23" s="33">
        <f>CORREL(l_gest,l_body)</f>
        <v>0.73582004664956646</v>
      </c>
      <c r="C23" s="33">
        <f>CORREL(l_gest,l_brain)</f>
        <v>0.79480023554088142</v>
      </c>
      <c r="D23" s="33">
        <f>CORREL(l_gest,l_life)</f>
        <v>0.66116938591374252</v>
      </c>
      <c r="E23" s="33">
        <f>CORREL(l_gest,l_gest)</f>
        <v>1.0000000000000002</v>
      </c>
      <c r="F23" s="33">
        <f>CORREL(l_gest,s_pred)</f>
        <v>0.15546798937519005</v>
      </c>
      <c r="G23" s="33">
        <f>CORREL(l_gest,s_expo)</f>
        <v>0.62853664230675343</v>
      </c>
      <c r="H23" s="33">
        <f>CORREL(l_gest,s_danger)</f>
        <v>0.36268483863466094</v>
      </c>
      <c r="I23" s="33">
        <f>CORREL(l_gest,s_sleep)</f>
        <v>-0.66365598615326815</v>
      </c>
    </row>
    <row r="24" spans="1:9" ht="13" x14ac:dyDescent="0.3">
      <c r="A24" s="15" t="s">
        <v>191</v>
      </c>
      <c r="B24" s="33">
        <f>CORREL(s_pred,l_body)</f>
        <v>0.12325054212089835</v>
      </c>
      <c r="C24" s="33">
        <f>CORREL(s_pred,l_brain)</f>
        <v>8.3218783678322E-2</v>
      </c>
      <c r="D24" s="33">
        <f>CORREL(s_pred,l_life)</f>
        <v>-5.1685012277443203E-2</v>
      </c>
      <c r="E24" s="33">
        <f>CORREL(s_pred,l_gest)</f>
        <v>0.15546798937519005</v>
      </c>
      <c r="F24" s="33">
        <f>CORREL(s_pred,s_pred)</f>
        <v>1</v>
      </c>
      <c r="G24" s="33">
        <f>CORREL(s_pred,s_expo)</f>
        <v>0.61824597087693678</v>
      </c>
      <c r="H24" s="33">
        <f>CORREL(s_pred,s_danger)</f>
        <v>0.91604244574446048</v>
      </c>
      <c r="I24" s="33">
        <f>CORREL(s_pred,s_sleep)</f>
        <v>-0.39583497235791382</v>
      </c>
    </row>
    <row r="25" spans="1:9" ht="13" x14ac:dyDescent="0.3">
      <c r="A25" s="15" t="s">
        <v>192</v>
      </c>
      <c r="B25" s="33">
        <f>CORREL(s_expo,l_body)</f>
        <v>0.65063879593767115</v>
      </c>
      <c r="C25" s="33">
        <f>CORREL(s_expo,l_brain)</f>
        <v>0.63274384492555336</v>
      </c>
      <c r="D25" s="33">
        <f>CORREL(s_expo,l_life)</f>
        <v>0.52153779589472471</v>
      </c>
      <c r="E25" s="33">
        <f>CORREL(s_expo,l_gest)</f>
        <v>0.62853664230675343</v>
      </c>
      <c r="F25" s="33">
        <f>CORREL(s_expo,s_pred)</f>
        <v>0.61824597087693678</v>
      </c>
      <c r="G25" s="33">
        <f>CORREL(s_expo,s_expo)</f>
        <v>1</v>
      </c>
      <c r="H25" s="33">
        <f>CORREL(s_expo,s_danger)</f>
        <v>0.78720311244311914</v>
      </c>
      <c r="I25" s="33">
        <f>CORREL(s_expo,s_sleep)</f>
        <v>-0.6422845069751526</v>
      </c>
    </row>
    <row r="26" spans="1:9" ht="13" x14ac:dyDescent="0.3">
      <c r="A26" s="15" t="s">
        <v>35</v>
      </c>
      <c r="B26" s="33">
        <f>CORREL(s_danger,l_body)</f>
        <v>0.32271242435802666</v>
      </c>
      <c r="C26" s="33">
        <f>CORREL(s_danger,l_brain)</f>
        <v>0.28803574111586461</v>
      </c>
      <c r="D26" s="33">
        <f>CORREL(s_danger,l_life)</f>
        <v>0.15482146567662811</v>
      </c>
      <c r="E26" s="33">
        <f>CORREL(s_danger,l_gest)</f>
        <v>0.36268483863466094</v>
      </c>
      <c r="F26" s="33">
        <f>CORREL(s_danger,s_pred)</f>
        <v>0.91604244574446048</v>
      </c>
      <c r="G26" s="33">
        <f>CORREL(s_danger,s_expo)</f>
        <v>0.78720311244311914</v>
      </c>
      <c r="H26" s="33">
        <f>CORREL(s_danger,s_danger)</f>
        <v>1</v>
      </c>
      <c r="I26" s="33">
        <f>CORREL(s_danger,s_sleep)</f>
        <v>-0.58774240602169692</v>
      </c>
    </row>
    <row r="27" spans="1:9" ht="13" x14ac:dyDescent="0.3">
      <c r="A27" s="15" t="s">
        <v>193</v>
      </c>
      <c r="B27" s="33">
        <f>CORREL(s_sleep,l_body)</f>
        <v>-0.53283449984909004</v>
      </c>
      <c r="C27" s="33">
        <f>CORREL(s_sleep,l_brain)</f>
        <v>-0.56259576990794202</v>
      </c>
      <c r="D27" s="33">
        <f>CORREL(s_sleep,l_life)</f>
        <v>-0.42994086645601248</v>
      </c>
      <c r="E27" s="33">
        <f>CORREL(s_sleep,l_gest)</f>
        <v>-0.66365598615326815</v>
      </c>
      <c r="F27" s="33">
        <f>CORREL(s_sleep,s_pred)</f>
        <v>-0.39583497235791382</v>
      </c>
      <c r="G27" s="33">
        <f>CORREL(s_sleep,s_expo)</f>
        <v>-0.6422845069751526</v>
      </c>
      <c r="H27" s="33">
        <f>CORREL(s_sleep,s_danger)</f>
        <v>-0.58774240602169692</v>
      </c>
      <c r="I27" s="33">
        <f>CORREL(s_sleep,s_sleep)</f>
        <v>0.99999999999999978</v>
      </c>
    </row>
    <row r="29" spans="1:9" ht="13" x14ac:dyDescent="0.3">
      <c r="A29" s="13" t="s">
        <v>194</v>
      </c>
    </row>
  </sheetData>
  <conditionalFormatting sqref="B20:I27">
    <cfRule type="colorScale" priority="3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C6:C16">
    <cfRule type="colorScale" priority="2">
      <colorScale>
        <cfvo type="num" val="-0.8"/>
        <cfvo type="num" val="0"/>
        <cfvo type="num" val="0.8"/>
        <color rgb="FF5B9BD5"/>
        <color rgb="FFFFFFFF"/>
        <color rgb="FFF8696B"/>
      </colorScale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</sheetPr>
  <dimension ref="A1:M77"/>
  <sheetViews>
    <sheetView zoomScaleNormal="100" workbookViewId="0">
      <pane xSplit="1" ySplit="3" topLeftCell="B76" activePane="bottomRight" state="frozen"/>
      <selection pane="topRight" activeCell="B1" sqref="B1"/>
      <selection pane="bottomLeft" activeCell="A4" sqref="A4"/>
      <selection pane="bottomRight" activeCell="F20" sqref="F20"/>
    </sheetView>
  </sheetViews>
  <sheetFormatPr defaultColWidth="8.6328125" defaultRowHeight="12.5" x14ac:dyDescent="0.25"/>
  <cols>
    <col min="1" max="1" width="30.7265625" customWidth="1"/>
    <col min="2" max="2" width="12.7265625" customWidth="1"/>
    <col min="3" max="13" width="13.26953125" customWidth="1"/>
  </cols>
  <sheetData>
    <row r="1" spans="1:12" ht="20" x14ac:dyDescent="0.4">
      <c r="A1" s="14" t="s">
        <v>195</v>
      </c>
    </row>
    <row r="2" spans="1:12" ht="13" x14ac:dyDescent="0.3">
      <c r="A2" s="13"/>
    </row>
    <row r="4" spans="1:12" ht="13" x14ac:dyDescent="0.3">
      <c r="A4" s="15" t="s">
        <v>196</v>
      </c>
      <c r="B4" s="22">
        <f>COUNTIFS(x_inc,1)</f>
        <v>58</v>
      </c>
    </row>
    <row r="5" spans="1:12" ht="13" x14ac:dyDescent="0.3">
      <c r="A5" s="15" t="s">
        <v>197</v>
      </c>
      <c r="B5" s="24">
        <f>AVERAGEIFS(s_sleep,x_inc,1)</f>
        <v>10.532758620689648</v>
      </c>
    </row>
    <row r="7" spans="1:12" ht="14" x14ac:dyDescent="0.3">
      <c r="A7" s="16" t="s">
        <v>198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26" x14ac:dyDescent="0.25">
      <c r="A8" s="17" t="s">
        <v>199</v>
      </c>
      <c r="B8" s="17" t="s">
        <v>200</v>
      </c>
      <c r="C8" s="17" t="s">
        <v>158</v>
      </c>
      <c r="D8" s="17" t="s">
        <v>201</v>
      </c>
      <c r="E8" s="17" t="s">
        <v>146</v>
      </c>
      <c r="F8" s="17" t="s">
        <v>202</v>
      </c>
      <c r="G8" s="17" t="s">
        <v>203</v>
      </c>
      <c r="H8" s="17" t="s">
        <v>204</v>
      </c>
      <c r="I8" s="17" t="s">
        <v>205</v>
      </c>
      <c r="J8" s="17" t="s">
        <v>159</v>
      </c>
      <c r="K8" s="17" t="s">
        <v>206</v>
      </c>
    </row>
    <row r="9" spans="1:12" ht="13" x14ac:dyDescent="0.3">
      <c r="A9" s="15" t="s">
        <v>207</v>
      </c>
      <c r="B9" s="34">
        <v>1</v>
      </c>
      <c r="C9" s="22">
        <f>COUNTIFS(s_danger,$B9,x_inc,1)</f>
        <v>18</v>
      </c>
      <c r="D9" s="24">
        <f>IF(C9=0,0,AVERAGEIFS(s_sleep,s_danger,$B9,x_inc,1))</f>
        <v>13.083333333333336</v>
      </c>
      <c r="E9" s="24">
        <f>IF(C9&lt;2,0,SQRT(MAX(0,(SUMIFS(x_sleepsq,s_danger,$B9,x_inc,1)-C9*D9^2)/(C9-1))))</f>
        <v>4.8197205191123791</v>
      </c>
      <c r="F9" s="24">
        <f>IF(C9&lt;2,0,E9/SQRT(C9))</f>
        <v>1.136019020829437</v>
      </c>
      <c r="G9" s="24">
        <f>IF(C9&lt;2,0,TINV(alpha,C9-1)*F9)</f>
        <v>2.3967906268608976</v>
      </c>
      <c r="H9" s="24">
        <f>D9-G9</f>
        <v>10.686542706472437</v>
      </c>
      <c r="I9" s="24">
        <f>D9+G9</f>
        <v>15.480123960194234</v>
      </c>
      <c r="J9" s="23">
        <f>IF(grp_n=0,0,C9/grp_n)</f>
        <v>0.31034482758620691</v>
      </c>
      <c r="K9" s="35">
        <f>D9-grand_mean</f>
        <v>2.5505747126436873</v>
      </c>
    </row>
    <row r="10" spans="1:12" ht="13" x14ac:dyDescent="0.3">
      <c r="A10" s="15" t="s">
        <v>208</v>
      </c>
      <c r="B10" s="34">
        <v>2</v>
      </c>
      <c r="C10" s="22">
        <f>COUNTIFS(s_danger,$B10,x_inc,1)</f>
        <v>14</v>
      </c>
      <c r="D10" s="24">
        <f>IF(C10=0,0,AVERAGEIFS(s_sleep,s_danger,$B10,x_inc,1))</f>
        <v>11.75</v>
      </c>
      <c r="E10" s="24">
        <f>IF(C10&lt;2,0,SQRT(MAX(0,(SUMIFS(x_sleepsq,s_danger,$B10,x_inc,1)-C10*D10^2)/(C10-1))))</f>
        <v>2.8527314845735008</v>
      </c>
      <c r="F10" s="24">
        <f>IF(C10&lt;2,0,E10/SQRT(C10))</f>
        <v>0.76242455940978793</v>
      </c>
      <c r="G10" s="24">
        <f>IF(C10&lt;2,0,TINV(alpha,C10-1)*F10)</f>
        <v>1.6471181210663601</v>
      </c>
      <c r="H10" s="24">
        <f>D10-G10</f>
        <v>10.102881878933641</v>
      </c>
      <c r="I10" s="24">
        <f>D10+G10</f>
        <v>13.397118121066359</v>
      </c>
      <c r="J10" s="23">
        <f>IF(grp_n=0,0,C10/grp_n)</f>
        <v>0.2413793103448276</v>
      </c>
      <c r="K10" s="35">
        <f>D10-grand_mean</f>
        <v>1.2172413793103516</v>
      </c>
    </row>
    <row r="11" spans="1:12" ht="13" x14ac:dyDescent="0.3">
      <c r="A11" s="15" t="s">
        <v>209</v>
      </c>
      <c r="B11" s="34">
        <v>3</v>
      </c>
      <c r="C11" s="22">
        <f>COUNTIFS(s_danger,$B11,x_inc,1)</f>
        <v>10</v>
      </c>
      <c r="D11" s="24">
        <f>IF(C11=0,0,AVERAGEIFS(s_sleep,s_danger,$B11,x_inc,1))</f>
        <v>10.310000000000002</v>
      </c>
      <c r="E11" s="24">
        <f>IF(C11&lt;2,0,SQRT(MAX(0,(SUMIFS(x_sleepsq,s_danger,$B11,x_inc,1)-C11*D11^2)/(C11-1))))</f>
        <v>4.4169999874223294</v>
      </c>
      <c r="F11" s="24">
        <f>IF(C11&lt;2,0,E11/SQRT(C11))</f>
        <v>1.3967780385189643</v>
      </c>
      <c r="G11" s="24">
        <f>IF(C11&lt;2,0,TINV(alpha,C11-1)*F11)</f>
        <v>3.1597314446749025</v>
      </c>
      <c r="H11" s="24">
        <f>D11-G11</f>
        <v>7.1502685553251002</v>
      </c>
      <c r="I11" s="24">
        <f>D11+G11</f>
        <v>13.469731444674904</v>
      </c>
      <c r="J11" s="23">
        <f>IF(grp_n=0,0,C11/grp_n)</f>
        <v>0.17241379310344829</v>
      </c>
      <c r="K11" s="35">
        <f>D11-grand_mean</f>
        <v>-0.22275862068964614</v>
      </c>
    </row>
    <row r="12" spans="1:12" ht="13" x14ac:dyDescent="0.3">
      <c r="A12" s="15" t="s">
        <v>210</v>
      </c>
      <c r="B12" s="34">
        <v>4</v>
      </c>
      <c r="C12" s="22">
        <f>COUNTIFS(s_danger,$B12,x_inc,1)</f>
        <v>9</v>
      </c>
      <c r="D12" s="24">
        <f>IF(C12=0,0,AVERAGEIFS(s_sleep,s_danger,$B12,x_inc,1))</f>
        <v>8.8111111111111118</v>
      </c>
      <c r="E12" s="24">
        <f>IF(C12&lt;2,0,SQRT(MAX(0,(SUMIFS(x_sleepsq,s_danger,$B12,x_inc,1)-C12*D12^2)/(C12-1))))</f>
        <v>2.5673159351959622</v>
      </c>
      <c r="F12" s="24">
        <f>IF(C12&lt;2,0,E12/SQRT(C12))</f>
        <v>0.85577197839865404</v>
      </c>
      <c r="G12" s="24">
        <f>IF(C12&lt;2,0,TINV(alpha,C12-1)*F12)</f>
        <v>1.9734137209791474</v>
      </c>
      <c r="H12" s="24">
        <f>D12-G12</f>
        <v>6.8376973901319644</v>
      </c>
      <c r="I12" s="24">
        <f>D12+G12</f>
        <v>10.784524832090259</v>
      </c>
      <c r="J12" s="23">
        <f>IF(grp_n=0,0,C12/grp_n)</f>
        <v>0.15517241379310345</v>
      </c>
      <c r="K12" s="35">
        <f>D12-grand_mean</f>
        <v>-1.7216475095785366</v>
      </c>
    </row>
    <row r="13" spans="1:12" ht="13" x14ac:dyDescent="0.3">
      <c r="A13" s="15" t="s">
        <v>211</v>
      </c>
      <c r="B13" s="34">
        <v>5</v>
      </c>
      <c r="C13" s="22">
        <f>COUNTIFS(s_danger,$B13,x_inc,1)</f>
        <v>7</v>
      </c>
      <c r="D13" s="24">
        <f>IF(C13=0,0,AVERAGEIFS(s_sleep,s_danger,$B13,x_inc,1))</f>
        <v>4.0714285714285721</v>
      </c>
      <c r="E13" s="24">
        <f>IF(C13&lt;2,0,SQRT(MAX(0,(SUMIFS(x_sleepsq,s_danger,$B13,x_inc,1)-C13*D13^2)/(C13-1))))</f>
        <v>1.9746006226697126</v>
      </c>
      <c r="F13" s="24">
        <f>IF(C13&lt;2,0,E13/SQRT(C13))</f>
        <v>0.74632888375104978</v>
      </c>
      <c r="G13" s="24">
        <f>IF(C13&lt;2,0,TINV(alpha,C13-1)*F13)</f>
        <v>1.8262009905022401</v>
      </c>
      <c r="H13" s="24">
        <f>D13-G13</f>
        <v>2.2452275809263318</v>
      </c>
      <c r="I13" s="24">
        <f>D13+G13</f>
        <v>5.8976295619308123</v>
      </c>
      <c r="J13" s="23">
        <f>IF(grp_n=0,0,C13/grp_n)</f>
        <v>0.1206896551724138</v>
      </c>
      <c r="K13" s="35">
        <f>D13-grand_mean</f>
        <v>-6.4613300492610763</v>
      </c>
    </row>
    <row r="14" spans="1:12" ht="13" x14ac:dyDescent="0.3">
      <c r="A14" s="36" t="s">
        <v>212</v>
      </c>
      <c r="B14" s="37"/>
      <c r="C14" s="38">
        <f>SUM(C9:C13)</f>
        <v>58</v>
      </c>
      <c r="D14" s="39">
        <f>grand_mean</f>
        <v>10.532758620689648</v>
      </c>
      <c r="E14" s="37"/>
      <c r="F14" s="37"/>
      <c r="G14" s="37"/>
      <c r="H14" s="37"/>
      <c r="I14" s="37"/>
      <c r="J14" s="37"/>
      <c r="K14" s="37"/>
    </row>
    <row r="15" spans="1:12" x14ac:dyDescent="0.25">
      <c r="A15" s="18" t="s">
        <v>213</v>
      </c>
      <c r="C15" s="24">
        <f>SUMPRODUCT($C$9:$C$13,($D$9:$D$13-grand_mean)^2)</f>
        <v>457.25558401751516</v>
      </c>
    </row>
    <row r="16" spans="1:12" x14ac:dyDescent="0.25">
      <c r="A16" s="18" t="s">
        <v>214</v>
      </c>
      <c r="C16" s="24">
        <f>SUMPRODUCT($C$9:$C$13-1,$E$9:$E$13^2)</f>
        <v>752.41217460317375</v>
      </c>
    </row>
    <row r="17" spans="1:12" x14ac:dyDescent="0.25">
      <c r="A17" s="18" t="s">
        <v>215</v>
      </c>
      <c r="C17" s="26">
        <f>COUNTIF($C$9:$C$13,"&gt;0")-1</f>
        <v>4</v>
      </c>
      <c r="D17" s="26">
        <f>C14-COUNTIF($C$9:$C$13,"&gt;0")</f>
        <v>53</v>
      </c>
    </row>
    <row r="18" spans="1:12" x14ac:dyDescent="0.25">
      <c r="A18" s="18" t="s">
        <v>216</v>
      </c>
      <c r="C18" s="24">
        <f>IF(D17=0,0,(C15/C17)/(C16/D17))</f>
        <v>8.0522839644739044</v>
      </c>
    </row>
    <row r="19" spans="1:12" ht="13" x14ac:dyDescent="0.3">
      <c r="A19" s="18" t="s">
        <v>217</v>
      </c>
      <c r="C19" s="30">
        <f>FDIST(C18,C17,D17)</f>
        <v>3.7799986069993679E-5</v>
      </c>
      <c r="D19" s="40" t="str">
        <f>IF(C19&lt;0.001,"*** significant",IF(C19&lt;alpha,"* significant","not significant"))</f>
        <v>*** significant</v>
      </c>
    </row>
    <row r="20" spans="1:12" ht="13" x14ac:dyDescent="0.3">
      <c r="A20" s="18" t="s">
        <v>218</v>
      </c>
      <c r="C20" s="28">
        <f>IF((C15+C16)=0,0,C15/(C15+C16))</f>
        <v>0.378000968248419</v>
      </c>
      <c r="D20" s="40" t="str">
        <f>IF(C20&gt;=0.14,"large effect",IF(C20&gt;=0.06,"medium effect","small effect"))</f>
        <v>large effect</v>
      </c>
    </row>
    <row r="23" spans="1:12" ht="14" x14ac:dyDescent="0.3">
      <c r="A23" s="16" t="s">
        <v>219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26" x14ac:dyDescent="0.25">
      <c r="A24" s="17" t="s">
        <v>199</v>
      </c>
      <c r="B24" s="17" t="s">
        <v>200</v>
      </c>
      <c r="C24" s="17" t="s">
        <v>158</v>
      </c>
      <c r="D24" s="17" t="s">
        <v>201</v>
      </c>
      <c r="E24" s="17" t="s">
        <v>146</v>
      </c>
      <c r="F24" s="17" t="s">
        <v>202</v>
      </c>
      <c r="G24" s="17" t="s">
        <v>203</v>
      </c>
      <c r="H24" s="17" t="s">
        <v>204</v>
      </c>
      <c r="I24" s="17" t="s">
        <v>205</v>
      </c>
      <c r="J24" s="17" t="s">
        <v>159</v>
      </c>
      <c r="K24" s="17" t="s">
        <v>206</v>
      </c>
    </row>
    <row r="25" spans="1:12" ht="13" x14ac:dyDescent="0.3">
      <c r="A25" s="15" t="s">
        <v>207</v>
      </c>
      <c r="B25" s="34">
        <v>1</v>
      </c>
      <c r="C25" s="22">
        <f>COUNTIFS(s_pred,$B25,x_inc,1)</f>
        <v>14</v>
      </c>
      <c r="D25" s="24">
        <f>IF(C25=0,0,AVERAGEIFS(s_sleep,s_pred,$B25,x_inc,1))</f>
        <v>12.05</v>
      </c>
      <c r="E25" s="24">
        <f>IF(C25&lt;2,0,SQRT(MAX(0,(SUMIFS(x_sleepsq,s_pred,$B25,x_inc,1)-C25*D25^2)/(C25-1))))</f>
        <v>4.6022987567251468</v>
      </c>
      <c r="F25" s="24">
        <f>IF(C25&lt;2,0,E25/SQRT(C25))</f>
        <v>1.2300160813743695</v>
      </c>
      <c r="G25" s="24">
        <f>IF(C25&lt;2,0,TINV(alpha,C25-1)*F25)</f>
        <v>2.6572881891463758</v>
      </c>
      <c r="H25" s="24">
        <f>D25-G25</f>
        <v>9.3927118108536245</v>
      </c>
      <c r="I25" s="24">
        <f>D25+G25</f>
        <v>14.707288189146377</v>
      </c>
      <c r="J25" s="23">
        <f>IF(grp_n=0,0,C25/grp_n)</f>
        <v>0.2413793103448276</v>
      </c>
      <c r="K25" s="35">
        <f>D25-grand_mean</f>
        <v>1.5172413793103523</v>
      </c>
    </row>
    <row r="26" spans="1:12" ht="13" x14ac:dyDescent="0.3">
      <c r="A26" s="15" t="s">
        <v>208</v>
      </c>
      <c r="B26" s="34">
        <v>2</v>
      </c>
      <c r="C26" s="22">
        <f>COUNTIFS(s_pred,$B26,x_inc,1)</f>
        <v>15</v>
      </c>
      <c r="D26" s="24">
        <f>IF(C26=0,0,AVERAGEIFS(s_sleep,s_pred,$B26,x_inc,1))</f>
        <v>12.719999999999999</v>
      </c>
      <c r="E26" s="24">
        <f>IF(C26&lt;2,0,SQRT(MAX(0,(SUMIFS(x_sleepsq,s_pred,$B26,x_inc,1)-C26*D26^2)/(C26-1))))</f>
        <v>3.9319569827613545</v>
      </c>
      <c r="F26" s="24">
        <f>IF(C26&lt;2,0,E26/SQRT(C26))</f>
        <v>1.0152269274825794</v>
      </c>
      <c r="G26" s="24">
        <f>IF(C26&lt;2,0,TINV(alpha,C26-1)*F26)</f>
        <v>2.1774451992803305</v>
      </c>
      <c r="H26" s="24">
        <f>D26-G26</f>
        <v>10.542554800719667</v>
      </c>
      <c r="I26" s="24">
        <f>D26+G26</f>
        <v>14.89744519928033</v>
      </c>
      <c r="J26" s="23">
        <f>IF(grp_n=0,0,C26/grp_n)</f>
        <v>0.25862068965517243</v>
      </c>
      <c r="K26" s="35">
        <f>D26-grand_mean</f>
        <v>2.1872413793103505</v>
      </c>
    </row>
    <row r="27" spans="1:12" ht="13" x14ac:dyDescent="0.3">
      <c r="A27" s="15" t="s">
        <v>209</v>
      </c>
      <c r="B27" s="34">
        <v>3</v>
      </c>
      <c r="C27" s="22">
        <f>COUNTIFS(s_pred,$B27,x_inc,1)</f>
        <v>10</v>
      </c>
      <c r="D27" s="24">
        <f>IF(C27=0,0,AVERAGEIFS(s_sleep,s_pred,$B27,x_inc,1))</f>
        <v>9.120000000000001</v>
      </c>
      <c r="E27" s="24">
        <f>IF(C27&lt;2,0,SQRT(MAX(0,(SUMIFS(x_sleepsq,s_pred,$B27,x_inc,1)-C27*D27^2)/(C27-1))))</f>
        <v>4.5256798138818608</v>
      </c>
      <c r="F27" s="24">
        <f>IF(C27&lt;2,0,E27/SQRT(C27))</f>
        <v>1.4311456172513597</v>
      </c>
      <c r="G27" s="24">
        <f>IF(C27&lt;2,0,TINV(alpha,C27-1)*F27)</f>
        <v>3.2374763090724223</v>
      </c>
      <c r="H27" s="24">
        <f>D27-G27</f>
        <v>5.8825236909275791</v>
      </c>
      <c r="I27" s="24">
        <f>D27+G27</f>
        <v>12.357476309072423</v>
      </c>
      <c r="J27" s="23">
        <f>IF(grp_n=0,0,C27/grp_n)</f>
        <v>0.17241379310344829</v>
      </c>
      <c r="K27" s="35">
        <f>D27-grand_mean</f>
        <v>-1.4127586206896474</v>
      </c>
    </row>
    <row r="28" spans="1:12" ht="13" x14ac:dyDescent="0.3">
      <c r="A28" s="15" t="s">
        <v>210</v>
      </c>
      <c r="B28" s="34">
        <v>4</v>
      </c>
      <c r="C28" s="22">
        <f>COUNTIFS(s_pred,$B28,x_inc,1)</f>
        <v>7</v>
      </c>
      <c r="D28" s="24">
        <f>IF(C28=0,0,AVERAGEIFS(s_sleep,s_pred,$B28,x_inc,1))</f>
        <v>10.228571428571428</v>
      </c>
      <c r="E28" s="24">
        <f>IF(C28&lt;2,0,SQRT(MAX(0,(SUMIFS(x_sleepsq,s_pred,$B28,x_inc,1)-C28*D28^2)/(C28-1))))</f>
        <v>2.4376999307504996</v>
      </c>
      <c r="F28" s="24">
        <f>IF(C28&lt;2,0,E28/SQRT(C28))</f>
        <v>0.9213639696807423</v>
      </c>
      <c r="G28" s="24">
        <f>IF(C28&lt;2,0,TINV(alpha,C28-1)*F28)</f>
        <v>2.2544964166297827</v>
      </c>
      <c r="H28" s="24">
        <f>D28-G28</f>
        <v>7.974075011941645</v>
      </c>
      <c r="I28" s="24">
        <f>D28+G28</f>
        <v>12.48306784520121</v>
      </c>
      <c r="J28" s="23">
        <f>IF(grp_n=0,0,C28/grp_n)</f>
        <v>0.1206896551724138</v>
      </c>
      <c r="K28" s="35">
        <f>D28-grand_mean</f>
        <v>-0.30418719211822065</v>
      </c>
    </row>
    <row r="29" spans="1:12" ht="13" x14ac:dyDescent="0.3">
      <c r="A29" s="15" t="s">
        <v>211</v>
      </c>
      <c r="B29" s="34">
        <v>5</v>
      </c>
      <c r="C29" s="22">
        <f>COUNTIFS(s_pred,$B29,x_inc,1)</f>
        <v>12</v>
      </c>
      <c r="D29" s="24">
        <f>IF(C29=0,0,AVERAGEIFS(s_sleep,s_pred,$B29,x_inc,1))</f>
        <v>7.3833333333333329</v>
      </c>
      <c r="E29" s="24">
        <f>IF(C29&lt;2,0,SQRT(MAX(0,(SUMIFS(x_sleepsq,s_pred,$B29,x_inc,1)-C29*D29^2)/(C29-1))))</f>
        <v>4.8077273658395443</v>
      </c>
      <c r="F29" s="24">
        <f>IF(C29&lt;2,0,E29/SQRT(C29))</f>
        <v>1.3878713444288957</v>
      </c>
      <c r="G29" s="24">
        <f>IF(C29&lt;2,0,TINV(alpha,C29-1)*F29)</f>
        <v>3.0546842332044304</v>
      </c>
      <c r="H29" s="24">
        <f>D29-G29</f>
        <v>4.3286491001289029</v>
      </c>
      <c r="I29" s="24">
        <f>D29+G29</f>
        <v>10.438017566537763</v>
      </c>
      <c r="J29" s="23">
        <f>IF(grp_n=0,0,C29/grp_n)</f>
        <v>0.20689655172413793</v>
      </c>
      <c r="K29" s="35">
        <f>D29-grand_mean</f>
        <v>-3.1494252873563156</v>
      </c>
    </row>
    <row r="30" spans="1:12" ht="13" x14ac:dyDescent="0.3">
      <c r="A30" s="36" t="s">
        <v>212</v>
      </c>
      <c r="B30" s="37"/>
      <c r="C30" s="38">
        <f>SUM(C25:C29)</f>
        <v>58</v>
      </c>
      <c r="D30" s="39">
        <f>grand_mean</f>
        <v>10.532758620689648</v>
      </c>
      <c r="E30" s="37"/>
      <c r="F30" s="37"/>
      <c r="G30" s="37"/>
      <c r="H30" s="37"/>
      <c r="I30" s="37"/>
      <c r="J30" s="37"/>
      <c r="K30" s="37"/>
    </row>
    <row r="31" spans="1:12" x14ac:dyDescent="0.25">
      <c r="A31" s="18" t="s">
        <v>213</v>
      </c>
      <c r="C31" s="24">
        <f>SUMPRODUCT($C$25:$C$29,($D$25:$D$29-grand_mean)^2)</f>
        <v>243.62180623973723</v>
      </c>
    </row>
    <row r="32" spans="1:12" x14ac:dyDescent="0.25">
      <c r="A32" s="18" t="s">
        <v>214</v>
      </c>
      <c r="C32" s="24">
        <f>SUMPRODUCT($C$25:$C$29-1,$E$25:$E$29^2)</f>
        <v>966.04595238095328</v>
      </c>
    </row>
    <row r="33" spans="1:12" x14ac:dyDescent="0.25">
      <c r="A33" s="18" t="s">
        <v>215</v>
      </c>
      <c r="C33" s="26">
        <f>COUNTIF($C$25:$C$29,"&gt;0")-1</f>
        <v>4</v>
      </c>
      <c r="D33" s="26">
        <f>C30-COUNTIF($C$25:$C$29,"&gt;0")</f>
        <v>53</v>
      </c>
    </row>
    <row r="34" spans="1:12" x14ac:dyDescent="0.25">
      <c r="A34" s="18" t="s">
        <v>216</v>
      </c>
      <c r="C34" s="24">
        <f>IF(D33=0,0,(C31/C33)/(C32/D33))</f>
        <v>3.3414444982877836</v>
      </c>
    </row>
    <row r="35" spans="1:12" ht="13" x14ac:dyDescent="0.3">
      <c r="A35" s="18" t="s">
        <v>217</v>
      </c>
      <c r="C35" s="30">
        <f>FDIST(C34,C33,D33)</f>
        <v>1.6355813305719002E-2</v>
      </c>
      <c r="D35" s="40" t="str">
        <f>IF(C35&lt;0.001,"*** significant",IF(C35&lt;alpha,"* significant","not significant"))</f>
        <v>* significant</v>
      </c>
    </row>
    <row r="36" spans="1:12" ht="13" x14ac:dyDescent="0.3">
      <c r="A36" s="18" t="s">
        <v>218</v>
      </c>
      <c r="C36" s="28">
        <f>IF((C31+C32)=0,0,C31/(C31+C32))</f>
        <v>0.20139563487872414</v>
      </c>
      <c r="D36" s="40" t="str">
        <f>IF(C36&gt;=0.14,"large effect",IF(C36&gt;=0.06,"medium effect","small effect"))</f>
        <v>large effect</v>
      </c>
    </row>
    <row r="39" spans="1:12" ht="14" x14ac:dyDescent="0.3">
      <c r="A39" s="16" t="s">
        <v>220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26" x14ac:dyDescent="0.25">
      <c r="A40" s="17" t="s">
        <v>199</v>
      </c>
      <c r="B40" s="17" t="s">
        <v>200</v>
      </c>
      <c r="C40" s="17" t="s">
        <v>158</v>
      </c>
      <c r="D40" s="17" t="s">
        <v>201</v>
      </c>
      <c r="E40" s="17" t="s">
        <v>146</v>
      </c>
      <c r="F40" s="17" t="s">
        <v>202</v>
      </c>
      <c r="G40" s="17" t="s">
        <v>203</v>
      </c>
      <c r="H40" s="17" t="s">
        <v>204</v>
      </c>
      <c r="I40" s="17" t="s">
        <v>205</v>
      </c>
      <c r="J40" s="17" t="s">
        <v>159</v>
      </c>
      <c r="K40" s="17" t="s">
        <v>206</v>
      </c>
    </row>
    <row r="41" spans="1:12" ht="13" x14ac:dyDescent="0.3">
      <c r="A41" s="15" t="s">
        <v>207</v>
      </c>
      <c r="B41" s="34">
        <v>1</v>
      </c>
      <c r="C41" s="22">
        <f>COUNTIFS(s_expo,$B41,x_inc,1)</f>
        <v>26</v>
      </c>
      <c r="D41" s="24">
        <f>IF(C41=0,0,AVERAGEIFS(s_sleep,s_expo,$B41,x_inc,1))</f>
        <v>12.946153846153846</v>
      </c>
      <c r="E41" s="24">
        <f>IF(C41&lt;2,0,SQRT(MAX(0,(SUMIFS(x_sleepsq,s_expo,$B41,x_inc,1)-C41*D41^2)/(C41-1))))</f>
        <v>3.9941187532902167</v>
      </c>
      <c r="F41" s="24">
        <f>IF(C41&lt;2,0,E41/SQRT(C41))</f>
        <v>0.78331113317821932</v>
      </c>
      <c r="G41" s="24">
        <f>IF(C41&lt;2,0,TINV(alpha,C41-1)*F41)</f>
        <v>1.6132594775814155</v>
      </c>
      <c r="H41" s="24">
        <f>D41-G41</f>
        <v>11.332894368572431</v>
      </c>
      <c r="I41" s="24">
        <f>D41+G41</f>
        <v>14.559413323735262</v>
      </c>
      <c r="J41" s="23">
        <f>IF(grp_n=0,0,C41/grp_n)</f>
        <v>0.44827586206896552</v>
      </c>
      <c r="K41" s="35">
        <f>D41-grand_mean</f>
        <v>2.4133952254641979</v>
      </c>
    </row>
    <row r="42" spans="1:12" ht="13" x14ac:dyDescent="0.3">
      <c r="A42" s="15" t="s">
        <v>208</v>
      </c>
      <c r="B42" s="34">
        <v>2</v>
      </c>
      <c r="C42" s="22">
        <f>COUNTIFS(s_expo,$B42,x_inc,1)</f>
        <v>13</v>
      </c>
      <c r="D42" s="24">
        <f>IF(C42=0,0,AVERAGEIFS(s_sleep,s_expo,$B42,x_inc,1))</f>
        <v>11.115384615384615</v>
      </c>
      <c r="E42" s="24">
        <f>IF(C42&lt;2,0,SQRT(MAX(0,(SUMIFS(x_sleepsq,s_expo,$B42,x_inc,1)-C42*D42^2)/(C42-1))))</f>
        <v>3.9570287998796467</v>
      </c>
      <c r="F42" s="24">
        <f>IF(C42&lt;2,0,E42/SQRT(C42))</f>
        <v>1.0974823258810615</v>
      </c>
      <c r="G42" s="24">
        <f>IF(C42&lt;2,0,TINV(alpha,C42-1)*F42)</f>
        <v>2.3912085719626872</v>
      </c>
      <c r="H42" s="24">
        <f>D42-G42</f>
        <v>8.7241760434219273</v>
      </c>
      <c r="I42" s="24">
        <f>D42+G42</f>
        <v>13.506593187347303</v>
      </c>
      <c r="J42" s="23">
        <f>IF(grp_n=0,0,C42/grp_n)</f>
        <v>0.22413793103448276</v>
      </c>
      <c r="K42" s="35">
        <f>D42-grand_mean</f>
        <v>0.58262599469496656</v>
      </c>
    </row>
    <row r="43" spans="1:12" ht="13" x14ac:dyDescent="0.3">
      <c r="A43" s="15" t="s">
        <v>209</v>
      </c>
      <c r="B43" s="34">
        <v>3</v>
      </c>
      <c r="C43" s="22">
        <f>COUNTIFS(s_expo,$B43,x_inc,1)</f>
        <v>4</v>
      </c>
      <c r="D43" s="24">
        <f>IF(C43=0,0,AVERAGEIFS(s_sleep,s_expo,$B43,x_inc,1))</f>
        <v>8.5749999999999993</v>
      </c>
      <c r="E43" s="24">
        <f>IF(C43&lt;2,0,SQRT(MAX(0,(SUMIFS(x_sleepsq,s_expo,$B43,x_inc,1)-C43*D43^2)/(C43-1))))</f>
        <v>1.8080837001274821</v>
      </c>
      <c r="F43" s="24">
        <f>IF(C43&lt;2,0,E43/SQRT(C43))</f>
        <v>0.90404185006374105</v>
      </c>
      <c r="G43" s="24">
        <f>IF(C43&lt;2,0,TINV(alpha,C43-1)*F43)</f>
        <v>2.8770646455572018</v>
      </c>
      <c r="H43" s="24">
        <f>D43-G43</f>
        <v>5.697935354442798</v>
      </c>
      <c r="I43" s="24">
        <f>D43+G43</f>
        <v>11.452064645557201</v>
      </c>
      <c r="J43" s="23">
        <f>IF(grp_n=0,0,C43/grp_n)</f>
        <v>6.8965517241379309E-2</v>
      </c>
      <c r="K43" s="35">
        <f>D43-grand_mean</f>
        <v>-1.9577586206896491</v>
      </c>
    </row>
    <row r="44" spans="1:12" ht="13" x14ac:dyDescent="0.3">
      <c r="A44" s="15" t="s">
        <v>210</v>
      </c>
      <c r="B44" s="34">
        <v>4</v>
      </c>
      <c r="C44" s="22">
        <f>COUNTIFS(s_expo,$B44,x_inc,1)</f>
        <v>5</v>
      </c>
      <c r="D44" s="24">
        <f>IF(C44=0,0,AVERAGEIFS(s_sleep,s_expo,$B44,x_inc,1))</f>
        <v>10.719999999999999</v>
      </c>
      <c r="E44" s="24">
        <f>IF(C44&lt;2,0,SQRT(MAX(0,(SUMIFS(x_sleepsq,s_expo,$B44,x_inc,1)-C44*D44^2)/(C44-1))))</f>
        <v>1.6634301909007341</v>
      </c>
      <c r="F44" s="24">
        <f>IF(C44&lt;2,0,E44/SQRT(C44))</f>
        <v>0.74390859653589869</v>
      </c>
      <c r="G44" s="24">
        <f>IF(C44&lt;2,0,TINV(alpha,C44-1)*F44)</f>
        <v>2.0654213815666562</v>
      </c>
      <c r="H44" s="24">
        <f>D44-G44</f>
        <v>8.6545786184333426</v>
      </c>
      <c r="I44" s="24">
        <f>D44+G44</f>
        <v>12.785421381566655</v>
      </c>
      <c r="J44" s="23">
        <f>IF(grp_n=0,0,C44/grp_n)</f>
        <v>8.6206896551724144E-2</v>
      </c>
      <c r="K44" s="35">
        <f>D44-grand_mean</f>
        <v>0.18724137931035045</v>
      </c>
    </row>
    <row r="45" spans="1:12" ht="13" x14ac:dyDescent="0.3">
      <c r="A45" s="15" t="s">
        <v>211</v>
      </c>
      <c r="B45" s="34">
        <v>5</v>
      </c>
      <c r="C45" s="22">
        <f>COUNTIFS(s_expo,$B45,x_inc,1)</f>
        <v>10</v>
      </c>
      <c r="D45" s="24">
        <f>IF(C45=0,0,AVERAGEIFS(s_sleep,s_expo,$B45,x_inc,1))</f>
        <v>4.1899999999999995</v>
      </c>
      <c r="E45" s="24">
        <f>IF(C45&lt;2,0,SQRT(MAX(0,(SUMIFS(x_sleepsq,s_expo,$B45,x_inc,1)-C45*D45^2)/(C45-1))))</f>
        <v>1.7766697936182612</v>
      </c>
      <c r="F45" s="24">
        <f>IF(C45&lt;2,0,E45/SQRT(C45))</f>
        <v>0.56183231978549919</v>
      </c>
      <c r="G45" s="24">
        <f>IF(C45&lt;2,0,TINV(alpha,C45-1)*F45)</f>
        <v>1.2709530064942989</v>
      </c>
      <c r="H45" s="24">
        <f>D45-G45</f>
        <v>2.9190469935057006</v>
      </c>
      <c r="I45" s="24">
        <f>D45+G45</f>
        <v>5.4609530064942984</v>
      </c>
      <c r="J45" s="23">
        <f>IF(grp_n=0,0,C45/grp_n)</f>
        <v>0.17241379310344829</v>
      </c>
      <c r="K45" s="35">
        <f>D45-grand_mean</f>
        <v>-6.3427586206896489</v>
      </c>
    </row>
    <row r="46" spans="1:12" ht="13" x14ac:dyDescent="0.3">
      <c r="A46" s="36" t="s">
        <v>212</v>
      </c>
      <c r="B46" s="37"/>
      <c r="C46" s="38">
        <f>SUM(C41:C45)</f>
        <v>58</v>
      </c>
      <c r="D46" s="39">
        <f>grand_mean</f>
        <v>10.532758620689648</v>
      </c>
      <c r="E46" s="37"/>
      <c r="F46" s="37"/>
      <c r="G46" s="37"/>
      <c r="H46" s="37"/>
      <c r="I46" s="37"/>
      <c r="J46" s="37"/>
      <c r="K46" s="37"/>
    </row>
    <row r="47" spans="1:12" x14ac:dyDescent="0.25">
      <c r="A47" s="18" t="s">
        <v>213</v>
      </c>
      <c r="C47" s="24">
        <f>SUMPRODUCT($C$41:$C$45,($D$41:$D$45-grand_mean)^2)</f>
        <v>573.66172015915129</v>
      </c>
    </row>
    <row r="48" spans="1:12" x14ac:dyDescent="0.25">
      <c r="A48" s="18" t="s">
        <v>214</v>
      </c>
      <c r="C48" s="24">
        <f>SUMPRODUCT($C$41:$C$45-1,$E$41:$E$45^2)</f>
        <v>636.00603846153854</v>
      </c>
    </row>
    <row r="49" spans="1:12" x14ac:dyDescent="0.25">
      <c r="A49" s="18" t="s">
        <v>215</v>
      </c>
      <c r="C49" s="26">
        <f>COUNTIF($C$41:$C$45,"&gt;0")-1</f>
        <v>4</v>
      </c>
      <c r="D49" s="26">
        <f>C46-COUNTIF($C$41:$C$45,"&gt;0")</f>
        <v>53</v>
      </c>
    </row>
    <row r="50" spans="1:12" x14ac:dyDescent="0.25">
      <c r="A50" s="18" t="s">
        <v>216</v>
      </c>
      <c r="C50" s="24">
        <f>IF(D49=0,0,(C47/C49)/(C48/D49))</f>
        <v>11.951172367003263</v>
      </c>
    </row>
    <row r="51" spans="1:12" ht="13" x14ac:dyDescent="0.3">
      <c r="A51" s="18" t="s">
        <v>217</v>
      </c>
      <c r="C51" s="30">
        <f>FDIST(C50,C49,D49)</f>
        <v>5.4145028944719868E-7</v>
      </c>
      <c r="D51" s="40" t="str">
        <f>IF(C51&lt;0.001,"*** significant",IF(C51&lt;alpha,"* significant","not significant"))</f>
        <v>*** significant</v>
      </c>
    </row>
    <row r="52" spans="1:12" ht="13" x14ac:dyDescent="0.3">
      <c r="A52" s="18" t="s">
        <v>218</v>
      </c>
      <c r="C52" s="28">
        <f>IF((C47+C48)=0,0,C47/(C47+C48))</f>
        <v>0.47423080930359152</v>
      </c>
      <c r="D52" s="40" t="str">
        <f>IF(C52&gt;=0.14,"large effect",IF(C52&gt;=0.06,"medium effect","small effect"))</f>
        <v>large effect</v>
      </c>
    </row>
    <row r="55" spans="1:12" ht="14" x14ac:dyDescent="0.3">
      <c r="A55" s="16" t="s">
        <v>221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ht="26" x14ac:dyDescent="0.25">
      <c r="A56" s="17" t="s">
        <v>199</v>
      </c>
      <c r="B56" s="17" t="s">
        <v>200</v>
      </c>
      <c r="C56" s="17" t="s">
        <v>158</v>
      </c>
      <c r="D56" s="17" t="s">
        <v>201</v>
      </c>
      <c r="E56" s="17" t="s">
        <v>146</v>
      </c>
      <c r="F56" s="17" t="s">
        <v>202</v>
      </c>
      <c r="G56" s="17" t="s">
        <v>203</v>
      </c>
      <c r="H56" s="17" t="s">
        <v>204</v>
      </c>
      <c r="I56" s="17" t="s">
        <v>205</v>
      </c>
      <c r="J56" s="17" t="s">
        <v>159</v>
      </c>
      <c r="K56" s="17" t="s">
        <v>206</v>
      </c>
    </row>
    <row r="57" spans="1:12" ht="13" x14ac:dyDescent="0.3">
      <c r="A57" s="25" t="str">
        <f>Settings!$C$23</f>
        <v>Tiny (&lt;1 kg)</v>
      </c>
      <c r="B57" s="34" t="str">
        <f>A57</f>
        <v>Tiny (&lt;1 kg)</v>
      </c>
      <c r="C57" s="22">
        <f>COUNTIFS(g_size,$B57,x_inc,1)</f>
        <v>20</v>
      </c>
      <c r="D57" s="24">
        <f>IF(C57=0,0,AVERAGEIFS(s_sleep,g_size,$B57,x_inc,1))</f>
        <v>12.940000000000001</v>
      </c>
      <c r="E57" s="24">
        <f>IF(C57&lt;2,0,SQRT(MAX(0,(SUMIFS(x_sleepsq,g_size,$B57,x_inc,1)-C57*D57^2)/(C57-1))))</f>
        <v>3.5528194882078377</v>
      </c>
      <c r="F57" s="24">
        <f>IF(C57&lt;2,0,E57/SQRT(C57))</f>
        <v>0.79443458874187367</v>
      </c>
      <c r="G57" s="24">
        <f>IF(C57&lt;2,0,TINV(alpha,C57-1)*F57)</f>
        <v>1.6627707038907145</v>
      </c>
      <c r="H57" s="24">
        <f>D57-G57</f>
        <v>11.277229296109287</v>
      </c>
      <c r="I57" s="24">
        <f>D57+G57</f>
        <v>14.602770703890716</v>
      </c>
      <c r="J57" s="23">
        <f>IF(grp_n=0,0,C57/grp_n)</f>
        <v>0.34482758620689657</v>
      </c>
      <c r="K57" s="35">
        <f>D57-grand_mean</f>
        <v>2.4072413793103529</v>
      </c>
    </row>
    <row r="58" spans="1:12" ht="13" x14ac:dyDescent="0.3">
      <c r="A58" s="25" t="str">
        <f>Settings!$C$24</f>
        <v>Small (1-10 kg)</v>
      </c>
      <c r="B58" s="34" t="str">
        <f>A58</f>
        <v>Small (1-10 kg)</v>
      </c>
      <c r="C58" s="22">
        <f>COUNTIFS(g_size,$B58,x_inc,1)</f>
        <v>19</v>
      </c>
      <c r="D58" s="24">
        <f>IF(C58=0,0,AVERAGEIFS(s_sleep,g_size,$B58,x_inc,1))</f>
        <v>11.142105263157896</v>
      </c>
      <c r="E58" s="24">
        <f>IF(C58&lt;2,0,SQRT(MAX(0,(SUMIFS(x_sleepsq,g_size,$B58,x_inc,1)-C58*D58^2)/(C58-1))))</f>
        <v>4.2429439189571143</v>
      </c>
      <c r="F58" s="24">
        <f>IF(C58&lt;2,0,E58/SQRT(C58))</f>
        <v>0.97339809293918367</v>
      </c>
      <c r="G58" s="24">
        <f>IF(C58&lt;2,0,TINV(alpha,C58-1)*F58)</f>
        <v>2.0450335073845252</v>
      </c>
      <c r="H58" s="24">
        <f>D58-G58</f>
        <v>9.0970717557733707</v>
      </c>
      <c r="I58" s="24">
        <f>D58+G58</f>
        <v>13.187138770542422</v>
      </c>
      <c r="J58" s="23">
        <f>IF(grp_n=0,0,C58/grp_n)</f>
        <v>0.32758620689655171</v>
      </c>
      <c r="K58" s="35">
        <f>D58-grand_mean</f>
        <v>0.60934664246824788</v>
      </c>
    </row>
    <row r="59" spans="1:12" ht="13" x14ac:dyDescent="0.3">
      <c r="A59" s="25" t="str">
        <f>Settings!$C$25</f>
        <v>Medium (10-100 kg)</v>
      </c>
      <c r="B59" s="34" t="str">
        <f>A59</f>
        <v>Medium (10-100 kg)</v>
      </c>
      <c r="C59" s="22">
        <f>COUNTIFS(g_size,$B59,x_inc,1)</f>
        <v>10</v>
      </c>
      <c r="D59" s="24">
        <f>IF(C59=0,0,AVERAGEIFS(s_sleep,g_size,$B59,x_inc,1))</f>
        <v>8.59</v>
      </c>
      <c r="E59" s="24">
        <f>IF(C59&lt;2,0,SQRT(MAX(0,(SUMIFS(x_sleepsq,g_size,$B59,x_inc,1)-C59*D59^2)/(C59-1))))</f>
        <v>4.7813178099766613</v>
      </c>
      <c r="F59" s="24">
        <f>IF(C59&lt;2,0,E59/SQRT(C59))</f>
        <v>1.5119854496654395</v>
      </c>
      <c r="G59" s="24">
        <f>IF(C59&lt;2,0,TINV(alpha,C59-1)*F59)</f>
        <v>3.4203487150073393</v>
      </c>
      <c r="H59" s="24">
        <f>D59-G59</f>
        <v>5.1696512849926606</v>
      </c>
      <c r="I59" s="24">
        <f>D59+G59</f>
        <v>12.010348715007339</v>
      </c>
      <c r="J59" s="23">
        <f>IF(grp_n=0,0,C59/grp_n)</f>
        <v>0.17241379310344829</v>
      </c>
      <c r="K59" s="35">
        <f>D59-grand_mean</f>
        <v>-1.9427586206896486</v>
      </c>
    </row>
    <row r="60" spans="1:12" ht="13" x14ac:dyDescent="0.3">
      <c r="A60" s="25" t="str">
        <f>Settings!$C$26</f>
        <v>Large (100+ kg)</v>
      </c>
      <c r="B60" s="34" t="str">
        <f>A60</f>
        <v>Large (100+ kg)</v>
      </c>
      <c r="C60" s="22">
        <f>COUNTIFS(g_size,$B60,x_inc,1)</f>
        <v>9</v>
      </c>
      <c r="D60" s="24">
        <f>IF(C60=0,0,AVERAGEIFS(s_sleep,g_size,$B60,x_inc,1))</f>
        <v>6.0555555555555545</v>
      </c>
      <c r="E60" s="24">
        <f>IF(C60&lt;2,0,SQRT(MAX(0,(SUMIFS(x_sleepsq,g_size,$B60,x_inc,1)-C60*D60^2)/(C60-1))))</f>
        <v>3.5167851480830894</v>
      </c>
      <c r="F60" s="24">
        <f>IF(C60&lt;2,0,E60/SQRT(C60))</f>
        <v>1.1722617160276965</v>
      </c>
      <c r="G60" s="24">
        <f>IF(C60&lt;2,0,TINV(alpha,C60-1)*F60)</f>
        <v>2.7032403647014012</v>
      </c>
      <c r="H60" s="24">
        <f>D60-G60</f>
        <v>3.3523151908541533</v>
      </c>
      <c r="I60" s="24">
        <f>D60+G60</f>
        <v>8.7587959202569561</v>
      </c>
      <c r="J60" s="23">
        <f>IF(grp_n=0,0,C60/grp_n)</f>
        <v>0.15517241379310345</v>
      </c>
      <c r="K60" s="35">
        <f>D60-grand_mean</f>
        <v>-4.4772030651340939</v>
      </c>
    </row>
    <row r="61" spans="1:12" ht="13" x14ac:dyDescent="0.3">
      <c r="A61" s="36" t="s">
        <v>212</v>
      </c>
      <c r="B61" s="37"/>
      <c r="C61" s="38">
        <f>SUM(C57:C60)</f>
        <v>58</v>
      </c>
      <c r="D61" s="39">
        <f>grand_mean</f>
        <v>10.532758620689648</v>
      </c>
      <c r="E61" s="37"/>
      <c r="F61" s="37"/>
      <c r="G61" s="37"/>
      <c r="H61" s="37"/>
      <c r="I61" s="37"/>
      <c r="J61" s="37"/>
      <c r="K61" s="37"/>
    </row>
    <row r="62" spans="1:12" x14ac:dyDescent="0.25">
      <c r="A62" s="18" t="s">
        <v>213</v>
      </c>
      <c r="C62" s="24">
        <f>SUMPRODUCT($C$57:$C$60,($D$57:$D$60-grand_mean)^2)</f>
        <v>341.102220608994</v>
      </c>
    </row>
    <row r="63" spans="1:12" x14ac:dyDescent="0.25">
      <c r="A63" s="18" t="s">
        <v>214</v>
      </c>
      <c r="C63" s="24">
        <f>SUMPRODUCT($C$57:$C$60-1,$E$57:$E$60^2)</f>
        <v>868.56553801169389</v>
      </c>
    </row>
    <row r="64" spans="1:12" x14ac:dyDescent="0.25">
      <c r="A64" s="18" t="s">
        <v>215</v>
      </c>
      <c r="C64" s="26">
        <f>COUNTIF($C$57:$C$60,"&gt;0")-1</f>
        <v>3</v>
      </c>
      <c r="D64" s="26">
        <f>C61-COUNTIF($C$57:$C$60,"&gt;0")</f>
        <v>54</v>
      </c>
    </row>
    <row r="65" spans="1:13" x14ac:dyDescent="0.25">
      <c r="A65" s="18" t="s">
        <v>216</v>
      </c>
      <c r="C65" s="24">
        <f>IF(D64=0,0,(C62/C64)/(C63/D64))</f>
        <v>7.0689426442328287</v>
      </c>
    </row>
    <row r="66" spans="1:13" ht="13" x14ac:dyDescent="0.3">
      <c r="A66" s="18" t="s">
        <v>217</v>
      </c>
      <c r="C66" s="30">
        <f>FDIST(C65,C64,D64)</f>
        <v>4.2999173104902813E-4</v>
      </c>
      <c r="D66" s="40" t="str">
        <f>IF(C66&lt;0.001,"*** significant",IF(C66&lt;alpha,"* significant","not significant"))</f>
        <v>*** significant</v>
      </c>
    </row>
    <row r="67" spans="1:13" ht="13" x14ac:dyDescent="0.3">
      <c r="A67" s="18" t="s">
        <v>218</v>
      </c>
      <c r="C67" s="28">
        <f>IF((C62+C63)=0,0,C62/(C62+C63))</f>
        <v>0.28198008765475618</v>
      </c>
      <c r="D67" s="40" t="str">
        <f>IF(C67&gt;=0.14,"large effect",IF(C67&gt;=0.06,"medium effect","small effect"))</f>
        <v>large effect</v>
      </c>
    </row>
    <row r="70" spans="1:13" ht="14" x14ac:dyDescent="0.3">
      <c r="A70" s="16" t="s">
        <v>222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</row>
    <row r="71" spans="1:13" ht="26" x14ac:dyDescent="0.25">
      <c r="A71" s="17" t="s">
        <v>223</v>
      </c>
      <c r="B71" s="17" t="s">
        <v>224</v>
      </c>
      <c r="C71" s="17" t="str">
        <f>Settings!$C$23</f>
        <v>Tiny (&lt;1 kg)</v>
      </c>
      <c r="D71" s="17" t="str">
        <f>Settings!$C$24</f>
        <v>Small (1-10 kg)</v>
      </c>
      <c r="E71" s="17" t="str">
        <f>Settings!$C$25</f>
        <v>Medium (10-100 kg)</v>
      </c>
      <c r="F71" s="17" t="str">
        <f>Settings!$C$26</f>
        <v>Large (100+ kg)</v>
      </c>
      <c r="H71" s="17" t="s">
        <v>158</v>
      </c>
      <c r="I71" s="17" t="str">
        <f>Settings!$C$23</f>
        <v>Tiny (&lt;1 kg)</v>
      </c>
      <c r="J71" s="17" t="str">
        <f>Settings!$C$24</f>
        <v>Small (1-10 kg)</v>
      </c>
      <c r="K71" s="17" t="str">
        <f>Settings!$C$25</f>
        <v>Medium (10-100 kg)</v>
      </c>
      <c r="L71" s="17" t="str">
        <f>Settings!$C$26</f>
        <v>Large (100+ kg)</v>
      </c>
    </row>
    <row r="72" spans="1:13" x14ac:dyDescent="0.25">
      <c r="A72" s="34" t="s">
        <v>225</v>
      </c>
      <c r="C72" s="34" t="str">
        <f>C71</f>
        <v>Tiny (&lt;1 kg)</v>
      </c>
      <c r="D72" s="34" t="str">
        <f>D71</f>
        <v>Small (1-10 kg)</v>
      </c>
      <c r="E72" s="34" t="str">
        <f>E71</f>
        <v>Medium (10-100 kg)</v>
      </c>
      <c r="F72" s="34" t="str">
        <f>F71</f>
        <v>Large (100+ kg)</v>
      </c>
    </row>
    <row r="73" spans="1:13" ht="13" x14ac:dyDescent="0.3">
      <c r="A73" s="25" t="str">
        <f>Settings!$C$29</f>
        <v>Low (1-2)</v>
      </c>
      <c r="B73" s="34" t="str">
        <f>A73</f>
        <v>Low (1-2)</v>
      </c>
      <c r="C73" s="41">
        <f t="shared" ref="C73:F75" si="0">IF(I73=0,"",AVERAGEIFS(s_sleep,g_danger,$B73,g_size,C$72,x_inc,1))</f>
        <v>12.900000000000002</v>
      </c>
      <c r="D73" s="41">
        <f t="shared" si="0"/>
        <v>12.875</v>
      </c>
      <c r="E73" s="41">
        <f t="shared" si="0"/>
        <v>11</v>
      </c>
      <c r="F73" s="41">
        <f t="shared" si="0"/>
        <v>11.4</v>
      </c>
      <c r="H73" s="15" t="str">
        <f>A73</f>
        <v>Low (1-2)</v>
      </c>
      <c r="I73" s="22">
        <f t="shared" ref="I73:L75" si="1">COUNTIFS(g_danger,$B73,g_size,C$72,x_inc,1)</f>
        <v>13</v>
      </c>
      <c r="J73" s="22">
        <f t="shared" si="1"/>
        <v>12</v>
      </c>
      <c r="K73" s="22">
        <f t="shared" si="1"/>
        <v>5</v>
      </c>
      <c r="L73" s="22">
        <f t="shared" si="1"/>
        <v>2</v>
      </c>
    </row>
    <row r="74" spans="1:13" ht="13" x14ac:dyDescent="0.3">
      <c r="A74" s="25" t="str">
        <f>Settings!$C$30</f>
        <v>Moderate (3)</v>
      </c>
      <c r="B74" s="34" t="str">
        <f>A74</f>
        <v>Moderate (3)</v>
      </c>
      <c r="C74" s="41">
        <f t="shared" si="0"/>
        <v>13.9</v>
      </c>
      <c r="D74" s="41">
        <f t="shared" si="0"/>
        <v>7.5749999999999993</v>
      </c>
      <c r="E74" s="41" t="str">
        <f t="shared" si="0"/>
        <v/>
      </c>
      <c r="F74" s="41">
        <f t="shared" si="0"/>
        <v>3.3</v>
      </c>
      <c r="H74" s="15" t="str">
        <f>A74</f>
        <v>Moderate (3)</v>
      </c>
      <c r="I74" s="22">
        <f t="shared" si="1"/>
        <v>5</v>
      </c>
      <c r="J74" s="22">
        <f t="shared" si="1"/>
        <v>4</v>
      </c>
      <c r="K74" s="22">
        <f t="shared" si="1"/>
        <v>0</v>
      </c>
      <c r="L74" s="22">
        <f t="shared" si="1"/>
        <v>1</v>
      </c>
    </row>
    <row r="75" spans="1:13" ht="13" x14ac:dyDescent="0.3">
      <c r="A75" s="25" t="str">
        <f>Settings!$C$31</f>
        <v>High (4-5)</v>
      </c>
      <c r="B75" s="34" t="str">
        <f>A75</f>
        <v>High (4-5)</v>
      </c>
      <c r="C75" s="41">
        <f t="shared" si="0"/>
        <v>10.8</v>
      </c>
      <c r="D75" s="41">
        <f t="shared" si="0"/>
        <v>8.9666666666666668</v>
      </c>
      <c r="E75" s="41">
        <f t="shared" si="0"/>
        <v>6.1800000000000006</v>
      </c>
      <c r="F75" s="41">
        <f t="shared" si="0"/>
        <v>4.7333333333333334</v>
      </c>
      <c r="H75" s="15" t="str">
        <f>A75</f>
        <v>High (4-5)</v>
      </c>
      <c r="I75" s="22">
        <f t="shared" si="1"/>
        <v>2</v>
      </c>
      <c r="J75" s="22">
        <f t="shared" si="1"/>
        <v>3</v>
      </c>
      <c r="K75" s="22">
        <f t="shared" si="1"/>
        <v>5</v>
      </c>
      <c r="L75" s="22">
        <f t="shared" si="1"/>
        <v>6</v>
      </c>
    </row>
    <row r="77" spans="1:13" ht="13" x14ac:dyDescent="0.3">
      <c r="A77" s="13" t="s">
        <v>226</v>
      </c>
    </row>
  </sheetData>
  <conditionalFormatting sqref="C73:F7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D13">
    <cfRule type="dataBar" priority="2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{EB1DB889-3592-4BDA-BC70-2A1C352C47BB}</x14:id>
        </ext>
      </extLst>
    </cfRule>
  </conditionalFormatting>
  <conditionalFormatting sqref="D25:D29">
    <cfRule type="dataBar" priority="3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{52BF8F17-E55E-4D80-B8F8-A37000958060}</x14:id>
        </ext>
      </extLst>
    </cfRule>
  </conditionalFormatting>
  <conditionalFormatting sqref="D41:D45">
    <cfRule type="dataBar" priority="4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{6FDDB77E-4ECB-4F6D-BFCC-00FC97B17460}</x14:id>
        </ext>
      </extLst>
    </cfRule>
  </conditionalFormatting>
  <conditionalFormatting sqref="D57:D60">
    <cfRule type="dataBar" priority="5">
      <dataBar>
        <cfvo type="num" val="0"/>
        <cfvo type="max"/>
        <color rgb="FF9DC3E6"/>
      </dataBar>
      <extLst>
        <ext xmlns:x14="http://schemas.microsoft.com/office/spreadsheetml/2009/9/main" uri="{B025F937-C7B1-47D3-B67F-A62EFF666E3E}">
          <x14:id>{E87ED614-5E17-42B0-88EF-418D90C5A54E}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1DB889-3592-4BDA-BC70-2A1C352C47BB}">
            <x14:dataBar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D9:D13</xm:sqref>
        </x14:conditionalFormatting>
        <x14:conditionalFormatting xmlns:xm="http://schemas.microsoft.com/office/excel/2006/main">
          <x14:cfRule type="dataBar" id="{52BF8F17-E55E-4D80-B8F8-A37000958060}">
            <x14:dataBar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D25:D29</xm:sqref>
        </x14:conditionalFormatting>
        <x14:conditionalFormatting xmlns:xm="http://schemas.microsoft.com/office/excel/2006/main">
          <x14:cfRule type="dataBar" id="{6FDDB77E-4ECB-4F6D-BFCC-00FC97B17460}">
            <x14:dataBar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D41:D45</xm:sqref>
        </x14:conditionalFormatting>
        <x14:conditionalFormatting xmlns:xm="http://schemas.microsoft.com/office/excel/2006/main">
          <x14:cfRule type="dataBar" id="{E87ED614-5E17-42B0-88EF-418D90C5A54E}">
            <x14:dataBar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D57:D60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N34"/>
  <sheetViews>
    <sheetView topLeftCell="E34" zoomScaleNormal="100" workbookViewId="0">
      <selection activeCell="A2" sqref="A2"/>
    </sheetView>
  </sheetViews>
  <sheetFormatPr defaultColWidth="8.6328125" defaultRowHeight="12.5" x14ac:dyDescent="0.25"/>
  <cols>
    <col min="1" max="1" width="34.7265625" customWidth="1"/>
    <col min="2" max="2" width="30.7265625" customWidth="1"/>
    <col min="3" max="15" width="13.7265625" customWidth="1"/>
  </cols>
  <sheetData>
    <row r="1" spans="1:14" ht="20" x14ac:dyDescent="0.4">
      <c r="A1" s="14" t="s">
        <v>227</v>
      </c>
    </row>
    <row r="2" spans="1:14" ht="13" x14ac:dyDescent="0.3">
      <c r="A2" s="13"/>
    </row>
    <row r="4" spans="1:14" ht="14" x14ac:dyDescent="0.3">
      <c r="A4" s="16" t="s">
        <v>228</v>
      </c>
      <c r="B4" s="16"/>
    </row>
    <row r="5" spans="1:14" ht="13" x14ac:dyDescent="0.3">
      <c r="A5" s="15" t="s">
        <v>229</v>
      </c>
      <c r="B5" s="30">
        <f>INDEX(LINEST(md_y,md_X,TRUE(),TRUE()),3,1)</f>
        <v>0.66873774861967716</v>
      </c>
    </row>
    <row r="6" spans="1:14" ht="13" x14ac:dyDescent="0.3">
      <c r="A6" s="15" t="s">
        <v>230</v>
      </c>
      <c r="B6" s="28">
        <f>INDEX(LINEST(md_y,md_X,TRUE(),TRUE()),3,2)</f>
        <v>2.8079400494297073</v>
      </c>
    </row>
    <row r="7" spans="1:14" ht="13" x14ac:dyDescent="0.3">
      <c r="A7" s="15" t="s">
        <v>231</v>
      </c>
      <c r="B7" s="24">
        <f>INDEX(LINEST(md_y,md_X,TRUE(),TRUE()),4,1)</f>
        <v>23.2156971616329</v>
      </c>
    </row>
    <row r="8" spans="1:14" ht="13" x14ac:dyDescent="0.3">
      <c r="A8" s="15" t="s">
        <v>232</v>
      </c>
      <c r="B8" s="22">
        <f>INDEX(LINEST(md_y,md_X,TRUE(),TRUE()),4,2)</f>
        <v>46</v>
      </c>
    </row>
    <row r="9" spans="1:14" ht="13" x14ac:dyDescent="0.3">
      <c r="A9" s="15" t="s">
        <v>233</v>
      </c>
      <c r="B9" s="22">
        <f>m_df+5</f>
        <v>51</v>
      </c>
    </row>
    <row r="10" spans="1:14" ht="13" x14ac:dyDescent="0.3">
      <c r="A10" s="15" t="s">
        <v>234</v>
      </c>
      <c r="B10" s="30">
        <f>1-(1-m_r2)*(m_n-1)/m_df</f>
        <v>0.63993233545617079</v>
      </c>
    </row>
    <row r="11" spans="1:14" ht="13" x14ac:dyDescent="0.3">
      <c r="A11" s="15" t="s">
        <v>235</v>
      </c>
      <c r="B11" s="42">
        <f>FDIST(m_F,4,m_df)</f>
        <v>1.5076287071787988E-10</v>
      </c>
    </row>
    <row r="12" spans="1:14" ht="13" x14ac:dyDescent="0.3">
      <c r="A12" s="15" t="s">
        <v>236</v>
      </c>
      <c r="B12" s="28">
        <f>STDEV(md_y)</f>
        <v>4.679460334227425</v>
      </c>
    </row>
    <row r="14" spans="1:14" ht="14" x14ac:dyDescent="0.3">
      <c r="A14" s="16" t="s">
        <v>237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4" ht="26" x14ac:dyDescent="0.25">
      <c r="A15" s="17" t="s">
        <v>238</v>
      </c>
      <c r="B15" s="17" t="s">
        <v>239</v>
      </c>
      <c r="C15" s="17" t="s">
        <v>240</v>
      </c>
      <c r="D15" s="17" t="s">
        <v>241</v>
      </c>
      <c r="E15" s="17" t="s">
        <v>242</v>
      </c>
      <c r="F15" s="17" t="s">
        <v>202</v>
      </c>
      <c r="G15" s="17" t="s">
        <v>182</v>
      </c>
      <c r="H15" s="17" t="s">
        <v>183</v>
      </c>
      <c r="I15" s="17" t="s">
        <v>184</v>
      </c>
      <c r="J15" s="17" t="s">
        <v>204</v>
      </c>
      <c r="K15" s="17" t="s">
        <v>205</v>
      </c>
      <c r="L15" s="17" t="s">
        <v>243</v>
      </c>
      <c r="M15" s="17" t="s">
        <v>244</v>
      </c>
    </row>
    <row r="16" spans="1:14" ht="13" x14ac:dyDescent="0.3">
      <c r="A16" s="15" t="s">
        <v>245</v>
      </c>
      <c r="B16" s="18" t="str">
        <f>IF(E16&lt;0,"More = less sleep","More = more sleep")&amp;IF(I16="ns"," (not significant)","")</f>
        <v>More = less sleep (not significant)</v>
      </c>
      <c r="C16" s="28">
        <f>AVERAGE(Model_Data!$D$2:$D$52)</f>
        <v>0.57089479974470336</v>
      </c>
      <c r="D16" s="28">
        <f>STDEV(Model_Data!$D$2:$D$52)</f>
        <v>1.3784240732551774</v>
      </c>
      <c r="E16" s="28">
        <f>INDEX(LINEST(md_y,md_X,TRUE(),TRUE()),1,4)</f>
        <v>-0.95897181057316327</v>
      </c>
      <c r="F16" s="28">
        <f>INDEX(LINEST(md_y,md_X,TRUE(),TRUE()),2,4)</f>
        <v>0.4854059651865627</v>
      </c>
      <c r="G16" s="24">
        <f>E16/F16</f>
        <v>-1.9756077991431122</v>
      </c>
      <c r="H16" s="30">
        <f>TDIST(ABS(G16),m_df,2)</f>
        <v>5.4216158339878813E-2</v>
      </c>
      <c r="I16" s="31" t="str">
        <f>IF(H16&lt;0.001,"***",IF(H16&lt;0.01,"**",IF(H16&lt;alpha,"*","ns")))</f>
        <v>ns</v>
      </c>
      <c r="J16" s="28">
        <f>E16-TINV(alpha,m_df)*F16</f>
        <v>-1.9360433415864333</v>
      </c>
      <c r="K16" s="28">
        <f>E16+TINV(alpha,m_df)*F16</f>
        <v>1.809972044010677E-2</v>
      </c>
      <c r="L16" s="28">
        <f>E16*D16/m_sdy</f>
        <v>-0.2824833922831812</v>
      </c>
      <c r="M16" s="29">
        <f>RANK(ABS(L16),$N$16:$N$19)</f>
        <v>3</v>
      </c>
      <c r="N16" s="43">
        <f>ABS(L16)</f>
        <v>0.2824833922831812</v>
      </c>
    </row>
    <row r="17" spans="1:14" ht="13" x14ac:dyDescent="0.3">
      <c r="A17" s="15" t="s">
        <v>246</v>
      </c>
      <c r="B17" s="18" t="str">
        <f>IF(E17&lt;0,"More = less sleep","More = more sleep")&amp;IF(I17="ns"," (not significant)","")</f>
        <v>More = more sleep (not significant)</v>
      </c>
      <c r="C17" s="28">
        <f>AVERAGE(Model_Data!$E$2:$E$52)</f>
        <v>1.1225473436894173</v>
      </c>
      <c r="D17" s="28">
        <f>STDEV(Model_Data!$E$2:$E$52)</f>
        <v>0.41991382570668045</v>
      </c>
      <c r="E17" s="28">
        <f>INDEX(LINEST(md_y,md_X,TRUE(),TRUE()),1,3)</f>
        <v>0.99123167793822287</v>
      </c>
      <c r="F17" s="28">
        <f>INDEX(LINEST(md_y,md_X,TRUE(),TRUE()),2,3)</f>
        <v>1.4642522697587244</v>
      </c>
      <c r="G17" s="24">
        <f>E17/F17</f>
        <v>0.67695416862939572</v>
      </c>
      <c r="H17" s="30">
        <f>TDIST(ABS(G17),m_df,2)</f>
        <v>0.50182532306604866</v>
      </c>
      <c r="I17" s="31" t="str">
        <f>IF(H17&lt;0.001,"***",IF(H17&lt;0.01,"**",IF(H17&lt;alpha,"*","ns")))</f>
        <v>ns</v>
      </c>
      <c r="J17" s="28">
        <f>E17-TINV(alpha,m_df)*F17</f>
        <v>-1.9561552715668991</v>
      </c>
      <c r="K17" s="28">
        <f>E17+TINV(alpha,m_df)*F17</f>
        <v>3.9386186274433448</v>
      </c>
      <c r="L17" s="28">
        <f>E17*D17/m_sdy</f>
        <v>8.8948694147529497E-2</v>
      </c>
      <c r="M17" s="29">
        <f>RANK(ABS(L17),$N$16:$N$19)</f>
        <v>4</v>
      </c>
      <c r="N17" s="43">
        <f>ABS(L17)</f>
        <v>8.8948694147529497E-2</v>
      </c>
    </row>
    <row r="18" spans="1:14" ht="13" x14ac:dyDescent="0.3">
      <c r="A18" s="15" t="s">
        <v>247</v>
      </c>
      <c r="B18" s="18" t="str">
        <f>IF(E18&lt;0,"More = less sleep","More = more sleep")&amp;IF(I18="ns"," (not significant)","")</f>
        <v>More = less sleep</v>
      </c>
      <c r="C18" s="28">
        <f>AVERAGE(Model_Data!$F$2:$F$52)</f>
        <v>1.9426077901539067</v>
      </c>
      <c r="D18" s="28">
        <f>STDEV(Model_Data!$F$2:$F$52)</f>
        <v>0.45298685979915032</v>
      </c>
      <c r="E18" s="28">
        <f>INDEX(LINEST(md_y,md_X,TRUE(),TRUE()),1,2)</f>
        <v>-3.8062755011621521</v>
      </c>
      <c r="F18" s="28">
        <f>INDEX(LINEST(md_y,md_X,TRUE(),TRUE()),2,2)</f>
        <v>1.3864929755716331</v>
      </c>
      <c r="G18" s="24">
        <f>E18/F18</f>
        <v>-2.7452540822234415</v>
      </c>
      <c r="H18" s="30">
        <f>TDIST(ABS(G18),m_df,2)</f>
        <v>8.597087185004482E-3</v>
      </c>
      <c r="I18" s="31" t="str">
        <f>IF(H18&lt;0.001,"***",IF(H18&lt;0.01,"**",IF(H18&lt;alpha,"*","ns")))</f>
        <v>**</v>
      </c>
      <c r="J18" s="28">
        <f>E18-TINV(alpha,m_df)*F18</f>
        <v>-6.5971411096229975</v>
      </c>
      <c r="K18" s="28">
        <f>E18+TINV(alpha,m_df)*F18</f>
        <v>-1.0154098927013071</v>
      </c>
      <c r="L18" s="28">
        <f>E18*D18/m_sdy</f>
        <v>-0.36845975040977524</v>
      </c>
      <c r="M18" s="29">
        <f>RANK(ABS(L18),$N$16:$N$19)</f>
        <v>2</v>
      </c>
      <c r="N18" s="43">
        <f>ABS(L18)</f>
        <v>0.36845975040977524</v>
      </c>
    </row>
    <row r="19" spans="1:14" ht="13" x14ac:dyDescent="0.3">
      <c r="A19" s="15" t="s">
        <v>248</v>
      </c>
      <c r="B19" s="18" t="str">
        <f>IF(E19&lt;0,"More = less sleep","More = more sleep")&amp;IF(I19="ns"," (not significant)","")</f>
        <v>More = less sleep</v>
      </c>
      <c r="C19" s="28">
        <f>AVERAGE(Model_Data!$G$2:$G$52)</f>
        <v>2.6274509803921569</v>
      </c>
      <c r="D19" s="28">
        <f>STDEV(Model_Data!$G$2:$G$52)</f>
        <v>1.4277364506620329</v>
      </c>
      <c r="E19" s="28">
        <f>INDEX(LINEST(md_y,md_X,TRUE(),TRUE()),1,1)</f>
        <v>-1.5032569011023837</v>
      </c>
      <c r="F19" s="28">
        <f>INDEX(LINEST(md_y,md_X,TRUE(),TRUE()),2,1)</f>
        <v>0.29705695477763366</v>
      </c>
      <c r="G19" s="24">
        <f>E19/F19</f>
        <v>-5.0605006108261925</v>
      </c>
      <c r="H19" s="30">
        <f>TDIST(ABS(G19),m_df,2)</f>
        <v>7.1731136801738777E-6</v>
      </c>
      <c r="I19" s="31" t="str">
        <f>IF(H19&lt;0.001,"***",IF(H19&lt;0.01,"**",IF(H19&lt;alpha,"*","ns")))</f>
        <v>***</v>
      </c>
      <c r="J19" s="28">
        <f>E19-TINV(alpha,m_df)*F19</f>
        <v>-2.1012015380026909</v>
      </c>
      <c r="K19" s="28">
        <f>E19+TINV(alpha,m_df)*F19</f>
        <v>-0.90531226420207678</v>
      </c>
      <c r="L19" s="28">
        <f>E19*D19/m_sdy</f>
        <v>-0.45865431462567768</v>
      </c>
      <c r="M19" s="29">
        <f>RANK(ABS(L19),$N$16:$N$19)</f>
        <v>1</v>
      </c>
      <c r="N19" s="43">
        <f>ABS(L19)</f>
        <v>0.45865431462567768</v>
      </c>
    </row>
    <row r="20" spans="1:14" ht="13" x14ac:dyDescent="0.3">
      <c r="A20" s="15" t="s">
        <v>249</v>
      </c>
      <c r="B20" s="18" t="s">
        <v>250</v>
      </c>
      <c r="E20" s="28">
        <f>INDEX(LINEST(md_y,md_X,TRUE(),TRUE()),1,5)</f>
        <v>21.127621399163054</v>
      </c>
      <c r="F20" s="28">
        <f>INDEX(LINEST(md_y,md_X,TRUE(),TRUE()),2,5)</f>
        <v>2.5176562503707749</v>
      </c>
      <c r="G20" s="24">
        <f>E20/F20</f>
        <v>8.3917816008645314</v>
      </c>
      <c r="H20" s="30">
        <f>TDIST(ABS(G20),m_df,2)</f>
        <v>7.8751506339825832E-11</v>
      </c>
      <c r="I20" s="31" t="str">
        <f>IF(H20&lt;0.001,"***",IF(H20&lt;0.01,"**",IF(H20&lt;alpha,"*","ns")))</f>
        <v>***</v>
      </c>
      <c r="J20" s="28">
        <f>E20-TINV(alpha,m_df)*F20</f>
        <v>16.059842213199726</v>
      </c>
      <c r="K20" s="28">
        <f>E20+TINV(alpha,m_df)*F20</f>
        <v>26.195400585126382</v>
      </c>
    </row>
    <row r="21" spans="1:14" ht="13" x14ac:dyDescent="0.3">
      <c r="A21" s="13" t="s">
        <v>251</v>
      </c>
    </row>
    <row r="22" spans="1:14" ht="14" x14ac:dyDescent="0.3">
      <c r="A22" s="16" t="s">
        <v>252</v>
      </c>
      <c r="B22" s="16"/>
      <c r="C22" s="16"/>
      <c r="D22" s="16"/>
      <c r="E22" s="16"/>
    </row>
    <row r="23" spans="1:14" ht="13" x14ac:dyDescent="0.3">
      <c r="A23" s="15" t="s">
        <v>253</v>
      </c>
      <c r="B23" s="44">
        <f>E16</f>
        <v>-0.95897181057316327</v>
      </c>
      <c r="C23" s="44">
        <f>E17</f>
        <v>0.99123167793822287</v>
      </c>
      <c r="D23" s="44">
        <f>E18</f>
        <v>-3.8062755011621521</v>
      </c>
      <c r="E23" s="44">
        <f>E19</f>
        <v>-1.5032569011023837</v>
      </c>
    </row>
    <row r="24" spans="1:14" ht="13" x14ac:dyDescent="0.3">
      <c r="A24" s="15" t="s">
        <v>249</v>
      </c>
      <c r="B24" s="44">
        <f>E20</f>
        <v>21.127621399163054</v>
      </c>
    </row>
    <row r="27" spans="1:14" ht="14" x14ac:dyDescent="0.3">
      <c r="A27" s="16" t="s">
        <v>254</v>
      </c>
      <c r="B27" s="16"/>
      <c r="C27" s="16"/>
      <c r="D27" s="16"/>
      <c r="E27" s="16"/>
      <c r="F27" s="16"/>
      <c r="G27" s="16"/>
      <c r="H27" s="16"/>
      <c r="I27" s="16"/>
    </row>
    <row r="28" spans="1:14" x14ac:dyDescent="0.25">
      <c r="A28" t="str">
        <f>"Each 10-fold increase in body weight is associated with "&amp;TEXT(ABS(E16),"0.0")&amp;" "&amp;IF(E16&lt;0,"fewer","more")&amp;" hours of sleep, holding the other predictors constant ("&amp;I16&amp;")."</f>
        <v>Each 10-fold increase in body weight is associated with 1.0 fewer hours of sleep, holding the other predictors constant (ns).</v>
      </c>
    </row>
    <row r="29" spans="1:14" x14ac:dyDescent="0.25">
      <c r="A29" t="str">
        <f>"Each 10-fold increase in life span is associated with "&amp;TEXT(ABS(E17),"0.0")&amp;" "&amp;IF(E17&lt;0,"fewer","more")&amp;" hours of sleep ("&amp;I17&amp;")."</f>
        <v>Each 10-fold increase in life span is associated with 1.0 more hours of sleep (ns).</v>
      </c>
    </row>
    <row r="30" spans="1:14" x14ac:dyDescent="0.25">
      <c r="A30" t="str">
        <f>"Each 10-fold increase in gestation time is associated with "&amp;TEXT(ABS(E18),"0.0")&amp;" "&amp;IF(E18&lt;0,"fewer","more")&amp;" hours of sleep ("&amp;I18&amp;")."</f>
        <v>Each 10-fold increase in gestation time is associated with 3.8 fewer hours of sleep (**).</v>
      </c>
    </row>
    <row r="31" spans="1:14" x14ac:dyDescent="0.25">
      <c r="A31" t="str">
        <f>"Each 1-point rise in danger index is associated with "&amp;TEXT(ABS(E19),"0.0")&amp;" "&amp;IF(E19&lt;0,"fewer","more")&amp;" hours of sleep ("&amp;I19&amp;")."</f>
        <v>Each 1-point rise in danger index is associated with 1.5 fewer hours of sleep (***).</v>
      </c>
    </row>
    <row r="32" spans="1:14" x14ac:dyDescent="0.25">
      <c r="A32" t="str">
        <f>"Together the four predictors explain "&amp;TEXT(m_r2,"0%")&amp;" of the variation in sleep (adjusted "&amp;TEXT(m_adjr2,"0%")&amp;", n = "&amp;m_n&amp;")."</f>
        <v>Together the four predictors explain 67% of the variation in sleep (adjusted 64%, n = 51).</v>
      </c>
    </row>
    <row r="34" spans="1:1" ht="13" x14ac:dyDescent="0.3">
      <c r="A34" s="13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D16"/>
  <sheetViews>
    <sheetView zoomScaleNormal="100" workbookViewId="0">
      <selection activeCell="C15" sqref="C15"/>
    </sheetView>
  </sheetViews>
  <sheetFormatPr defaultColWidth="8.6328125" defaultRowHeight="12.5" x14ac:dyDescent="0.25"/>
  <cols>
    <col min="1" max="1" width="40.7265625" customWidth="1"/>
    <col min="2" max="4" width="20.7265625" customWidth="1"/>
  </cols>
  <sheetData>
    <row r="1" spans="1:4" ht="20" x14ac:dyDescent="0.4">
      <c r="A1" s="14" t="s">
        <v>255</v>
      </c>
    </row>
    <row r="2" spans="1:4" ht="13" x14ac:dyDescent="0.3">
      <c r="A2" s="52" t="s">
        <v>256</v>
      </c>
    </row>
    <row r="4" spans="1:4" ht="13" x14ac:dyDescent="0.25">
      <c r="A4" s="17" t="s">
        <v>257</v>
      </c>
      <c r="B4" s="17" t="s">
        <v>40</v>
      </c>
      <c r="C4" s="17" t="s">
        <v>258</v>
      </c>
      <c r="D4" s="17" t="s">
        <v>259</v>
      </c>
    </row>
    <row r="5" spans="1:4" ht="13" x14ac:dyDescent="0.3">
      <c r="A5" s="15" t="s">
        <v>260</v>
      </c>
      <c r="B5" s="19">
        <v>3</v>
      </c>
      <c r="C5" s="24">
        <f>MIN(s_body)</f>
        <v>5.0000000000000001E-3</v>
      </c>
      <c r="D5" s="24">
        <f>MAX(s_body)</f>
        <v>6654</v>
      </c>
    </row>
    <row r="6" spans="1:4" ht="13" x14ac:dyDescent="0.3">
      <c r="A6" s="15" t="s">
        <v>49</v>
      </c>
      <c r="B6" s="19">
        <v>15</v>
      </c>
      <c r="C6" s="24">
        <f>MIN(s_life)</f>
        <v>2</v>
      </c>
      <c r="D6" s="24">
        <f>MAX(s_life)</f>
        <v>100</v>
      </c>
    </row>
    <row r="7" spans="1:4" ht="13" x14ac:dyDescent="0.3">
      <c r="A7" s="15" t="s">
        <v>261</v>
      </c>
      <c r="B7" s="19">
        <v>80</v>
      </c>
      <c r="C7" s="24">
        <f>MIN(s_gest)</f>
        <v>12</v>
      </c>
      <c r="D7" s="24">
        <f>MAX(s_gest)</f>
        <v>645</v>
      </c>
    </row>
    <row r="8" spans="1:4" ht="13" x14ac:dyDescent="0.3">
      <c r="A8" s="15" t="s">
        <v>262</v>
      </c>
      <c r="B8" s="20">
        <v>3</v>
      </c>
      <c r="C8" s="24">
        <f>MIN(s_danger)</f>
        <v>1</v>
      </c>
      <c r="D8" s="24">
        <f>MAX(s_danger)</f>
        <v>5</v>
      </c>
    </row>
    <row r="10" spans="1:4" ht="18" x14ac:dyDescent="0.4">
      <c r="A10" s="45" t="s">
        <v>263</v>
      </c>
      <c r="B10" s="46">
        <f>MAX(0,MIN(24,m_intercept+INDEX(m_coef,1,1)*LOG10(p_w)+INDEX(m_coef,1,2)*LOG10(p_l)+INDEX(m_coef,1,3)*LOG10(p_g)+INDEX(m_coef,1,4)*p_d))</f>
        <v>10.082398980482257</v>
      </c>
    </row>
    <row r="11" spans="1:4" ht="13" x14ac:dyDescent="0.3">
      <c r="A11" s="15" t="s">
        <v>264</v>
      </c>
      <c r="B11" s="15" t="str">
        <f>TEXT(MAX(0,B10-TINV(alpha,m_df)*m_se*SQRT(1+1/m_n)),"0.0")&amp;" to "&amp;TEXT(MIN(24,B10+TINV(alpha,m_df)*m_se*SQRT(1+1/m_n)),"0.0")&amp;" h"</f>
        <v>4.4 to 15.8 h</v>
      </c>
    </row>
    <row r="12" spans="1:4" ht="13" x14ac:dyDescent="0.3">
      <c r="A12" s="15" t="s">
        <v>265</v>
      </c>
      <c r="B12" s="41">
        <f>grand_mean</f>
        <v>10.532758620689648</v>
      </c>
    </row>
    <row r="13" spans="1:4" ht="13" x14ac:dyDescent="0.3">
      <c r="A13" s="15" t="s">
        <v>266</v>
      </c>
      <c r="B13" s="41">
        <f>IFERROR(AVERAGEIFS(s_sleep,s_danger,p_d,x_inc,1),"")</f>
        <v>10.310000000000002</v>
      </c>
    </row>
    <row r="14" spans="1:4" ht="13" x14ac:dyDescent="0.3">
      <c r="A14" s="15" t="s">
        <v>267</v>
      </c>
      <c r="B14" s="47" t="str">
        <f>IF(OR(p_w&lt;C5,p_w&gt;D5,p_l&lt;C6,p_l&gt;D6,p_g&lt;C7,p_g&gt;D7),"Warning: an input is outside the observed range - extrapolation","Inputs within observed range")</f>
        <v>Inputs within observed range</v>
      </c>
    </row>
    <row r="16" spans="1:4" ht="13" x14ac:dyDescent="0.3">
      <c r="A16" s="13"/>
    </row>
  </sheetData>
  <dataValidations count="2">
    <dataValidation type="whole" allowBlank="1" showInputMessage="1" showErrorMessage="1" error="Enter a whole number 1-5." sqref="B8" xr:uid="{00000000-0002-0000-0A00-000000000000}">
      <formula1>1</formula1>
      <formula2>5</formula2>
    </dataValidation>
    <dataValidation type="decimal" operator="greaterThan" allowBlank="1" showInputMessage="1" showErrorMessage="1" error="Enter a positive number." sqref="B5:B7" xr:uid="{00000000-0002-0000-0A00-000001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77"/>
  <sheetViews>
    <sheetView showGridLines="0" zoomScale="90" zoomScaleNormal="90" workbookViewId="0">
      <selection activeCell="B77" sqref="B77"/>
    </sheetView>
  </sheetViews>
  <sheetFormatPr defaultColWidth="8.6328125" defaultRowHeight="12.5" x14ac:dyDescent="0.25"/>
  <cols>
    <col min="1" max="1" width="2.7265625" customWidth="1"/>
    <col min="2" max="13" width="12.26953125" customWidth="1"/>
    <col min="14" max="14" width="2.7265625" customWidth="1"/>
  </cols>
  <sheetData>
    <row r="1" spans="1:14" ht="30" customHeight="1" x14ac:dyDescent="0.5">
      <c r="A1" s="48"/>
      <c r="B1" s="48" t="s">
        <v>268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13" x14ac:dyDescent="0.3">
      <c r="A2" s="49"/>
      <c r="B2" s="49" t="str">
        <f>"Showing "&amp;TEXT(kf_n,"#,##0")&amp;" of "&amp;TEXT(grp_n,"#,##0")&amp;" animals with sleep recorded ("&amp;TEXT(IF(grp_n=0,0,kf_n/grp_n),"0%")&amp;")"</f>
        <v>Showing 58 of 58 animals with sleep recorded (100%)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3" x14ac:dyDescent="0.3">
      <c r="B3" s="13"/>
    </row>
    <row r="5" spans="1:14" x14ac:dyDescent="0.25">
      <c r="B5" s="10" t="s">
        <v>269</v>
      </c>
      <c r="C5" s="10"/>
      <c r="D5" s="10"/>
      <c r="E5" s="10" t="s">
        <v>270</v>
      </c>
      <c r="F5" s="10"/>
      <c r="G5" s="10"/>
      <c r="H5" s="10" t="s">
        <v>271</v>
      </c>
      <c r="I5" s="10"/>
      <c r="J5" s="10"/>
      <c r="K5" s="10" t="s">
        <v>221</v>
      </c>
      <c r="L5" s="10"/>
      <c r="M5" s="10"/>
    </row>
    <row r="6" spans="1:14" ht="19.5" customHeight="1" x14ac:dyDescent="0.3">
      <c r="B6" s="9" t="s">
        <v>42</v>
      </c>
      <c r="C6" s="9"/>
      <c r="D6" s="9"/>
      <c r="E6" s="9" t="s">
        <v>42</v>
      </c>
      <c r="F6" s="9"/>
      <c r="G6" s="9"/>
      <c r="H6" s="9" t="s">
        <v>42</v>
      </c>
      <c r="I6" s="9"/>
      <c r="J6" s="9"/>
      <c r="K6" s="9" t="s">
        <v>42</v>
      </c>
      <c r="L6" s="9"/>
      <c r="M6" s="9"/>
    </row>
    <row r="9" spans="1:14" x14ac:dyDescent="0.25">
      <c r="B9" s="8" t="s">
        <v>272</v>
      </c>
      <c r="C9" s="8"/>
      <c r="D9" s="8" t="s">
        <v>273</v>
      </c>
      <c r="E9" s="8"/>
      <c r="F9" s="8" t="s">
        <v>274</v>
      </c>
      <c r="G9" s="8"/>
      <c r="H9" s="8" t="s">
        <v>275</v>
      </c>
      <c r="I9" s="8"/>
      <c r="J9" s="8" t="s">
        <v>276</v>
      </c>
      <c r="K9" s="8"/>
      <c r="L9" s="8" t="s">
        <v>277</v>
      </c>
      <c r="M9" s="8"/>
    </row>
    <row r="10" spans="1:14" ht="33.75" customHeight="1" x14ac:dyDescent="0.5">
      <c r="B10" s="7">
        <f>kf_n</f>
        <v>58</v>
      </c>
      <c r="C10" s="7"/>
      <c r="D10" s="6">
        <f>kf_sleep</f>
        <v>10.532758620689648</v>
      </c>
      <c r="E10" s="6"/>
      <c r="F10" s="5">
        <f>kf_delta</f>
        <v>0</v>
      </c>
      <c r="G10" s="5"/>
      <c r="H10" s="4">
        <f>kf_short</f>
        <v>0.2413793103448276</v>
      </c>
      <c r="I10" s="4"/>
      <c r="J10" s="3">
        <f>kf_gest</f>
        <v>136.02777777777777</v>
      </c>
      <c r="K10" s="3"/>
      <c r="L10" s="2">
        <f>kf_life</f>
        <v>19.851851851851851</v>
      </c>
      <c r="M10" s="2"/>
    </row>
    <row r="11" spans="1:14" ht="12.75" customHeight="1" x14ac:dyDescent="0.25">
      <c r="B11" s="1" t="str">
        <f>"of "&amp;grp_n&amp;" with sleep data"</f>
        <v>of 58 with sleep data</v>
      </c>
      <c r="C11" s="1"/>
      <c r="D11" s="1" t="str">
        <f>"overall "&amp;TEXT(grand_mean,"0.0")&amp;" h"</f>
        <v>overall 10.5 h</v>
      </c>
      <c r="E11" s="1"/>
      <c r="F11" s="1" t="str">
        <f>"hours per day"</f>
        <v>hours per day</v>
      </c>
      <c r="G11" s="1"/>
      <c r="H11" s="1" t="str">
        <f>"sleep under "&amp;INDEX(sleep_lo,2)&amp;" h"</f>
        <v>sleep under 8 h</v>
      </c>
      <c r="I11" s="1"/>
      <c r="J11" s="1" t="str">
        <f>"days"</f>
        <v>days</v>
      </c>
      <c r="K11" s="1"/>
      <c r="L11" s="1" t="str">
        <f>"years"</f>
        <v>years</v>
      </c>
      <c r="M11" s="1"/>
    </row>
    <row r="13" spans="1:14" x14ac:dyDescent="0.25">
      <c r="B13" s="50" t="str">
        <f>"&gt; Sleep falls as danger rises (all animals): "&amp;TEXT(Group_Analysis!D9,"0.0")&amp;" h at danger 1 vs "&amp;TEXT(Group_Analysis!D13,"0.0")&amp;" h at danger 5 (ANOVA p = "&amp;TEXT(Group_Analysis!C19,"0.0000")&amp;")."</f>
        <v>&gt; Sleep falls as danger rises (all animals): 13.1 h at danger 1 vs 4.1 h at danger 5 (ANOVA p = 0.0000).</v>
      </c>
    </row>
    <row r="14" spans="1:14" x14ac:dyDescent="0.25">
      <c r="B14" s="50" t="str">
        <f>"&gt; Strongest single correlate of sleep: "&amp;Correlation!L6&amp;" (r = "&amp;TEXT(Correlation!M6,"0.00")&amp;", "&amp;LOWER(Correlation!N6)&amp;")."</f>
        <v>&gt; Strongest single correlate of sleep: log10 gestation_time (r = -0.66, strong).</v>
      </c>
    </row>
    <row r="15" spans="1:14" x14ac:dyDescent="0.25">
      <c r="B15" s="50" t="str">
        <f>"&gt; Regression on 4 predictors explains "&amp;TEXT(m_r2,"0%")&amp;" of sleep variation (n = "&amp;m_n&amp;" complete cases)."</f>
        <v>&gt; Regression on 4 predictors explains 67% of sleep variation (n = 51 complete cases).</v>
      </c>
    </row>
    <row r="77" spans="2:2" ht="13" x14ac:dyDescent="0.3">
      <c r="B77" s="13"/>
    </row>
  </sheetData>
  <mergeCells count="26">
    <mergeCell ref="L11:M11"/>
    <mergeCell ref="B11:C11"/>
    <mergeCell ref="D11:E11"/>
    <mergeCell ref="F11:G11"/>
    <mergeCell ref="H11:I11"/>
    <mergeCell ref="J11:K11"/>
    <mergeCell ref="L9:M9"/>
    <mergeCell ref="B10:C10"/>
    <mergeCell ref="D10:E10"/>
    <mergeCell ref="F10:G10"/>
    <mergeCell ref="H10:I10"/>
    <mergeCell ref="J10:K10"/>
    <mergeCell ref="L10:M10"/>
    <mergeCell ref="B9:C9"/>
    <mergeCell ref="D9:E9"/>
    <mergeCell ref="F9:G9"/>
    <mergeCell ref="H9:I9"/>
    <mergeCell ref="J9:K9"/>
    <mergeCell ref="B5:D5"/>
    <mergeCell ref="E5:G5"/>
    <mergeCell ref="H5:J5"/>
    <mergeCell ref="K5:M5"/>
    <mergeCell ref="B6:D6"/>
    <mergeCell ref="E6:G6"/>
    <mergeCell ref="H6:J6"/>
    <mergeCell ref="K6:M6"/>
  </mergeCells>
  <dataValidations count="4">
    <dataValidation type="list" allowBlank="1" showInputMessage="1" showErrorMessage="1" promptTitle="Danger index" prompt="Pick a value or All" sqref="B6" xr:uid="{00000000-0002-0000-0B00-000000000000}">
      <formula1>list_danger</formula1>
      <formula2>0</formula2>
    </dataValidation>
    <dataValidation type="list" allowBlank="1" showInputMessage="1" showErrorMessage="1" promptTitle="Predation index" prompt="Pick a value or All" sqref="E6" xr:uid="{00000000-0002-0000-0B00-000001000000}">
      <formula1>list_pred</formula1>
      <formula2>0</formula2>
    </dataValidation>
    <dataValidation type="list" allowBlank="1" showInputMessage="1" showErrorMessage="1" promptTitle="Exposure index" prompt="Pick a value or All" sqref="H6" xr:uid="{00000000-0002-0000-0B00-000002000000}">
      <formula1>list_expo</formula1>
      <formula2>0</formula2>
    </dataValidation>
    <dataValidation type="list" allowBlank="1" showInputMessage="1" showErrorMessage="1" promptTitle="Body-size class" prompt="Pick a value or All" sqref="K6" xr:uid="{00000000-0002-0000-0B00-000003000000}">
      <formula1>list_size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A1:E70"/>
  <sheetViews>
    <sheetView tabSelected="1" zoomScaleNormal="100" workbookViewId="0">
      <selection activeCell="A2" sqref="A2"/>
    </sheetView>
  </sheetViews>
  <sheetFormatPr defaultColWidth="8.6328125" defaultRowHeight="12.5" x14ac:dyDescent="0.25"/>
  <cols>
    <col min="1" max="1" width="32.7265625" customWidth="1"/>
    <col min="2" max="2" width="18.7265625" customWidth="1"/>
    <col min="3" max="7" width="14.7265625" customWidth="1"/>
  </cols>
  <sheetData>
    <row r="1" spans="1:2" ht="20" x14ac:dyDescent="0.4">
      <c r="A1" s="14" t="s">
        <v>278</v>
      </c>
    </row>
    <row r="2" spans="1:2" ht="13" x14ac:dyDescent="0.3">
      <c r="A2" s="13" t="s">
        <v>279</v>
      </c>
    </row>
    <row r="3" spans="1:2" ht="14" x14ac:dyDescent="0.3">
      <c r="A3" s="16" t="s">
        <v>280</v>
      </c>
      <c r="B3" s="16"/>
    </row>
    <row r="4" spans="1:2" ht="13" x14ac:dyDescent="0.3">
      <c r="A4" s="15" t="s">
        <v>269</v>
      </c>
      <c r="B4" s="18" t="str">
        <f>IF(Dashboard!$B$6="All","&gt;=0",Dashboard!$B$6)</f>
        <v>&gt;=0</v>
      </c>
    </row>
    <row r="5" spans="1:2" ht="13" x14ac:dyDescent="0.3">
      <c r="A5" s="15" t="s">
        <v>270</v>
      </c>
      <c r="B5" s="18" t="str">
        <f>IF(Dashboard!$E$6="All","&gt;=0",Dashboard!$E$6)</f>
        <v>&gt;=0</v>
      </c>
    </row>
    <row r="6" spans="1:2" ht="13" x14ac:dyDescent="0.3">
      <c r="A6" s="15" t="s">
        <v>271</v>
      </c>
      <c r="B6" s="18" t="str">
        <f>IF(Dashboard!$H$6="All","&gt;=0",Dashboard!$H$6)</f>
        <v>&gt;=0</v>
      </c>
    </row>
    <row r="7" spans="1:2" ht="13" x14ac:dyDescent="0.3">
      <c r="A7" s="15" t="s">
        <v>281</v>
      </c>
      <c r="B7" s="18" t="str">
        <f>IF(Dashboard!$K$6="All","*",Dashboard!$K$6)</f>
        <v>*</v>
      </c>
    </row>
    <row r="9" spans="1:2" ht="14" x14ac:dyDescent="0.3">
      <c r="A9" s="16" t="s">
        <v>282</v>
      </c>
      <c r="B9" s="16"/>
    </row>
    <row r="10" spans="1:2" ht="13" x14ac:dyDescent="0.3">
      <c r="A10" s="15" t="s">
        <v>283</v>
      </c>
      <c r="B10" s="22">
        <f>COUNTIFS(x_inc,1,s_danger,dc_danger,s_pred,dc_pred,s_expo,dc_expo,g_size,dc_size)</f>
        <v>58</v>
      </c>
    </row>
    <row r="11" spans="1:2" ht="13" x14ac:dyDescent="0.3">
      <c r="A11" s="15" t="s">
        <v>284</v>
      </c>
      <c r="B11" s="24">
        <f>IFERROR(AVERAGEIFS(s_sleep,x_inc,1,s_danger,dc_danger,s_pred,dc_pred,s_expo,dc_expo,g_size,dc_size),0)</f>
        <v>10.532758620689648</v>
      </c>
    </row>
    <row r="12" spans="1:2" ht="13" x14ac:dyDescent="0.3">
      <c r="A12" s="15" t="s">
        <v>285</v>
      </c>
      <c r="B12" s="51">
        <f>IF(kf_n=0,0,kf_sleep-grand_mean)</f>
        <v>0</v>
      </c>
    </row>
    <row r="13" spans="1:2" ht="13" x14ac:dyDescent="0.3">
      <c r="A13" s="15" t="s">
        <v>286</v>
      </c>
      <c r="B13" s="23">
        <f>IF(kf_n=0,0,COUNTIFS(x_inc,1,s_danger,dc_danger,s_pred,dc_pred,s_expo,dc_expo,g_size,dc_size,g_sleep,INDEX(sleep_lbl,1))/kf_n)</f>
        <v>0.2413793103448276</v>
      </c>
    </row>
    <row r="14" spans="1:2" ht="13" x14ac:dyDescent="0.3">
      <c r="A14" s="15" t="s">
        <v>287</v>
      </c>
      <c r="B14" s="26">
        <f>IFERROR(AVERAGEIFS(s_gest,x_inc,1,s_danger,dc_danger,s_pred,dc_pred,s_expo,dc_expo,g_size,dc_size),0)</f>
        <v>136.02777777777777</v>
      </c>
    </row>
    <row r="15" spans="1:2" ht="13" x14ac:dyDescent="0.3">
      <c r="A15" s="15" t="s">
        <v>288</v>
      </c>
      <c r="B15" s="41">
        <f>IFERROR(AVERAGEIFS(s_life,x_inc,1,s_danger,dc_danger,s_pred,dc_pred,s_expo,dc_expo,g_size,dc_size),0)</f>
        <v>19.851851851851851</v>
      </c>
    </row>
    <row r="18" spans="1:5" ht="14" x14ac:dyDescent="0.3">
      <c r="A18" s="16" t="s">
        <v>289</v>
      </c>
      <c r="B18" s="16"/>
      <c r="C18" s="16"/>
      <c r="D18" s="16"/>
      <c r="E18" s="16"/>
    </row>
    <row r="19" spans="1:5" ht="13" x14ac:dyDescent="0.25">
      <c r="A19" s="17" t="s">
        <v>199</v>
      </c>
      <c r="B19" s="17" t="s">
        <v>200</v>
      </c>
      <c r="C19" s="17" t="s">
        <v>158</v>
      </c>
      <c r="D19" s="17" t="s">
        <v>290</v>
      </c>
      <c r="E19" s="17" t="s">
        <v>291</v>
      </c>
    </row>
    <row r="20" spans="1:5" ht="13" x14ac:dyDescent="0.3">
      <c r="A20" s="15" t="s">
        <v>207</v>
      </c>
      <c r="B20" s="34">
        <v>1</v>
      </c>
      <c r="C20" s="22">
        <f>COUNTIFS(x_inc,1,s_danger,dc_danger,s_pred,dc_pred,s_expo,dc_expo,g_size,dc_size,s_danger,$B20)</f>
        <v>18</v>
      </c>
      <c r="D20" s="24">
        <f>IF(C20=0,0,AVERAGEIFS(s_sleep,x_inc,1,s_danger,dc_danger,s_pred,dc_pred,s_expo,dc_expo,g_size,dc_size,s_danger,$B20))</f>
        <v>13.083333333333336</v>
      </c>
      <c r="E20" s="23">
        <f>IF(kf_n=0,0,C20/kf_n)</f>
        <v>0.31034482758620691</v>
      </c>
    </row>
    <row r="21" spans="1:5" ht="13" x14ac:dyDescent="0.3">
      <c r="A21" s="15" t="s">
        <v>208</v>
      </c>
      <c r="B21" s="34">
        <v>2</v>
      </c>
      <c r="C21" s="22">
        <f>COUNTIFS(x_inc,1,s_danger,dc_danger,s_pred,dc_pred,s_expo,dc_expo,g_size,dc_size,s_danger,$B21)</f>
        <v>14</v>
      </c>
      <c r="D21" s="24">
        <f>IF(C21=0,0,AVERAGEIFS(s_sleep,x_inc,1,s_danger,dc_danger,s_pred,dc_pred,s_expo,dc_expo,g_size,dc_size,s_danger,$B21))</f>
        <v>11.75</v>
      </c>
      <c r="E21" s="23">
        <f>IF(kf_n=0,0,C21/kf_n)</f>
        <v>0.2413793103448276</v>
      </c>
    </row>
    <row r="22" spans="1:5" ht="13" x14ac:dyDescent="0.3">
      <c r="A22" s="15" t="s">
        <v>209</v>
      </c>
      <c r="B22" s="34">
        <v>3</v>
      </c>
      <c r="C22" s="22">
        <f>COUNTIFS(x_inc,1,s_danger,dc_danger,s_pred,dc_pred,s_expo,dc_expo,g_size,dc_size,s_danger,$B22)</f>
        <v>10</v>
      </c>
      <c r="D22" s="24">
        <f>IF(C22=0,0,AVERAGEIFS(s_sleep,x_inc,1,s_danger,dc_danger,s_pred,dc_pred,s_expo,dc_expo,g_size,dc_size,s_danger,$B22))</f>
        <v>10.310000000000002</v>
      </c>
      <c r="E22" s="23">
        <f>IF(kf_n=0,0,C22/kf_n)</f>
        <v>0.17241379310344829</v>
      </c>
    </row>
    <row r="23" spans="1:5" ht="13" x14ac:dyDescent="0.3">
      <c r="A23" s="15" t="s">
        <v>210</v>
      </c>
      <c r="B23" s="34">
        <v>4</v>
      </c>
      <c r="C23" s="22">
        <f>COUNTIFS(x_inc,1,s_danger,dc_danger,s_pred,dc_pred,s_expo,dc_expo,g_size,dc_size,s_danger,$B23)</f>
        <v>9</v>
      </c>
      <c r="D23" s="24">
        <f>IF(C23=0,0,AVERAGEIFS(s_sleep,x_inc,1,s_danger,dc_danger,s_pred,dc_pred,s_expo,dc_expo,g_size,dc_size,s_danger,$B23))</f>
        <v>8.8111111111111118</v>
      </c>
      <c r="E23" s="23">
        <f>IF(kf_n=0,0,C23/kf_n)</f>
        <v>0.15517241379310345</v>
      </c>
    </row>
    <row r="24" spans="1:5" ht="13" x14ac:dyDescent="0.3">
      <c r="A24" s="15" t="s">
        <v>211</v>
      </c>
      <c r="B24" s="34">
        <v>5</v>
      </c>
      <c r="C24" s="22">
        <f>COUNTIFS(x_inc,1,s_danger,dc_danger,s_pred,dc_pred,s_expo,dc_expo,g_size,dc_size,s_danger,$B24)</f>
        <v>7</v>
      </c>
      <c r="D24" s="24">
        <f>IF(C24=0,0,AVERAGEIFS(s_sleep,x_inc,1,s_danger,dc_danger,s_pred,dc_pred,s_expo,dc_expo,g_size,dc_size,s_danger,$B24))</f>
        <v>4.0714285714285721</v>
      </c>
      <c r="E24" s="23">
        <f>IF(kf_n=0,0,C24/kf_n)</f>
        <v>0.1206896551724138</v>
      </c>
    </row>
    <row r="27" spans="1:5" ht="14" x14ac:dyDescent="0.3">
      <c r="A27" s="16" t="s">
        <v>292</v>
      </c>
      <c r="B27" s="16"/>
      <c r="C27" s="16"/>
      <c r="D27" s="16"/>
      <c r="E27" s="16"/>
    </row>
    <row r="28" spans="1:5" ht="13" x14ac:dyDescent="0.25">
      <c r="A28" s="17" t="s">
        <v>199</v>
      </c>
      <c r="B28" s="17" t="s">
        <v>200</v>
      </c>
      <c r="C28" s="17" t="s">
        <v>158</v>
      </c>
      <c r="D28" s="17" t="s">
        <v>290</v>
      </c>
      <c r="E28" s="17" t="s">
        <v>291</v>
      </c>
    </row>
    <row r="29" spans="1:5" ht="13" x14ac:dyDescent="0.3">
      <c r="A29" s="15" t="s">
        <v>207</v>
      </c>
      <c r="B29" s="34">
        <v>1</v>
      </c>
      <c r="C29" s="22">
        <f>COUNTIFS(x_inc,1,s_danger,dc_danger,s_pred,dc_pred,s_expo,dc_expo,g_size,dc_size,s_expo,$B29)</f>
        <v>26</v>
      </c>
      <c r="D29" s="24">
        <f>IF(C29=0,0,AVERAGEIFS(s_sleep,x_inc,1,s_danger,dc_danger,s_pred,dc_pred,s_expo,dc_expo,g_size,dc_size,s_expo,$B29))</f>
        <v>12.946153846153846</v>
      </c>
      <c r="E29" s="23">
        <f>IF(kf_n=0,0,C29/kf_n)</f>
        <v>0.44827586206896552</v>
      </c>
    </row>
    <row r="30" spans="1:5" ht="13" x14ac:dyDescent="0.3">
      <c r="A30" s="15" t="s">
        <v>208</v>
      </c>
      <c r="B30" s="34">
        <v>2</v>
      </c>
      <c r="C30" s="22">
        <f>COUNTIFS(x_inc,1,s_danger,dc_danger,s_pred,dc_pred,s_expo,dc_expo,g_size,dc_size,s_expo,$B30)</f>
        <v>13</v>
      </c>
      <c r="D30" s="24">
        <f>IF(C30=0,0,AVERAGEIFS(s_sleep,x_inc,1,s_danger,dc_danger,s_pred,dc_pred,s_expo,dc_expo,g_size,dc_size,s_expo,$B30))</f>
        <v>11.115384615384615</v>
      </c>
      <c r="E30" s="23">
        <f>IF(kf_n=0,0,C30/kf_n)</f>
        <v>0.22413793103448276</v>
      </c>
    </row>
    <row r="31" spans="1:5" ht="13" x14ac:dyDescent="0.3">
      <c r="A31" s="15" t="s">
        <v>209</v>
      </c>
      <c r="B31" s="34">
        <v>3</v>
      </c>
      <c r="C31" s="22">
        <f>COUNTIFS(x_inc,1,s_danger,dc_danger,s_pred,dc_pred,s_expo,dc_expo,g_size,dc_size,s_expo,$B31)</f>
        <v>4</v>
      </c>
      <c r="D31" s="24">
        <f>IF(C31=0,0,AVERAGEIFS(s_sleep,x_inc,1,s_danger,dc_danger,s_pred,dc_pred,s_expo,dc_expo,g_size,dc_size,s_expo,$B31))</f>
        <v>8.5749999999999993</v>
      </c>
      <c r="E31" s="23">
        <f>IF(kf_n=0,0,C31/kf_n)</f>
        <v>6.8965517241379309E-2</v>
      </c>
    </row>
    <row r="32" spans="1:5" ht="13" x14ac:dyDescent="0.3">
      <c r="A32" s="15" t="s">
        <v>210</v>
      </c>
      <c r="B32" s="34">
        <v>4</v>
      </c>
      <c r="C32" s="22">
        <f>COUNTIFS(x_inc,1,s_danger,dc_danger,s_pred,dc_pred,s_expo,dc_expo,g_size,dc_size,s_expo,$B32)</f>
        <v>5</v>
      </c>
      <c r="D32" s="24">
        <f>IF(C32=0,0,AVERAGEIFS(s_sleep,x_inc,1,s_danger,dc_danger,s_pred,dc_pred,s_expo,dc_expo,g_size,dc_size,s_expo,$B32))</f>
        <v>10.719999999999999</v>
      </c>
      <c r="E32" s="23">
        <f>IF(kf_n=0,0,C32/kf_n)</f>
        <v>8.6206896551724144E-2</v>
      </c>
    </row>
    <row r="33" spans="1:5" ht="13" x14ac:dyDescent="0.3">
      <c r="A33" s="15" t="s">
        <v>211</v>
      </c>
      <c r="B33" s="34">
        <v>5</v>
      </c>
      <c r="C33" s="22">
        <f>COUNTIFS(x_inc,1,s_danger,dc_danger,s_pred,dc_pred,s_expo,dc_expo,g_size,dc_size,s_expo,$B33)</f>
        <v>10</v>
      </c>
      <c r="D33" s="24">
        <f>IF(C33=0,0,AVERAGEIFS(s_sleep,x_inc,1,s_danger,dc_danger,s_pred,dc_pred,s_expo,dc_expo,g_size,dc_size,s_expo,$B33))</f>
        <v>4.1899999999999995</v>
      </c>
      <c r="E33" s="23">
        <f>IF(kf_n=0,0,C33/kf_n)</f>
        <v>0.17241379310344829</v>
      </c>
    </row>
    <row r="36" spans="1:5" ht="14" x14ac:dyDescent="0.3">
      <c r="A36" s="16" t="s">
        <v>293</v>
      </c>
      <c r="B36" s="16"/>
      <c r="C36" s="16"/>
      <c r="D36" s="16"/>
      <c r="E36" s="16"/>
    </row>
    <row r="37" spans="1:5" ht="13" x14ac:dyDescent="0.25">
      <c r="A37" s="17" t="s">
        <v>199</v>
      </c>
      <c r="B37" s="17" t="s">
        <v>200</v>
      </c>
      <c r="C37" s="17" t="s">
        <v>158</v>
      </c>
      <c r="D37" s="17" t="s">
        <v>290</v>
      </c>
      <c r="E37" s="17" t="s">
        <v>291</v>
      </c>
    </row>
    <row r="38" spans="1:5" ht="13" x14ac:dyDescent="0.3">
      <c r="A38" s="15" t="s">
        <v>207</v>
      </c>
      <c r="B38" s="34">
        <v>1</v>
      </c>
      <c r="C38" s="22">
        <f>COUNTIFS(x_inc,1,s_danger,dc_danger,s_pred,dc_pred,s_expo,dc_expo,g_size,dc_size,s_pred,$B38)</f>
        <v>14</v>
      </c>
      <c r="D38" s="24">
        <f>IF(C38=0,0,AVERAGEIFS(s_sleep,x_inc,1,s_danger,dc_danger,s_pred,dc_pred,s_expo,dc_expo,g_size,dc_size,s_pred,$B38))</f>
        <v>12.05</v>
      </c>
      <c r="E38" s="23">
        <f>IF(kf_n=0,0,C38/kf_n)</f>
        <v>0.2413793103448276</v>
      </c>
    </row>
    <row r="39" spans="1:5" ht="13" x14ac:dyDescent="0.3">
      <c r="A39" s="15" t="s">
        <v>208</v>
      </c>
      <c r="B39" s="34">
        <v>2</v>
      </c>
      <c r="C39" s="22">
        <f>COUNTIFS(x_inc,1,s_danger,dc_danger,s_pred,dc_pred,s_expo,dc_expo,g_size,dc_size,s_pred,$B39)</f>
        <v>15</v>
      </c>
      <c r="D39" s="24">
        <f>IF(C39=0,0,AVERAGEIFS(s_sleep,x_inc,1,s_danger,dc_danger,s_pred,dc_pred,s_expo,dc_expo,g_size,dc_size,s_pred,$B39))</f>
        <v>12.719999999999999</v>
      </c>
      <c r="E39" s="23">
        <f>IF(kf_n=0,0,C39/kf_n)</f>
        <v>0.25862068965517243</v>
      </c>
    </row>
    <row r="40" spans="1:5" ht="13" x14ac:dyDescent="0.3">
      <c r="A40" s="15" t="s">
        <v>209</v>
      </c>
      <c r="B40" s="34">
        <v>3</v>
      </c>
      <c r="C40" s="22">
        <f>COUNTIFS(x_inc,1,s_danger,dc_danger,s_pred,dc_pred,s_expo,dc_expo,g_size,dc_size,s_pred,$B40)</f>
        <v>10</v>
      </c>
      <c r="D40" s="24">
        <f>IF(C40=0,0,AVERAGEIFS(s_sleep,x_inc,1,s_danger,dc_danger,s_pred,dc_pred,s_expo,dc_expo,g_size,dc_size,s_pred,$B40))</f>
        <v>9.120000000000001</v>
      </c>
      <c r="E40" s="23">
        <f>IF(kf_n=0,0,C40/kf_n)</f>
        <v>0.17241379310344829</v>
      </c>
    </row>
    <row r="41" spans="1:5" ht="13" x14ac:dyDescent="0.3">
      <c r="A41" s="15" t="s">
        <v>210</v>
      </c>
      <c r="B41" s="34">
        <v>4</v>
      </c>
      <c r="C41" s="22">
        <f>COUNTIFS(x_inc,1,s_danger,dc_danger,s_pred,dc_pred,s_expo,dc_expo,g_size,dc_size,s_pred,$B41)</f>
        <v>7</v>
      </c>
      <c r="D41" s="24">
        <f>IF(C41=0,0,AVERAGEIFS(s_sleep,x_inc,1,s_danger,dc_danger,s_pred,dc_pred,s_expo,dc_expo,g_size,dc_size,s_pred,$B41))</f>
        <v>10.228571428571428</v>
      </c>
      <c r="E41" s="23">
        <f>IF(kf_n=0,0,C41/kf_n)</f>
        <v>0.1206896551724138</v>
      </c>
    </row>
    <row r="42" spans="1:5" ht="13" x14ac:dyDescent="0.3">
      <c r="A42" s="15" t="s">
        <v>211</v>
      </c>
      <c r="B42" s="34">
        <v>5</v>
      </c>
      <c r="C42" s="22">
        <f>COUNTIFS(x_inc,1,s_danger,dc_danger,s_pred,dc_pred,s_expo,dc_expo,g_size,dc_size,s_pred,$B42)</f>
        <v>12</v>
      </c>
      <c r="D42" s="24">
        <f>IF(C42=0,0,AVERAGEIFS(s_sleep,x_inc,1,s_danger,dc_danger,s_pred,dc_pred,s_expo,dc_expo,g_size,dc_size,s_pred,$B42))</f>
        <v>7.3833333333333329</v>
      </c>
      <c r="E42" s="23">
        <f>IF(kf_n=0,0,C42/kf_n)</f>
        <v>0.20689655172413793</v>
      </c>
    </row>
    <row r="45" spans="1:5" ht="14" x14ac:dyDescent="0.3">
      <c r="A45" s="16" t="s">
        <v>294</v>
      </c>
      <c r="B45" s="16"/>
      <c r="C45" s="16"/>
      <c r="D45" s="16"/>
      <c r="E45" s="16"/>
    </row>
    <row r="46" spans="1:5" ht="13" x14ac:dyDescent="0.25">
      <c r="A46" s="17" t="s">
        <v>199</v>
      </c>
      <c r="B46" s="17" t="s">
        <v>200</v>
      </c>
      <c r="C46" s="17" t="s">
        <v>158</v>
      </c>
      <c r="D46" s="17" t="s">
        <v>290</v>
      </c>
      <c r="E46" s="17" t="s">
        <v>291</v>
      </c>
    </row>
    <row r="47" spans="1:5" ht="13" x14ac:dyDescent="0.3">
      <c r="A47" s="15" t="str">
        <f>Settings!$C$23</f>
        <v>Tiny (&lt;1 kg)</v>
      </c>
      <c r="B47" s="34" t="str">
        <f>A47</f>
        <v>Tiny (&lt;1 kg)</v>
      </c>
      <c r="C47" s="22">
        <f>COUNTIFS(x_inc,1,s_danger,dc_danger,s_pred,dc_pred,s_expo,dc_expo,g_size,dc_size,g_size,$B47)</f>
        <v>20</v>
      </c>
      <c r="D47" s="24">
        <f>IF(C47=0,0,AVERAGEIFS(s_sleep,x_inc,1,s_danger,dc_danger,s_pred,dc_pred,s_expo,dc_expo,g_size,dc_size,g_size,$B47))</f>
        <v>12.940000000000001</v>
      </c>
      <c r="E47" s="23">
        <f>IF(kf_n=0,0,C47/kf_n)</f>
        <v>0.34482758620689657</v>
      </c>
    </row>
    <row r="48" spans="1:5" ht="13" x14ac:dyDescent="0.3">
      <c r="A48" s="15" t="str">
        <f>Settings!$C$24</f>
        <v>Small (1-10 kg)</v>
      </c>
      <c r="B48" s="34" t="str">
        <f>A48</f>
        <v>Small (1-10 kg)</v>
      </c>
      <c r="C48" s="22">
        <f>COUNTIFS(x_inc,1,s_danger,dc_danger,s_pred,dc_pred,s_expo,dc_expo,g_size,dc_size,g_size,$B48)</f>
        <v>19</v>
      </c>
      <c r="D48" s="24">
        <f>IF(C48=0,0,AVERAGEIFS(s_sleep,x_inc,1,s_danger,dc_danger,s_pred,dc_pred,s_expo,dc_expo,g_size,dc_size,g_size,$B48))</f>
        <v>11.142105263157896</v>
      </c>
      <c r="E48" s="23">
        <f>IF(kf_n=0,0,C48/kf_n)</f>
        <v>0.32758620689655171</v>
      </c>
    </row>
    <row r="49" spans="1:5" ht="13" x14ac:dyDescent="0.3">
      <c r="A49" s="15" t="str">
        <f>Settings!$C$25</f>
        <v>Medium (10-100 kg)</v>
      </c>
      <c r="B49" s="34" t="str">
        <f>A49</f>
        <v>Medium (10-100 kg)</v>
      </c>
      <c r="C49" s="22">
        <f>COUNTIFS(x_inc,1,s_danger,dc_danger,s_pred,dc_pred,s_expo,dc_expo,g_size,dc_size,g_size,$B49)</f>
        <v>10</v>
      </c>
      <c r="D49" s="24">
        <f>IF(C49=0,0,AVERAGEIFS(s_sleep,x_inc,1,s_danger,dc_danger,s_pred,dc_pred,s_expo,dc_expo,g_size,dc_size,g_size,$B49))</f>
        <v>8.59</v>
      </c>
      <c r="E49" s="23">
        <f>IF(kf_n=0,0,C49/kf_n)</f>
        <v>0.17241379310344829</v>
      </c>
    </row>
    <row r="50" spans="1:5" ht="13" x14ac:dyDescent="0.3">
      <c r="A50" s="15" t="str">
        <f>Settings!$C$26</f>
        <v>Large (100+ kg)</v>
      </c>
      <c r="B50" s="34" t="str">
        <f>A50</f>
        <v>Large (100+ kg)</v>
      </c>
      <c r="C50" s="22">
        <f>COUNTIFS(x_inc,1,s_danger,dc_danger,s_pred,dc_pred,s_expo,dc_expo,g_size,dc_size,g_size,$B50)</f>
        <v>9</v>
      </c>
      <c r="D50" s="24">
        <f>IF(C50=0,0,AVERAGEIFS(s_sleep,x_inc,1,s_danger,dc_danger,s_pred,dc_pred,s_expo,dc_expo,g_size,dc_size,g_size,$B50))</f>
        <v>6.0555555555555545</v>
      </c>
      <c r="E50" s="23">
        <f>IF(kf_n=0,0,C50/kf_n)</f>
        <v>0.15517241379310345</v>
      </c>
    </row>
    <row r="53" spans="1:5" ht="14" x14ac:dyDescent="0.3">
      <c r="A53" s="16" t="s">
        <v>295</v>
      </c>
      <c r="B53" s="16"/>
      <c r="C53" s="16"/>
      <c r="D53" s="16"/>
      <c r="E53" s="16"/>
    </row>
    <row r="54" spans="1:5" ht="13" x14ac:dyDescent="0.25">
      <c r="A54" s="17" t="s">
        <v>199</v>
      </c>
      <c r="B54" s="17" t="s">
        <v>200</v>
      </c>
      <c r="C54" s="17" t="s">
        <v>158</v>
      </c>
      <c r="D54" s="17" t="s">
        <v>290</v>
      </c>
      <c r="E54" s="17" t="s">
        <v>291</v>
      </c>
    </row>
    <row r="55" spans="1:5" ht="13" x14ac:dyDescent="0.3">
      <c r="A55" s="15" t="str">
        <f>Settings!$C$18</f>
        <v>Short (&lt;8h)</v>
      </c>
      <c r="B55" s="34" t="str">
        <f>A55</f>
        <v>Short (&lt;8h)</v>
      </c>
      <c r="C55" s="22">
        <f>COUNTIFS(x_inc,1,s_danger,dc_danger,s_pred,dc_pred,s_expo,dc_expo,g_size,dc_size,g_sleep,$B55)</f>
        <v>14</v>
      </c>
      <c r="D55" s="24">
        <f>IF(C55=0,0,AVERAGEIFS(s_sleep,x_inc,1,s_danger,dc_danger,s_pred,dc_pred,s_expo,dc_expo,g_size,dc_size,g_sleep,$B55))</f>
        <v>4.5142857142857142</v>
      </c>
      <c r="E55" s="23">
        <f>IF(kf_n=0,0,C55/kf_n)</f>
        <v>0.2413793103448276</v>
      </c>
    </row>
    <row r="56" spans="1:5" ht="13" x14ac:dyDescent="0.3">
      <c r="A56" s="15" t="str">
        <f>Settings!$C$19</f>
        <v>Medium (8-12h)</v>
      </c>
      <c r="B56" s="34" t="str">
        <f>A56</f>
        <v>Medium (8-12h)</v>
      </c>
      <c r="C56" s="22">
        <f>COUNTIFS(x_inc,1,s_danger,dc_danger,s_pred,dc_pred,s_expo,dc_expo,g_size,dc_size,g_sleep,$B56)</f>
        <v>22</v>
      </c>
      <c r="D56" s="24">
        <f>IF(C56=0,0,AVERAGEIFS(s_sleep,x_inc,1,s_danger,dc_danger,s_pred,dc_pred,s_expo,dc_expo,g_size,dc_size,g_sleep,$B56))</f>
        <v>9.6863636363636374</v>
      </c>
      <c r="E56" s="23">
        <f>IF(kf_n=0,0,C56/kf_n)</f>
        <v>0.37931034482758619</v>
      </c>
    </row>
    <row r="57" spans="1:5" ht="13" x14ac:dyDescent="0.3">
      <c r="A57" s="15" t="str">
        <f>Settings!$C$20</f>
        <v>Long (12h+)</v>
      </c>
      <c r="B57" s="34" t="str">
        <f>A57</f>
        <v>Long (12h+)</v>
      </c>
      <c r="C57" s="22">
        <f>COUNTIFS(x_inc,1,s_danger,dc_danger,s_pred,dc_pred,s_expo,dc_expo,g_size,dc_size,g_sleep,$B57)</f>
        <v>22</v>
      </c>
      <c r="D57" s="24">
        <f>IF(C57=0,0,AVERAGEIFS(s_sleep,x_inc,1,s_danger,dc_danger,s_pred,dc_pred,s_expo,dc_expo,g_size,dc_size,g_sleep,$B57))</f>
        <v>15.209090909090911</v>
      </c>
      <c r="E57" s="23">
        <f>IF(kf_n=0,0,C57/kf_n)</f>
        <v>0.37931034482758619</v>
      </c>
    </row>
    <row r="60" spans="1:5" ht="14" x14ac:dyDescent="0.3">
      <c r="A60" s="16" t="s">
        <v>296</v>
      </c>
      <c r="B60" s="16"/>
      <c r="C60" s="16"/>
      <c r="D60" s="16"/>
      <c r="E60" s="16"/>
    </row>
    <row r="61" spans="1:5" ht="13" x14ac:dyDescent="0.25">
      <c r="A61" s="17" t="s">
        <v>297</v>
      </c>
      <c r="B61" s="17" t="s">
        <v>298</v>
      </c>
      <c r="C61" s="17" t="s">
        <v>299</v>
      </c>
      <c r="D61" s="17" t="s">
        <v>158</v>
      </c>
    </row>
    <row r="62" spans="1:5" ht="13" x14ac:dyDescent="0.3">
      <c r="A62" s="15" t="s">
        <v>160</v>
      </c>
      <c r="B62" s="26">
        <v>2</v>
      </c>
      <c r="C62" s="27">
        <v>4</v>
      </c>
      <c r="D62" s="22">
        <f t="shared" ref="D62:D70" si="0">COUNTIFS(x_inc,1,s_danger,dc_danger,s_pred,dc_pred,s_expo,dc_expo,g_size,dc_size,s_sleep,"&gt;="&amp;B62,s_sleep,"&lt;"&amp;C62)</f>
        <v>8</v>
      </c>
    </row>
    <row r="63" spans="1:5" ht="13" x14ac:dyDescent="0.3">
      <c r="A63" s="15" t="s">
        <v>161</v>
      </c>
      <c r="B63" s="26">
        <v>4</v>
      </c>
      <c r="C63" s="27">
        <v>6</v>
      </c>
      <c r="D63" s="22">
        <f t="shared" si="0"/>
        <v>2</v>
      </c>
    </row>
    <row r="64" spans="1:5" ht="13" x14ac:dyDescent="0.3">
      <c r="A64" s="15" t="s">
        <v>162</v>
      </c>
      <c r="B64" s="26">
        <v>6</v>
      </c>
      <c r="C64" s="27">
        <v>8</v>
      </c>
      <c r="D64" s="22">
        <f t="shared" si="0"/>
        <v>4</v>
      </c>
    </row>
    <row r="65" spans="1:4" ht="13" x14ac:dyDescent="0.3">
      <c r="A65" s="15" t="s">
        <v>163</v>
      </c>
      <c r="B65" s="26">
        <v>8</v>
      </c>
      <c r="C65" s="27">
        <v>10</v>
      </c>
      <c r="D65" s="22">
        <f t="shared" si="0"/>
        <v>12</v>
      </c>
    </row>
    <row r="66" spans="1:4" ht="13" x14ac:dyDescent="0.3">
      <c r="A66" s="15" t="s">
        <v>164</v>
      </c>
      <c r="B66" s="26">
        <v>10</v>
      </c>
      <c r="C66" s="27">
        <v>12</v>
      </c>
      <c r="D66" s="22">
        <f t="shared" si="0"/>
        <v>10</v>
      </c>
    </row>
    <row r="67" spans="1:4" ht="13" x14ac:dyDescent="0.3">
      <c r="A67" s="15" t="s">
        <v>165</v>
      </c>
      <c r="B67" s="26">
        <v>12</v>
      </c>
      <c r="C67" s="27">
        <v>14</v>
      </c>
      <c r="D67" s="22">
        <f t="shared" si="0"/>
        <v>11</v>
      </c>
    </row>
    <row r="68" spans="1:4" ht="13" x14ac:dyDescent="0.3">
      <c r="A68" s="15" t="s">
        <v>166</v>
      </c>
      <c r="B68" s="26">
        <v>14</v>
      </c>
      <c r="C68" s="27">
        <v>16</v>
      </c>
      <c r="D68" s="22">
        <f t="shared" si="0"/>
        <v>3</v>
      </c>
    </row>
    <row r="69" spans="1:4" ht="13" x14ac:dyDescent="0.3">
      <c r="A69" s="15" t="s">
        <v>167</v>
      </c>
      <c r="B69" s="26">
        <v>16</v>
      </c>
      <c r="C69" s="27">
        <v>18</v>
      </c>
      <c r="D69" s="22">
        <f t="shared" si="0"/>
        <v>3</v>
      </c>
    </row>
    <row r="70" spans="1:4" ht="13" x14ac:dyDescent="0.3">
      <c r="A70" s="15" t="s">
        <v>168</v>
      </c>
      <c r="B70" s="26">
        <v>18</v>
      </c>
      <c r="C70" s="27">
        <v>20.010000000000002</v>
      </c>
      <c r="D70" s="22">
        <f t="shared" si="0"/>
        <v>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86</vt:i4>
      </vt:variant>
    </vt:vector>
  </HeadingPairs>
  <TitlesOfParts>
    <vt:vector size="99" baseType="lpstr">
      <vt:lpstr>Raw_Data</vt:lpstr>
      <vt:lpstr>Clean_1_Numeric</vt:lpstr>
      <vt:lpstr>Clean_2_Features</vt:lpstr>
      <vt:lpstr>Model_Data</vt:lpstr>
      <vt:lpstr>Settings</vt:lpstr>
      <vt:lpstr>Data_Quality</vt:lpstr>
      <vt:lpstr>Descriptive_Stats</vt:lpstr>
      <vt:lpstr>Correlation</vt:lpstr>
      <vt:lpstr>Group_Analysis</vt:lpstr>
      <vt:lpstr>Regression</vt:lpstr>
      <vt:lpstr>Sleep_Predictor</vt:lpstr>
      <vt:lpstr>Dashboard</vt:lpstr>
      <vt:lpstr>Dash_Calc</vt:lpstr>
      <vt:lpstr>alpha</vt:lpstr>
      <vt:lpstr>danger_lbl</vt:lpstr>
      <vt:lpstr>danger_lo</vt:lpstr>
      <vt:lpstr>dc_danger</vt:lpstr>
      <vt:lpstr>dc_expo</vt:lpstr>
      <vt:lpstr>dc_pred</vt:lpstr>
      <vt:lpstr>dc_size</vt:lpstr>
      <vt:lpstr>g_danger</vt:lpstr>
      <vt:lpstr>g_size</vt:lpstr>
      <vt:lpstr>g_sleep</vt:lpstr>
      <vt:lpstr>grand_mean</vt:lpstr>
      <vt:lpstr>grp_n</vt:lpstr>
      <vt:lpstr>kf_delta</vt:lpstr>
      <vt:lpstr>kf_gest</vt:lpstr>
      <vt:lpstr>kf_life</vt:lpstr>
      <vt:lpstr>kf_n</vt:lpstr>
      <vt:lpstr>kf_short</vt:lpstr>
      <vt:lpstr>kf_sleep</vt:lpstr>
      <vt:lpstr>l_body</vt:lpstr>
      <vt:lpstr>l_brain</vt:lpstr>
      <vt:lpstr>l_gest</vt:lpstr>
      <vt:lpstr>l_life</vt:lpstr>
      <vt:lpstr>lim_brain_max</vt:lpstr>
      <vt:lpstr>lim_gest_max</vt:lpstr>
      <vt:lpstr>lim_idx_max</vt:lpstr>
      <vt:lpstr>lim_idx_min</vt:lpstr>
      <vt:lpstr>lim_life_max</vt:lpstr>
      <vt:lpstr>lim_sleep_max</vt:lpstr>
      <vt:lpstr>lim_w_max</vt:lpstr>
      <vt:lpstr>lim_w_min</vt:lpstr>
      <vt:lpstr>list_danger</vt:lpstr>
      <vt:lpstr>list_expo</vt:lpstr>
      <vt:lpstr>list_pred</vt:lpstr>
      <vt:lpstr>list_size</vt:lpstr>
      <vt:lpstr>m_adjr2</vt:lpstr>
      <vt:lpstr>m_coef</vt:lpstr>
      <vt:lpstr>m_df</vt:lpstr>
      <vt:lpstr>m_F</vt:lpstr>
      <vt:lpstr>m_intercept</vt:lpstr>
      <vt:lpstr>m_n</vt:lpstr>
      <vt:lpstr>m_pF</vt:lpstr>
      <vt:lpstr>m_r2</vt:lpstr>
      <vt:lpstr>m_sdy</vt:lpstr>
      <vt:lpstr>m_se</vt:lpstr>
      <vt:lpstr>md_pred</vt:lpstr>
      <vt:lpstr>md_res</vt:lpstr>
      <vt:lpstr>md_X</vt:lpstr>
      <vt:lpstr>md_y</vt:lpstr>
      <vt:lpstr>p_d</vt:lpstr>
      <vt:lpstr>p_g</vt:lpstr>
      <vt:lpstr>p_l</vt:lpstr>
      <vt:lpstr>p_w</vt:lpstr>
      <vt:lpstr>raw_body_weight</vt:lpstr>
      <vt:lpstr>raw_brain_weight</vt:lpstr>
      <vt:lpstr>raw_danger_index</vt:lpstr>
      <vt:lpstr>raw_gestation_time</vt:lpstr>
      <vt:lpstr>raw_max_life_span</vt:lpstr>
      <vt:lpstr>raw_predation_index</vt:lpstr>
      <vt:lpstr>raw_sleep_exposure_index</vt:lpstr>
      <vt:lpstr>raw_total_sleep</vt:lpstr>
      <vt:lpstr>s_body</vt:lpstr>
      <vt:lpstr>s_brain</vt:lpstr>
      <vt:lpstr>s_complete</vt:lpstr>
      <vt:lpstr>s_danger</vt:lpstr>
      <vt:lpstr>s_expo</vt:lpstr>
      <vt:lpstr>s_gest</vt:lpstr>
      <vt:lpstr>s_hassleep</vt:lpstr>
      <vt:lpstr>s_life</vt:lpstr>
      <vt:lpstr>s_missing</vt:lpstr>
      <vt:lpstr>s_placeholders</vt:lpstr>
      <vt:lpstr>s_pred</vt:lpstr>
      <vt:lpstr>s_rangeok</vt:lpstr>
      <vt:lpstr>s_sleep</vt:lpstr>
      <vt:lpstr>size_lbl</vt:lpstr>
      <vt:lpstr>size_lo</vt:lpstr>
      <vt:lpstr>sleep_lbl</vt:lpstr>
      <vt:lpstr>sleep_lo</vt:lpstr>
      <vt:lpstr>thr_m</vt:lpstr>
      <vt:lpstr>thr_s</vt:lpstr>
      <vt:lpstr>thr_vs</vt:lpstr>
      <vt:lpstr>thr_w</vt:lpstr>
      <vt:lpstr>x_complete</vt:lpstr>
      <vt:lpstr>x_inc</vt:lpstr>
      <vt:lpstr>x_ratio</vt:lpstr>
      <vt:lpstr>x_seq</vt:lpstr>
      <vt:lpstr>x_sleepsq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Mammal sleep analysis</dc:title>
  <dc:subject/>
  <dc:creator>Claude</dc:creator>
  <dc:description>All analysis sheets are live formulas linked to Raw_Data.</dc:description>
  <cp:lastModifiedBy>user</cp:lastModifiedBy>
  <cp:revision>1</cp:revision>
  <dcterms:created xsi:type="dcterms:W3CDTF">2026-10-18T14:14:32Z</dcterms:created>
  <dcterms:modified xsi:type="dcterms:W3CDTF">2026-10-18T15:58:00Z</dcterms:modified>
  <dc:language>en-US</dc:language>
</cp:coreProperties>
</file>