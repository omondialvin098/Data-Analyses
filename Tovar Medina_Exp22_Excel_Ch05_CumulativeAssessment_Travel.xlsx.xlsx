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DE67321-B66E-4882-B1F6-19C8E9CF1438}" xr6:coauthVersionLast="47" xr6:coauthVersionMax="47" xr10:uidLastSave="{00000000-0000-0000-0000-000000000000}"/>
  <bookViews>
    <workbookView xWindow="-110" yWindow="-110" windowWidth="19420" windowHeight="11020" activeTab="3" xr2:uid="{00000000-000D-0000-FFFF-FFFF00000000}"/>
  </bookViews>
  <sheets>
    <sheet name="Subtotals" sheetId="2" r:id="rId1"/>
    <sheet name="Expenses" sheetId="1" r:id="rId2"/>
    <sheet name="Summary" sheetId="3" r:id="rId3"/>
    <sheet name="Totals" sheetId="5" r:id="rId4"/>
    <sheet name="Chart" sheetId="7" r:id="rId5"/>
  </sheets>
  <definedNames>
    <definedName name="Slicer_Employee">#N/A</definedName>
  </definedNames>
  <calcPr calcId="191029"/>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 i="2" l="1"/>
  <c r="A25" i="2"/>
  <c r="A19" i="2"/>
  <c r="A13" i="2"/>
  <c r="A7" i="2"/>
  <c r="F1" i="1"/>
  <c r="A32" i="2" l="1"/>
</calcChain>
</file>

<file path=xl/sharedStrings.xml><?xml version="1.0" encoding="utf-8"?>
<sst xmlns="http://schemas.openxmlformats.org/spreadsheetml/2006/main" count="129" uniqueCount="24">
  <si>
    <t>Abbott</t>
  </si>
  <si>
    <t>Miller</t>
  </si>
  <si>
    <t>Overton</t>
  </si>
  <si>
    <t>Hart</t>
  </si>
  <si>
    <t>Hotel</t>
  </si>
  <si>
    <t>Registration</t>
  </si>
  <si>
    <t>Airfare</t>
  </si>
  <si>
    <t>Meals</t>
  </si>
  <si>
    <t>Misc</t>
  </si>
  <si>
    <t>Employee</t>
  </si>
  <si>
    <t>Category</t>
  </si>
  <si>
    <t>Expense</t>
  </si>
  <si>
    <t>Davidson</t>
  </si>
  <si>
    <t>Total</t>
  </si>
  <si>
    <t>Abbott Total</t>
  </si>
  <si>
    <t>Davidson Total</t>
  </si>
  <si>
    <t>Hart Total</t>
  </si>
  <si>
    <t>Miller Total</t>
  </si>
  <si>
    <t>Overton Total</t>
  </si>
  <si>
    <t>Grand Total</t>
  </si>
  <si>
    <t>Row Labels</t>
  </si>
  <si>
    <t>Average Expense</t>
  </si>
  <si>
    <t>Totals</t>
  </si>
  <si>
    <t>Above or Below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</si>
</sst>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3">
    <xf numFmtId="0" fontId="0"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cellStyleXfs>
  <cellXfs count="15">
    <xf numFmtId="0" fontId="0" fillId="0" borderId="0" xfId="0"/>
    <xf numFmtId="0" fontId="1" fillId="0" borderId="0" xfId="14"/>
    <xf numFmtId="0" fontId="1" fillId="0" borderId="0" xfId="15"/>
    <xf numFmtId="0" fontId="2" fillId="0" borderId="0" xfId="16" applyFont="1"/>
    <xf numFmtId="0" fontId="2" fillId="0" borderId="0" xfId="17" applyFont="1"/>
    <xf numFmtId="44" fontId="0" fillId="0" borderId="0" xfId="18" applyNumberFormat="1" applyFont="1"/>
    <xf numFmtId="44" fontId="0" fillId="0" borderId="0" xfId="19" applyNumberFormat="1" applyFont="1"/>
    <xf numFmtId="44" fontId="0" fillId="0" borderId="0" xfId="20" applyFont="1"/>
    <xf numFmtId="0" fontId="2" fillId="0" borderId="0" xfId="21" applyFont="1"/>
    <xf numFmtId="44" fontId="0" fillId="0" borderId="0" xfId="22" applyNumberFormat="1" applyFont="1"/>
    <xf numFmtId="0" fontId="2" fillId="0" borderId="0" xfId="14"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wrapText="1"/>
    </xf>
  </cellXfs>
  <cellStyles count="23">
    <cellStyle name="+RZMrv230GRhzVHpB6oNNfZ1x5MwfaMsPff7IPhYUY9rJBMmqHVc3yQ33sxTmCtfT8b0lmws8DB+cNbfCJn35fXr3YGfhKUo-~qzwRwINiAwZP3nVkSX1lPw==" xfId="17" xr:uid="{00000000-0005-0000-0000-000002000000}"/>
    <cellStyle name="+T3CYQrmc0aGwZCUDpJB9sZ/mX4AfCVuqkIzsIEnjSRXyxdhbHfBPkvBZxrqv40eC9gPgjDNEUEUGb3MRv8KFSk63tSQbq2a-~HH70H5pA+09Zx9Z1XW6V9A==" xfId="15" xr:uid="{00000000-0005-0000-0000-000002000000}"/>
    <cellStyle name="2VMGzSWxQveib3zct56MsbXgJnwW6xW0QlTxg1naPVvCgE0qizU6cvHXDA1eY+1dR+cVpcTB6caV0KidR4+ovetaeQIw1U+Y-~/fi7p/Tb/gnLIaXLhG1lzw==" xfId="8" xr:uid="{00000000-0005-0000-0000-000002000000}"/>
    <cellStyle name="377ftDyKSbDFFRNxr5RO2htkTWQsw6IACu408gzl4HyZ+7Junkjo4u+eWmA5QSCYkWg748G3YPxQtfTHHKHn8IRXtpD2/M0n-~wFIMOgNqTVgJrlmkEH33Tg==" xfId="19" xr:uid="{00000000-0005-0000-0000-000002000000}"/>
    <cellStyle name="4jwnqSXgL/7+6ChdRP2/htP9wn2t+UYr2/97HC83RGwx2CHwSCrQ1khRV4Pa7cKJ2TwovWCJ5PjAuFB1mYrM+ZiBPklk5CBU-~wg8asR5qcUHwjZ26TDr7PQ==" xfId="18" xr:uid="{00000000-0005-0000-0000-000002000000}"/>
    <cellStyle name="5a7Ub1ONSxufqPwYAYg00amr95V42ipzp3bYGf0KTBUeubuBiDuWrul+SA1z0FKoFrq4123AdfwUeSGPJF7rFphTLMVFr1ga-~a1zCjc25Q0nlsKZGGd4+Sg==" xfId="11" xr:uid="{00000000-0005-0000-0000-000002000000}"/>
    <cellStyle name="8vI1EmrYZM9AMNJFn7ScZmhUpfK99Tu1rG2Rvq21jMfp+pr+HwRl77SkugP920Faj4SUx8pr5AhOrQstbOSqs6ZsA9BqC+Ik-~Mt8o6IckCjF2KS8UcQOP2g==" xfId="20" xr:uid="{00000000-0005-0000-0000-000015000000}"/>
    <cellStyle name="ATMKFmxMFtsLbbdgn1oMTTObKZRVB1VABmPrhzFpKrqbpkDhP55mKGvyJaoalWscKi7Uwf5UEtNV253eI8danhHDV4BVFu7b-~SD0xww4wVX3tW1Kcw7Vd2g==" xfId="7" xr:uid="{00000000-0005-0000-0000-000002000000}"/>
    <cellStyle name="cRxGwUdF4RKlzK+kutQfkW4A85RXXE0oRZO/eWDomBAbPdCIpGfMXTBeg0CZlQmo+phAQwx19TrapViA04QdqEZ39i6Ktcl+-~nygQMCFdJgU1Xj8R3jWvbw==" xfId="10" xr:uid="{00000000-0005-0000-0000-000002000000}"/>
    <cellStyle name="Custom Style 1" xfId="1" xr:uid="{00000000-0005-0000-0000-000002000000}"/>
    <cellStyle name="Custom Style 2" xfId="2" xr:uid="{00000000-0005-0000-0000-000006000000}"/>
    <cellStyle name="eZPZjRg8HDVxGLbFte001zLiJ7rV+XPUO8bZpyFjQMlP+Cka+QzpqxKhc6L5j1hlL4Z6zhHB5I5afY6QPyg1EI8YrywrQaG9-~LbMnaxaZwgsXeL0bEP2Abg==" xfId="4" xr:uid="{00000000-0005-0000-0000-000002000000}"/>
    <cellStyle name="fiYcf4rgkNtrh6KV24OBcqbWugXFnVuErMIkxfNB/Ndysr7IRAh5odBX+sUk5/M0GefLPzN+TD/s0KzFvNyyZ/+Sgljsrfac-~guehbjOt9ELtOngmf7MxnQ==" xfId="5" xr:uid="{00000000-0005-0000-0000-000002000000}"/>
    <cellStyle name="fxSsTbvMLM8D6V+MTKhh3VmFL8Vl9qtWh7HmEu5NgfKj83u0vJfd3frHR6u7Fi8KfYmKAFJ44O5cG9X5Zg1Y5df3wOpvo8KY-~DPzy6O/hKCBQcZjy+C1VBw==" xfId="21" xr:uid="{00000000-0005-0000-0000-000002000000}"/>
    <cellStyle name="Jv+snJiCukLAlEAjplmFzVItTWBItaEEZJdSTvuqVnowu7MQEgLRXBm9YtSHkJYDvk6z60ZLqecsP4fIMyP1uy1mz6mbwLvc-~u4IwUQG9tYhq5xFRuQZOXQ==" xfId="6" xr:uid="{00000000-0005-0000-0000-000002000000}"/>
    <cellStyle name="Normal" xfId="0" builtinId="0"/>
    <cellStyle name="qDFt/zam4oazsvumqLXgDf38pSWxQGNG6pTllF61rZ+lQT0dMVYZ7Eq6HXrKq7CdZOEjEJpOJw64dfRvKH8jo8UXBZgAVtbJ-~eL5TnVazfyMPnaJ+HaKr2Q==" xfId="16" xr:uid="{00000000-0005-0000-0000-000002000000}"/>
    <cellStyle name="weVJEWxQFp4e7nmJVIJANiiky0HIVpIofm8i88ia0rV7dl5afJeuGvMsuChX2c+iSxPX+OEZdDqvkJBpybstc2JF85AXFcXa-~+N9QF1AybRRdrWhkF9bv1A==" xfId="3" xr:uid="{00000000-0005-0000-0000-000004000000}"/>
    <cellStyle name="WouGOct7bBE2CRMZt1a4omh8Ezs1R+XTGSuke3IBSO/d+aDN4mDag8GG582YWkJLDV1kGxsQxtyWW6PqoGUoFB0kQnAJmPmQ-~LoZOkKSIRX2Fjw2D6HW8Gw==" xfId="12" xr:uid="{00000000-0005-0000-0000-00000D000000}"/>
    <cellStyle name="y6hs7ta9IKFr5HOChtvHpOwa0dGkFxgPVuTolvxNUgoBJ2xxFd58bciR3FWMG4eNjWJw3IG5XNcVXw8gMa+e7paTWWPDQMqG-~QhSwx70CFRqDNnWsGWAoSQ==" xfId="22" xr:uid="{00000000-0005-0000-0000-000002000000}"/>
    <cellStyle name="ZbZroWHMUt1Oty/lFLXMsW2aivBiugovXYzig1RKYuqyS9iTEG+BBu1bly9c4KzgsQZTqCpkZQbX2DdlHsvajvAJtrFGzJ8v-~kpwKduZzjWPbeoCluMO6+w==" xfId="13" xr:uid="{00000000-0005-0000-0000-000002000000}"/>
    <cellStyle name="Zc7P1jpmlC8MmkPSYLnFVycdDHvt+eqJksmiOX5hD5O9otnyMO6j5UYT+WiiCfqlly0xvK0JagI9F9286I7YSdXkC/SnVAgb-~qG8mrbn25R6/32+MpDS98A==" xfId="9" xr:uid="{00000000-0005-0000-0000-00000A000000}"/>
    <cellStyle name="ZOuld/yn15WCKe5PzWHNVVn6zFByPHruoKnKK4fbHEjlly5fB54H4GceyZ9FfJ27IlFtrpEb2X9I6wfsFuDqWjZstpyEiITm-~bSUDdHaM6PKCekvZOQWoaw==" xfId="14" xr:uid="{00000000-0005-0000-0000-00000F000000}"/>
  </cellStyles>
  <dxfs count="2">
    <dxf>
      <alignment wrapText="1"/>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chartsheet" Target="chart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[Tovar Medina_Exp22_Excel_Ch05_CumulativeAssessment_Travel.xlsx.xlsx]Totals!Employees</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Expenses by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Totals!$B$3</c:f>
              <c:strCache>
                <c:ptCount val="1"/>
                <c:pt idx="0">
                  <c:v>Totals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Totals!$A$4:$A$9</c:f>
              <c:strCache>
                <c:ptCount val="5"/>
                <c:pt idx="0">
                  <c:v>Overton</c:v>
                </c:pt>
                <c:pt idx="1">
                  <c:v>Abbott</c:v>
                </c:pt>
                <c:pt idx="2">
                  <c:v>Hart</c:v>
                </c:pt>
                <c:pt idx="3">
                  <c:v>Davidson</c:v>
                </c:pt>
                <c:pt idx="4">
                  <c:v>Miller</c:v>
                </c:pt>
              </c:strCache>
            </c:strRef>
          </c:cat>
          <c:val>
            <c:numRef>
              <c:f>Totals!$B$4:$B$9</c:f>
              <c:numCache>
                <c:formatCode>_("$"* #,##0.00_);_("$"* \(#,##0.00\);_("$"* "-"??_);_(@_)</c:formatCode>
                <c:ptCount val="5"/>
                <c:pt idx="0">
                  <c:v>3215.96</c:v>
                </c:pt>
                <c:pt idx="1">
                  <c:v>2805.07</c:v>
                </c:pt>
                <c:pt idx="2">
                  <c:v>2643.45</c:v>
                </c:pt>
                <c:pt idx="3">
                  <c:v>2496.13</c:v>
                </c:pt>
                <c:pt idx="4">
                  <c:v>2253.0100000000002</c:v>
                </c:pt>
              </c:numCache>
            </c:numRef>
          </c:val>
          <c:extLst>
            <c:ext xmlns:c16="http://schemas.microsoft.com/office/drawing/2014/chart" uri="{C3380CC4-5D6E-409C-BE32-E72D297353CC}">
              <c16:uniqueId val="{00000000-F817-474E-8EBB-3DB763C69097}"/>
            </c:ext>
          </c:extLst>
        </c:ser>
        <c:ser>
          <c:idx val="1"/>
          <c:order val="1"/>
          <c:tx>
            <c:strRef>
              <c:f>Totals!$C$3</c:f>
              <c:strCache>
                <c:ptCount val="1"/>
                <c:pt idx="0">
                  <c:v>Above or Below Average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Totals!$A$4:$A$9</c:f>
              <c:strCache>
                <c:ptCount val="5"/>
                <c:pt idx="0">
                  <c:v>Overton</c:v>
                </c:pt>
                <c:pt idx="1">
                  <c:v>Abbott</c:v>
                </c:pt>
                <c:pt idx="2">
                  <c:v>Hart</c:v>
                </c:pt>
                <c:pt idx="3">
                  <c:v>Davidson</c:v>
                </c:pt>
                <c:pt idx="4">
                  <c:v>Miller</c:v>
                </c:pt>
              </c:strCache>
            </c:strRef>
          </c:cat>
          <c:val>
            <c:numRef>
              <c:f>Totals!$C$4:$C$9</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F817-474E-8EBB-3DB763C69097}"/>
            </c:ext>
          </c:extLst>
        </c:ser>
        <c:dLbls>
          <c:showLegendKey val="0"/>
          <c:showVal val="0"/>
          <c:showCatName val="0"/>
          <c:showSerName val="0"/>
          <c:showPercent val="0"/>
          <c:showBubbleSize val="0"/>
        </c:dLbls>
        <c:gapWidth val="100"/>
        <c:overlap val="-24"/>
        <c:axId val="1319331887"/>
        <c:axId val="1319336687"/>
      </c:barChart>
      <c:catAx>
        <c:axId val="1319331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36687"/>
        <c:crosses val="autoZero"/>
        <c:auto val="1"/>
        <c:lblAlgn val="ctr"/>
        <c:lblOffset val="100"/>
        <c:noMultiLvlLbl val="0"/>
      </c:catAx>
      <c:valAx>
        <c:axId val="13193366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1933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697529-4D61-44C5-86E7-37E4660184A0}">
  <sheetPr/>
  <sheetViews>
    <sheetView zoomScale="62"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9</xdr:row>
      <xdr:rowOff>0</xdr:rowOff>
    </xdr:from>
    <xdr:to>
      <xdr:col>2</xdr:col>
      <xdr:colOff>38100</xdr:colOff>
      <xdr:row>22</xdr:row>
      <xdr:rowOff>130175</xdr:rowOff>
    </xdr:to>
    <mc:AlternateContent xmlns:mc="http://schemas.openxmlformats.org/markup-compatibility/2006" xmlns:a14="http://schemas.microsoft.com/office/drawing/2010/main">
      <mc:Choice Requires="a14">
        <xdr:graphicFrame macro="">
          <xdr:nvGraphicFramePr>
            <xdr:cNvPr id="2" name="Employee">
              <a:extLst>
                <a:ext uri="{FF2B5EF4-FFF2-40B4-BE49-F238E27FC236}">
                  <a16:creationId xmlns:a16="http://schemas.microsoft.com/office/drawing/2014/main" id="{F1614AA6-B84B-3AE0-0DB2-676B78C3802C}"/>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6350" y="165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58175" cy="6289524"/>
    <xdr:graphicFrame macro="">
      <xdr:nvGraphicFramePr>
        <xdr:cNvPr id="2" name="Chart 1">
          <a:extLst>
            <a:ext uri="{FF2B5EF4-FFF2-40B4-BE49-F238E27FC236}">
              <a16:creationId xmlns:a16="http://schemas.microsoft.com/office/drawing/2014/main" id="{3075B341-0847-DEFF-9DE1-F1936C9496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7.744691203705" createdVersion="8" refreshedVersion="8" minRefreshableVersion="3" recordCount="25" xr:uid="{0A5F0C3C-57FD-4E61-8E0F-F9FD1536812C}">
  <cacheSource type="worksheet">
    <worksheetSource ref="A1:C26" sheet="Expenses"/>
  </cacheSource>
  <cacheFields count="5">
    <cacheField name="Employee" numFmtId="0">
      <sharedItems count="5">
        <s v="Davidson"/>
        <s v="Miller"/>
        <s v="Hart"/>
        <s v="Abbott"/>
        <s v="Overton"/>
      </sharedItems>
    </cacheField>
    <cacheField name="Category" numFmtId="0">
      <sharedItems count="5">
        <s v="Misc"/>
        <s v="Airfare"/>
        <s v="Meals"/>
        <s v="Registration"/>
        <s v="Hotel"/>
      </sharedItems>
    </cacheField>
    <cacheField name="Expense" numFmtId="44">
      <sharedItems containsSemiMixedTypes="0" containsString="0" containsNumber="1" minValue="93.28" maxValue="1283.5"/>
    </cacheField>
    <cacheField name="Field1" numFmtId="0" formula="&quot;Totals&quot;- 2659.72" databaseField="0"/>
    <cacheField name="Field2" numFmtId="0" formula="&quot;Totals&quot;-2659.72" databaseField="0"/>
  </cacheFields>
  <extLst>
    <ext xmlns:x14="http://schemas.microsoft.com/office/spreadsheetml/2009/9/main" uri="{725AE2AE-9491-48be-B2B4-4EB974FC3084}">
      <x14:pivotCacheDefinition pivotCacheId="1716268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93.28"/>
  </r>
  <r>
    <x v="1"/>
    <x v="0"/>
    <n v="113.64"/>
  </r>
  <r>
    <x v="2"/>
    <x v="0"/>
    <n v="114.9"/>
  </r>
  <r>
    <x v="3"/>
    <x v="0"/>
    <n v="123.41"/>
  </r>
  <r>
    <x v="4"/>
    <x v="0"/>
    <n v="124.64"/>
  </r>
  <r>
    <x v="1"/>
    <x v="1"/>
    <n v="400"/>
  </r>
  <r>
    <x v="3"/>
    <x v="2"/>
    <n v="285.32"/>
  </r>
  <r>
    <x v="1"/>
    <x v="2"/>
    <n v="304.12"/>
  </r>
  <r>
    <x v="0"/>
    <x v="2"/>
    <n v="324.08"/>
  </r>
  <r>
    <x v="2"/>
    <x v="1"/>
    <n v="327.95"/>
  </r>
  <r>
    <x v="2"/>
    <x v="2"/>
    <n v="340.76"/>
  </r>
  <r>
    <x v="4"/>
    <x v="2"/>
    <n v="374.82"/>
  </r>
  <r>
    <x v="0"/>
    <x v="1"/>
    <n v="423.99"/>
  </r>
  <r>
    <x v="0"/>
    <x v="3"/>
    <n v="450"/>
  </r>
  <r>
    <x v="3"/>
    <x v="3"/>
    <n v="595"/>
  </r>
  <r>
    <x v="1"/>
    <x v="3"/>
    <n v="595"/>
  </r>
  <r>
    <x v="4"/>
    <x v="1"/>
    <n v="658"/>
  </r>
  <r>
    <x v="3"/>
    <x v="1"/>
    <n v="750.2"/>
  </r>
  <r>
    <x v="4"/>
    <x v="3"/>
    <n v="775"/>
  </r>
  <r>
    <x v="1"/>
    <x v="4"/>
    <n v="840.25"/>
  </r>
  <r>
    <x v="2"/>
    <x v="4"/>
    <n v="864.84"/>
  </r>
  <r>
    <x v="2"/>
    <x v="3"/>
    <n v="995"/>
  </r>
  <r>
    <x v="3"/>
    <x v="4"/>
    <n v="1051.1400000000001"/>
  </r>
  <r>
    <x v="0"/>
    <x v="4"/>
    <n v="1204.78"/>
  </r>
  <r>
    <x v="4"/>
    <x v="4"/>
    <n v="128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E8724-EC5E-4018-9AA2-C6689F8DDF21}"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3:B8" firstHeaderRow="1" firstDataRow="1" firstDataCol="1"/>
  <pivotFields count="5">
    <pivotField showAll="0">
      <items count="6">
        <item x="3"/>
        <item x="0"/>
        <item x="2"/>
        <item x="1"/>
        <item x="4"/>
        <item t="default"/>
      </items>
    </pivotField>
    <pivotField axis="axisRow" showAll="0">
      <items count="6">
        <item x="1"/>
        <item x="4"/>
        <item x="2"/>
        <item x="0"/>
        <item x="3"/>
        <item t="default"/>
      </items>
    </pivotField>
    <pivotField dataField="1" numFmtId="44" showAll="0"/>
    <pivotField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Average Expense" fld="2" subtotal="average" baseField="1" baseItem="0" numFmtId="44"/>
  </dataFields>
  <formats count="1">
    <format dxfId="1">
      <pivotArea outline="0" collapsedLevelsAreSubtotals="1" fieldPosition="0"/>
    </format>
  </formats>
  <pivotTableStyleInfo name="PivotStyleDark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4566B-C2C9-46A6-B14D-97918251743D}" name="Employe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5">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dataField="1" numFmtId="44" showAll="0"/>
    <pivotField dragToRow="0" dragToCol="0" dragToPage="0" showAll="0" defaultSubtotal="0"/>
    <pivotField dataField="1" dragToRow="0" dragToCol="0" dragToPage="0" showAll="0" defaultSubtotal="0"/>
  </pivotFields>
  <rowFields count="1">
    <field x="0"/>
  </rowFields>
  <rowItems count="6">
    <i>
      <x v="4"/>
    </i>
    <i>
      <x/>
    </i>
    <i>
      <x v="2"/>
    </i>
    <i>
      <x v="1"/>
    </i>
    <i>
      <x v="3"/>
    </i>
    <i t="grand">
      <x/>
    </i>
  </rowItems>
  <colFields count="1">
    <field x="-2"/>
  </colFields>
  <colItems count="2">
    <i>
      <x/>
    </i>
    <i i="1">
      <x v="1"/>
    </i>
  </colItems>
  <dataFields count="2">
    <dataField name="Totals" fld="2" baseField="0" baseItem="4" numFmtId="44"/>
    <dataField name="Above or Below Average" fld="4" baseField="0" baseItem="4"/>
  </dataFields>
  <formats count="1">
    <format dxfId="0">
      <pivotArea dataOnly="0" labelOnly="1" outline="0" fieldPosition="0">
        <references count="1">
          <reference field="4294967294" count="1">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96D74AF1-76CF-4C29-86BF-B00CFFA8CC84}" sourceName="Employee">
  <pivotTables>
    <pivotTable tabId="3" name="PivotTable1"/>
  </pivotTables>
  <data>
    <tabular pivotCacheId="1716268556">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4718457B-B8B5-4E1C-B357-99E52006DC9C}" cache="Slicer_Employee" caption="Employee" style="SlicerStyleLight5" rowHeight="1828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opLeftCell="A15" workbookViewId="0">
      <selection activeCell="B21" sqref="B21"/>
    </sheetView>
  </sheetViews>
  <sheetFormatPr defaultRowHeight="14.5" outlineLevelRow="2" x14ac:dyDescent="0.35"/>
  <cols>
    <col min="1" max="2" width="11.7265625" customWidth="1"/>
    <col min="3" max="3" width="11.7265625" bestFit="1" customWidth="1"/>
  </cols>
  <sheetData>
    <row r="1" spans="1:3" x14ac:dyDescent="0.35">
      <c r="A1" s="4" t="s">
        <v>11</v>
      </c>
      <c r="B1" s="3" t="s">
        <v>9</v>
      </c>
      <c r="C1" s="4" t="s">
        <v>10</v>
      </c>
    </row>
    <row r="2" spans="1:3" outlineLevel="2" x14ac:dyDescent="0.35">
      <c r="A2" s="5">
        <v>750.2</v>
      </c>
      <c r="B2" s="1" t="s">
        <v>0</v>
      </c>
      <c r="C2" s="2" t="s">
        <v>6</v>
      </c>
    </row>
    <row r="3" spans="1:3" outlineLevel="2" x14ac:dyDescent="0.35">
      <c r="A3" s="6">
        <v>1051.1400000000001</v>
      </c>
      <c r="B3" s="1" t="s">
        <v>0</v>
      </c>
      <c r="C3" s="2" t="s">
        <v>4</v>
      </c>
    </row>
    <row r="4" spans="1:3" outlineLevel="2" x14ac:dyDescent="0.35">
      <c r="A4" s="6">
        <v>285.32</v>
      </c>
      <c r="B4" s="1" t="s">
        <v>0</v>
      </c>
      <c r="C4" s="2" t="s">
        <v>7</v>
      </c>
    </row>
    <row r="5" spans="1:3" outlineLevel="2" x14ac:dyDescent="0.35">
      <c r="A5" s="5">
        <v>123.41</v>
      </c>
      <c r="B5" s="1" t="s">
        <v>0</v>
      </c>
      <c r="C5" s="2" t="s">
        <v>8</v>
      </c>
    </row>
    <row r="6" spans="1:3" outlineLevel="2" x14ac:dyDescent="0.35">
      <c r="A6" s="6">
        <v>595</v>
      </c>
      <c r="B6" s="1" t="s">
        <v>0</v>
      </c>
      <c r="C6" s="2" t="s">
        <v>5</v>
      </c>
    </row>
    <row r="7" spans="1:3" outlineLevel="1" x14ac:dyDescent="0.35">
      <c r="A7" s="6">
        <f>SUBTOTAL(9,A2:A6)</f>
        <v>2805.07</v>
      </c>
      <c r="B7" s="10" t="s">
        <v>14</v>
      </c>
      <c r="C7" s="2"/>
    </row>
    <row r="8" spans="1:3" hidden="1" outlineLevel="2" x14ac:dyDescent="0.35">
      <c r="A8" s="6">
        <v>423.99</v>
      </c>
      <c r="B8" s="1" t="s">
        <v>12</v>
      </c>
      <c r="C8" s="2" t="s">
        <v>6</v>
      </c>
    </row>
    <row r="9" spans="1:3" hidden="1" outlineLevel="2" x14ac:dyDescent="0.35">
      <c r="A9" s="5">
        <v>1204.78</v>
      </c>
      <c r="B9" s="1" t="s">
        <v>12</v>
      </c>
      <c r="C9" s="2" t="s">
        <v>4</v>
      </c>
    </row>
    <row r="10" spans="1:3" hidden="1" outlineLevel="2" x14ac:dyDescent="0.35">
      <c r="A10" s="6">
        <v>324.08</v>
      </c>
      <c r="B10" s="1" t="s">
        <v>12</v>
      </c>
      <c r="C10" s="2" t="s">
        <v>7</v>
      </c>
    </row>
    <row r="11" spans="1:3" hidden="1" outlineLevel="2" x14ac:dyDescent="0.35">
      <c r="A11" s="6">
        <v>93.28</v>
      </c>
      <c r="B11" s="1" t="s">
        <v>12</v>
      </c>
      <c r="C11" s="2" t="s">
        <v>8</v>
      </c>
    </row>
    <row r="12" spans="1:3" hidden="1" outlineLevel="2" x14ac:dyDescent="0.35">
      <c r="A12" s="5">
        <v>450</v>
      </c>
      <c r="B12" s="1" t="s">
        <v>12</v>
      </c>
      <c r="C12" s="2" t="s">
        <v>5</v>
      </c>
    </row>
    <row r="13" spans="1:3" outlineLevel="1" collapsed="1" x14ac:dyDescent="0.35">
      <c r="A13" s="5">
        <f>SUBTOTAL(9,A8:A12)</f>
        <v>2496.13</v>
      </c>
      <c r="B13" s="10" t="s">
        <v>15</v>
      </c>
      <c r="C13" s="2"/>
    </row>
    <row r="14" spans="1:3" outlineLevel="2" x14ac:dyDescent="0.35">
      <c r="A14" s="5">
        <v>327.95</v>
      </c>
      <c r="B14" s="1" t="s">
        <v>3</v>
      </c>
      <c r="C14" s="2" t="s">
        <v>6</v>
      </c>
    </row>
    <row r="15" spans="1:3" outlineLevel="2" x14ac:dyDescent="0.35">
      <c r="A15" s="6">
        <v>864.84</v>
      </c>
      <c r="B15" s="1" t="s">
        <v>3</v>
      </c>
      <c r="C15" s="2" t="s">
        <v>4</v>
      </c>
    </row>
    <row r="16" spans="1:3" outlineLevel="2" x14ac:dyDescent="0.35">
      <c r="A16" s="6">
        <v>340.76</v>
      </c>
      <c r="B16" s="1" t="s">
        <v>3</v>
      </c>
      <c r="C16" s="2" t="s">
        <v>7</v>
      </c>
    </row>
    <row r="17" spans="1:3" outlineLevel="2" x14ac:dyDescent="0.35">
      <c r="A17" s="6">
        <v>114.9</v>
      </c>
      <c r="B17" s="1" t="s">
        <v>3</v>
      </c>
      <c r="C17" s="2" t="s">
        <v>8</v>
      </c>
    </row>
    <row r="18" spans="1:3" outlineLevel="2" x14ac:dyDescent="0.35">
      <c r="A18" s="5">
        <v>995</v>
      </c>
      <c r="B18" s="1" t="s">
        <v>3</v>
      </c>
      <c r="C18" s="2" t="s">
        <v>5</v>
      </c>
    </row>
    <row r="19" spans="1:3" outlineLevel="1" x14ac:dyDescent="0.35">
      <c r="A19" s="5">
        <f>SUBTOTAL(9,A14:A18)</f>
        <v>2643.45</v>
      </c>
      <c r="B19" s="10" t="s">
        <v>16</v>
      </c>
      <c r="C19" s="2"/>
    </row>
    <row r="20" spans="1:3" hidden="1" outlineLevel="2" x14ac:dyDescent="0.35">
      <c r="A20" s="5">
        <v>400</v>
      </c>
      <c r="B20" s="1" t="s">
        <v>1</v>
      </c>
      <c r="C20" s="2" t="s">
        <v>6</v>
      </c>
    </row>
    <row r="21" spans="1:3" hidden="1" outlineLevel="2" x14ac:dyDescent="0.35">
      <c r="A21" s="5">
        <v>840.25</v>
      </c>
      <c r="B21" s="1" t="s">
        <v>1</v>
      </c>
      <c r="C21" s="2" t="s">
        <v>4</v>
      </c>
    </row>
    <row r="22" spans="1:3" hidden="1" outlineLevel="2" x14ac:dyDescent="0.35">
      <c r="A22" s="5">
        <v>304.12</v>
      </c>
      <c r="B22" s="1" t="s">
        <v>1</v>
      </c>
      <c r="C22" s="2" t="s">
        <v>7</v>
      </c>
    </row>
    <row r="23" spans="1:3" hidden="1" outlineLevel="2" x14ac:dyDescent="0.35">
      <c r="A23" s="5">
        <v>113.64</v>
      </c>
      <c r="B23" s="1" t="s">
        <v>1</v>
      </c>
      <c r="C23" s="2" t="s">
        <v>8</v>
      </c>
    </row>
    <row r="24" spans="1:3" hidden="1" outlineLevel="2" x14ac:dyDescent="0.35">
      <c r="A24" s="5">
        <v>595</v>
      </c>
      <c r="B24" s="1" t="s">
        <v>1</v>
      </c>
      <c r="C24" s="2" t="s">
        <v>5</v>
      </c>
    </row>
    <row r="25" spans="1:3" outlineLevel="1" collapsed="1" x14ac:dyDescent="0.35">
      <c r="A25" s="5">
        <f>SUBTOTAL(9,A20:A24)</f>
        <v>2253.0100000000002</v>
      </c>
      <c r="B25" s="10" t="s">
        <v>17</v>
      </c>
      <c r="C25" s="2"/>
    </row>
    <row r="26" spans="1:3" outlineLevel="2" x14ac:dyDescent="0.35">
      <c r="A26" s="6">
        <v>658</v>
      </c>
      <c r="B26" s="1" t="s">
        <v>2</v>
      </c>
      <c r="C26" s="2" t="s">
        <v>6</v>
      </c>
    </row>
    <row r="27" spans="1:3" outlineLevel="2" x14ac:dyDescent="0.35">
      <c r="A27" s="6">
        <v>1283.5</v>
      </c>
      <c r="B27" s="1" t="s">
        <v>2</v>
      </c>
      <c r="C27" s="2" t="s">
        <v>4</v>
      </c>
    </row>
    <row r="28" spans="1:3" outlineLevel="2" x14ac:dyDescent="0.35">
      <c r="A28" s="5">
        <v>374.82</v>
      </c>
      <c r="B28" s="1" t="s">
        <v>2</v>
      </c>
      <c r="C28" s="2" t="s">
        <v>7</v>
      </c>
    </row>
    <row r="29" spans="1:3" outlineLevel="2" x14ac:dyDescent="0.35">
      <c r="A29" s="6">
        <v>124.64</v>
      </c>
      <c r="B29" s="1" t="s">
        <v>2</v>
      </c>
      <c r="C29" s="2" t="s">
        <v>8</v>
      </c>
    </row>
    <row r="30" spans="1:3" outlineLevel="2" x14ac:dyDescent="0.35">
      <c r="A30" s="6">
        <v>775</v>
      </c>
      <c r="B30" s="1" t="s">
        <v>2</v>
      </c>
      <c r="C30" s="2" t="s">
        <v>5</v>
      </c>
    </row>
    <row r="31" spans="1:3" outlineLevel="1" x14ac:dyDescent="0.35">
      <c r="A31" s="6">
        <f>SUBTOTAL(9,A26:A30)</f>
        <v>3215.96</v>
      </c>
      <c r="B31" s="10" t="s">
        <v>18</v>
      </c>
      <c r="C31" s="2"/>
    </row>
    <row r="32" spans="1:3" x14ac:dyDescent="0.35">
      <c r="A32" s="6">
        <f>SUBTOTAL(9,A2:A30)</f>
        <v>13413.619999999999</v>
      </c>
      <c r="B32" s="10" t="s">
        <v>19</v>
      </c>
      <c r="C32" s="2"/>
    </row>
  </sheetData>
  <sortState xmlns:xlrd2="http://schemas.microsoft.com/office/spreadsheetml/2017/richdata2" ref="A2:C30">
    <sortCondition ref="B2:B30"/>
    <sortCondition ref="C2:C3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workbookViewId="0">
      <selection activeCell="G9" sqref="G9"/>
    </sheetView>
  </sheetViews>
  <sheetFormatPr defaultRowHeight="14.5" x14ac:dyDescent="0.35"/>
  <cols>
    <col min="1" max="3" width="11.7265625" customWidth="1"/>
    <col min="6" max="6" width="11.81640625" customWidth="1"/>
  </cols>
  <sheetData>
    <row r="1" spans="1:6" x14ac:dyDescent="0.35">
      <c r="A1" s="3" t="s">
        <v>9</v>
      </c>
      <c r="B1" s="4" t="s">
        <v>10</v>
      </c>
      <c r="C1" s="3" t="s">
        <v>11</v>
      </c>
      <c r="E1" s="8" t="s">
        <v>13</v>
      </c>
      <c r="F1" s="9">
        <f>GETPIVOTDATA("Totals", Totals!$A$3)</f>
        <v>13413.619999999999</v>
      </c>
    </row>
    <row r="2" spans="1:6" x14ac:dyDescent="0.35">
      <c r="A2" s="1" t="s">
        <v>12</v>
      </c>
      <c r="B2" s="2" t="s">
        <v>8</v>
      </c>
      <c r="C2" s="5">
        <v>93.28</v>
      </c>
    </row>
    <row r="3" spans="1:6" x14ac:dyDescent="0.35">
      <c r="A3" s="1" t="s">
        <v>1</v>
      </c>
      <c r="B3" s="2" t="s">
        <v>8</v>
      </c>
      <c r="C3" s="6">
        <v>113.64</v>
      </c>
    </row>
    <row r="4" spans="1:6" x14ac:dyDescent="0.35">
      <c r="A4" s="1" t="s">
        <v>3</v>
      </c>
      <c r="B4" s="2" t="s">
        <v>8</v>
      </c>
      <c r="C4" s="5">
        <v>114.9</v>
      </c>
    </row>
    <row r="5" spans="1:6" x14ac:dyDescent="0.35">
      <c r="A5" s="1" t="s">
        <v>0</v>
      </c>
      <c r="B5" s="2" t="s">
        <v>8</v>
      </c>
      <c r="C5" s="6">
        <v>123.41</v>
      </c>
    </row>
    <row r="6" spans="1:6" x14ac:dyDescent="0.35">
      <c r="A6" s="1" t="s">
        <v>2</v>
      </c>
      <c r="B6" s="2" t="s">
        <v>8</v>
      </c>
      <c r="C6" s="5">
        <v>124.64</v>
      </c>
    </row>
    <row r="7" spans="1:6" x14ac:dyDescent="0.35">
      <c r="A7" s="1" t="s">
        <v>1</v>
      </c>
      <c r="B7" s="2" t="s">
        <v>6</v>
      </c>
      <c r="C7" s="7">
        <v>400</v>
      </c>
    </row>
    <row r="8" spans="1:6" x14ac:dyDescent="0.35">
      <c r="A8" s="1" t="s">
        <v>0</v>
      </c>
      <c r="B8" s="2" t="s">
        <v>7</v>
      </c>
      <c r="C8" s="5">
        <v>285.32</v>
      </c>
    </row>
    <row r="9" spans="1:6" x14ac:dyDescent="0.35">
      <c r="A9" s="1" t="s">
        <v>1</v>
      </c>
      <c r="B9" s="2" t="s">
        <v>7</v>
      </c>
      <c r="C9" s="6">
        <v>304.12</v>
      </c>
    </row>
    <row r="10" spans="1:6" x14ac:dyDescent="0.35">
      <c r="A10" s="1" t="s">
        <v>12</v>
      </c>
      <c r="B10" s="2" t="s">
        <v>7</v>
      </c>
      <c r="C10" s="5">
        <v>324.08</v>
      </c>
    </row>
    <row r="11" spans="1:6" x14ac:dyDescent="0.35">
      <c r="A11" s="1" t="s">
        <v>3</v>
      </c>
      <c r="B11" s="2" t="s">
        <v>6</v>
      </c>
      <c r="C11" s="6">
        <v>327.95</v>
      </c>
    </row>
    <row r="12" spans="1:6" x14ac:dyDescent="0.35">
      <c r="A12" s="1" t="s">
        <v>3</v>
      </c>
      <c r="B12" s="2" t="s">
        <v>7</v>
      </c>
      <c r="C12" s="5">
        <v>340.76</v>
      </c>
    </row>
    <row r="13" spans="1:6" x14ac:dyDescent="0.35">
      <c r="A13" s="1" t="s">
        <v>2</v>
      </c>
      <c r="B13" s="2" t="s">
        <v>7</v>
      </c>
      <c r="C13" s="6">
        <v>374.82</v>
      </c>
    </row>
    <row r="14" spans="1:6" x14ac:dyDescent="0.35">
      <c r="A14" s="1" t="s">
        <v>12</v>
      </c>
      <c r="B14" s="2" t="s">
        <v>6</v>
      </c>
      <c r="C14" s="5">
        <v>423.99</v>
      </c>
    </row>
    <row r="15" spans="1:6" x14ac:dyDescent="0.35">
      <c r="A15" s="1" t="s">
        <v>12</v>
      </c>
      <c r="B15" s="2" t="s">
        <v>5</v>
      </c>
      <c r="C15" s="6">
        <v>450</v>
      </c>
    </row>
    <row r="16" spans="1:6" x14ac:dyDescent="0.35">
      <c r="A16" s="1" t="s">
        <v>0</v>
      </c>
      <c r="B16" s="2" t="s">
        <v>5</v>
      </c>
      <c r="C16" s="5">
        <v>595</v>
      </c>
    </row>
    <row r="17" spans="1:3" x14ac:dyDescent="0.35">
      <c r="A17" s="1" t="s">
        <v>1</v>
      </c>
      <c r="B17" s="2" t="s">
        <v>5</v>
      </c>
      <c r="C17" s="6">
        <v>595</v>
      </c>
    </row>
    <row r="18" spans="1:3" x14ac:dyDescent="0.35">
      <c r="A18" s="1" t="s">
        <v>2</v>
      </c>
      <c r="B18" s="2" t="s">
        <v>6</v>
      </c>
      <c r="C18" s="5">
        <v>658</v>
      </c>
    </row>
    <row r="19" spans="1:3" x14ac:dyDescent="0.35">
      <c r="A19" s="1" t="s">
        <v>0</v>
      </c>
      <c r="B19" s="2" t="s">
        <v>6</v>
      </c>
      <c r="C19" s="6">
        <v>750.2</v>
      </c>
    </row>
    <row r="20" spans="1:3" x14ac:dyDescent="0.35">
      <c r="A20" s="1" t="s">
        <v>2</v>
      </c>
      <c r="B20" s="2" t="s">
        <v>5</v>
      </c>
      <c r="C20" s="5">
        <v>775</v>
      </c>
    </row>
    <row r="21" spans="1:3" x14ac:dyDescent="0.35">
      <c r="A21" s="1" t="s">
        <v>1</v>
      </c>
      <c r="B21" s="2" t="s">
        <v>4</v>
      </c>
      <c r="C21" s="6">
        <v>840.25</v>
      </c>
    </row>
    <row r="22" spans="1:3" x14ac:dyDescent="0.35">
      <c r="A22" s="1" t="s">
        <v>3</v>
      </c>
      <c r="B22" s="2" t="s">
        <v>4</v>
      </c>
      <c r="C22" s="5">
        <v>864.84</v>
      </c>
    </row>
    <row r="23" spans="1:3" x14ac:dyDescent="0.35">
      <c r="A23" s="1" t="s">
        <v>3</v>
      </c>
      <c r="B23" s="2" t="s">
        <v>5</v>
      </c>
      <c r="C23" s="6">
        <v>995</v>
      </c>
    </row>
    <row r="24" spans="1:3" x14ac:dyDescent="0.35">
      <c r="A24" s="1" t="s">
        <v>0</v>
      </c>
      <c r="B24" s="2" t="s">
        <v>4</v>
      </c>
      <c r="C24" s="5">
        <v>1051.1400000000001</v>
      </c>
    </row>
    <row r="25" spans="1:3" x14ac:dyDescent="0.35">
      <c r="A25" s="1" t="s">
        <v>12</v>
      </c>
      <c r="B25" s="2" t="s">
        <v>4</v>
      </c>
      <c r="C25" s="6">
        <v>1204.78</v>
      </c>
    </row>
    <row r="26" spans="1:3" x14ac:dyDescent="0.35">
      <c r="A26" s="1" t="s">
        <v>2</v>
      </c>
      <c r="B26" s="2" t="s">
        <v>4</v>
      </c>
      <c r="C26" s="5">
        <v>1283.5</v>
      </c>
    </row>
  </sheetData>
  <sortState xmlns:xlrd2="http://schemas.microsoft.com/office/spreadsheetml/2017/richdata2" ref="A2:C26">
    <sortCondition ref="B2:B2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F35B-DFC0-41C7-8980-55050811EE32}">
  <dimension ref="A3:B8"/>
  <sheetViews>
    <sheetView workbookViewId="0">
      <selection activeCell="F14" sqref="F14"/>
    </sheetView>
  </sheetViews>
  <sheetFormatPr defaultRowHeight="14.5" x14ac:dyDescent="0.35"/>
  <cols>
    <col min="1" max="1" width="10.7265625" bestFit="1" customWidth="1"/>
    <col min="2" max="2" width="15" bestFit="1" customWidth="1"/>
  </cols>
  <sheetData>
    <row r="3" spans="1:2" x14ac:dyDescent="0.35">
      <c r="A3" s="11" t="s">
        <v>10</v>
      </c>
      <c r="B3" t="s">
        <v>21</v>
      </c>
    </row>
    <row r="4" spans="1:2" x14ac:dyDescent="0.35">
      <c r="A4" s="12" t="s">
        <v>6</v>
      </c>
      <c r="B4" s="13">
        <v>512.02800000000002</v>
      </c>
    </row>
    <row r="5" spans="1:2" x14ac:dyDescent="0.35">
      <c r="A5" s="12" t="s">
        <v>4</v>
      </c>
      <c r="B5" s="13">
        <v>1048.902</v>
      </c>
    </row>
    <row r="6" spans="1:2" x14ac:dyDescent="0.35">
      <c r="A6" s="12" t="s">
        <v>7</v>
      </c>
      <c r="B6" s="13">
        <v>325.82</v>
      </c>
    </row>
    <row r="7" spans="1:2" x14ac:dyDescent="0.35">
      <c r="A7" s="12" t="s">
        <v>8</v>
      </c>
      <c r="B7" s="13">
        <v>113.974</v>
      </c>
    </row>
    <row r="8" spans="1:2" x14ac:dyDescent="0.35">
      <c r="A8" s="12" t="s">
        <v>5</v>
      </c>
      <c r="B8" s="13">
        <v>682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9009-3FF8-4C17-979C-DF94BC1E1BAA}">
  <dimension ref="A3:C9"/>
  <sheetViews>
    <sheetView tabSelected="1" workbookViewId="0">
      <selection activeCell="I13" sqref="I13"/>
    </sheetView>
  </sheetViews>
  <sheetFormatPr defaultRowHeight="14.5" x14ac:dyDescent="0.35"/>
  <cols>
    <col min="1" max="1" width="12.36328125" bestFit="1" customWidth="1"/>
    <col min="2" max="2" width="11.453125" customWidth="1"/>
    <col min="3" max="3" width="14.36328125" customWidth="1"/>
  </cols>
  <sheetData>
    <row r="3" spans="1:3" ht="30" customHeight="1" x14ac:dyDescent="0.35">
      <c r="A3" s="11" t="s">
        <v>20</v>
      </c>
      <c r="B3" t="s">
        <v>22</v>
      </c>
      <c r="C3" s="14" t="s">
        <v>23</v>
      </c>
    </row>
    <row r="4" spans="1:3" x14ac:dyDescent="0.35">
      <c r="A4" s="12" t="s">
        <v>2</v>
      </c>
      <c r="B4" s="13">
        <v>3215.96</v>
      </c>
      <c r="C4" t="e">
        <v>#VALUE!</v>
      </c>
    </row>
    <row r="5" spans="1:3" x14ac:dyDescent="0.35">
      <c r="A5" s="12" t="s">
        <v>0</v>
      </c>
      <c r="B5" s="13">
        <v>2805.07</v>
      </c>
      <c r="C5" t="e">
        <v>#VALUE!</v>
      </c>
    </row>
    <row r="6" spans="1:3" x14ac:dyDescent="0.35">
      <c r="A6" s="12" t="s">
        <v>3</v>
      </c>
      <c r="B6" s="13">
        <v>2643.45</v>
      </c>
      <c r="C6" t="e">
        <v>#VALUE!</v>
      </c>
    </row>
    <row r="7" spans="1:3" x14ac:dyDescent="0.35">
      <c r="A7" s="12" t="s">
        <v>12</v>
      </c>
      <c r="B7" s="13">
        <v>2496.13</v>
      </c>
      <c r="C7" t="e">
        <v>#VALUE!</v>
      </c>
    </row>
    <row r="8" spans="1:3" x14ac:dyDescent="0.35">
      <c r="A8" s="12" t="s">
        <v>1</v>
      </c>
      <c r="B8" s="13">
        <v>2253.0100000000002</v>
      </c>
      <c r="C8" t="e">
        <v>#VALUE!</v>
      </c>
    </row>
    <row r="9" spans="1:3" x14ac:dyDescent="0.35">
      <c r="A9" s="12" t="s">
        <v>19</v>
      </c>
      <c r="B9" s="13">
        <v>13413.619999999999</v>
      </c>
      <c r="C9" t="e">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roject>
  <id>eWsNHBSP1xD+zUws85fb1P1mWXoiTgix5iQ8j6/Mr/SzVMJHCxKRP+jrnOqPy/G2Njg31TNrrtZMpC0C7onuq+ZVrX+2fxOp-~KQvLWrUkKv+9yxCrnr55Fg==#@#11195202#@#4/24/2021 4:48:30 PM</id>
</project>
</file>

<file path=customXml/itemProps1.xml><?xml version="1.0" encoding="utf-8"?>
<ds:datastoreItem xmlns:ds="http://schemas.openxmlformats.org/officeDocument/2006/customXml" ds:itemID="{6DEB1FC5-011F-4B80-8045-186B450AF9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Subtotals</vt:lpstr>
      <vt:lpstr>Expenses</vt:lpstr>
      <vt:lpstr>Summary</vt:lpstr>
      <vt:lpstr>Totals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2026-04-01T05:14:18Z</dcterms:created>
  <dcterms:modified xsi:type="dcterms:W3CDTF">2026-10-23T17:32:35Z</dcterms:modified>
</cp:coreProperties>
</file>