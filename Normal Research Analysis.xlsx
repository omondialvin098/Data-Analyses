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E105CD-06E5-4B29-A393-D1EE49056F17}" xr6:coauthVersionLast="47" xr6:coauthVersionMax="47" xr10:uidLastSave="{00000000-0000-0000-0000-000000000000}"/>
  <bookViews>
    <workbookView xWindow="-110" yWindow="-110" windowWidth="19420" windowHeight="11020" firstSheet="2" activeTab="5" xr2:uid="{C75CF060-859D-4A34-B55B-07E2525D7F8A}"/>
  </bookViews>
  <sheets>
    <sheet name="Sheet1" sheetId="1" r:id="rId1"/>
    <sheet name="Sheet2_Descriptives" sheetId="2" r:id="rId2"/>
    <sheet name="Sheet3_Correlation" sheetId="3" r:id="rId3"/>
    <sheet name="Sheet4_Regression" sheetId="4" r:id="rId4"/>
    <sheet name="Sheet5_TTest" sheetId="5" r:id="rId5"/>
    <sheet name="ANOVA_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 a="1"/>
  <c r="D2" i="6" a="1"/>
  <c r="C2" i="6" a="1"/>
  <c r="B2" i="6" a="1"/>
  <c r="A2" i="6" a="1"/>
  <c r="B2" i="5" a="1"/>
  <c r="B3" i="5" a="1"/>
  <c r="A2" i="5" a="1"/>
  <c r="B4" i="5" a="1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D2" i="4"/>
  <c r="C2" i="4"/>
  <c r="B2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2" i="3"/>
  <c r="A2" i="3"/>
  <c r="B32" i="2"/>
  <c r="B31" i="2"/>
  <c r="B30" i="2"/>
  <c r="B29" i="2"/>
  <c r="B24" i="2"/>
  <c r="B25" i="2"/>
  <c r="B26" i="2"/>
  <c r="B27" i="2"/>
  <c r="B28" i="2"/>
  <c r="B20" i="2"/>
  <c r="B19" i="2"/>
  <c r="B18" i="2"/>
  <c r="B17" i="2"/>
  <c r="B12" i="2"/>
  <c r="B13" i="2"/>
  <c r="B14" i="2"/>
  <c r="B15" i="2"/>
  <c r="B16" i="2"/>
  <c r="B7" i="2"/>
  <c r="B6" i="2"/>
  <c r="B3" i="2"/>
  <c r="B4" i="2"/>
  <c r="B5" i="2"/>
  <c r="H1" i="3" l="1"/>
  <c r="E5" i="3" s="1"/>
  <c r="E6" i="3" s="1"/>
  <c r="E2" i="6"/>
  <c r="D2" i="6"/>
  <c r="C2" i="6"/>
  <c r="B2" i="6"/>
  <c r="A2" i="6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<sst xmlns="http://schemas.openxmlformats.org/spreadsheetml/2006/main" count="194" uniqueCount="132">
  <si>
    <t>Gender</t>
  </si>
  <si>
    <t>Male=1, Female=2</t>
  </si>
  <si>
    <t>School Location</t>
  </si>
  <si>
    <t>Abu Dhabi=1, Dubai=2, Sharjah=3, Ajman/Other=4</t>
  </si>
  <si>
    <t>Q4 Daily SM Hours</t>
  </si>
  <si>
    <t>&lt;1hr=1, 1-2hrs=2, 3-4hrs=3, 5-6hrs=4, 7+hrs=5</t>
  </si>
  <si>
    <t>Q5 Check School</t>
  </si>
  <si>
    <t>Never=1, Rarely=2, Sometimes=3, Often=4, Very Often=5</t>
  </si>
  <si>
    <t>Q6 Multitask</t>
  </si>
  <si>
    <t>Never=1, Rarely=2, Sometimes=3, Often=4, Always=5</t>
  </si>
  <si>
    <t>Q7 Platform</t>
  </si>
  <si>
    <t>TikTok=1, Instagram=2, Snapchat=3, YouTube Shorts=4, Other=5</t>
  </si>
  <si>
    <t>Q8–Q10, Q12</t>
  </si>
  <si>
    <t>Strongly Disagree=1 … Strongly Agree=5</t>
  </si>
  <si>
    <t>Q11</t>
  </si>
  <si>
    <t>Strongly Disagree=1 … Strongly Agree=5  [REVERSED for disruption score]</t>
  </si>
  <si>
    <t>Q13 Overall Grade</t>
  </si>
  <si>
    <t>Below 60%=1, 60-69%=2, 70-79%=3, 80-89%=4, 90-100%=5</t>
  </si>
  <si>
    <t>Q14 Subjects</t>
  </si>
  <si>
    <t>1=Much below average … 5=Much above average</t>
  </si>
  <si>
    <t>Q15 Performance Change</t>
  </si>
  <si>
    <t>Improved significantly=1 … Declined significantly=5</t>
  </si>
  <si>
    <t>Q16 SM Affects Grades</t>
  </si>
  <si>
    <t>Yes definitely=1, Yes somewhat=2, No not really=3, No helps me=4</t>
  </si>
  <si>
    <t>Resp. #</t>
  </si>
  <si>
    <t>Gender (1=M, 2=F)</t>
  </si>
  <si>
    <t>Grade</t>
  </si>
  <si>
    <t>School Location (1–4)</t>
  </si>
  <si>
    <t>Q5 Check During School</t>
  </si>
  <si>
    <t>Q6 Multitask Study</t>
  </si>
  <si>
    <t>Q8 Difficult Focus</t>
  </si>
  <si>
    <t>Q9 Stop-Check Phone</t>
  </si>
  <si>
    <t>Q10 Lose Track Time</t>
  </si>
  <si>
    <t>Q11 Can Concentrate</t>
  </si>
  <si>
    <t>Q12 Parents-Teachers Note</t>
  </si>
  <si>
    <t>Q14 Math</t>
  </si>
  <si>
    <t>Q14 Science</t>
  </si>
  <si>
    <t>Q14 English</t>
  </si>
  <si>
    <t>Q14 Arabic</t>
  </si>
  <si>
    <t>Q11 Reversed</t>
  </si>
  <si>
    <t>Concentration Disruption Score</t>
  </si>
  <si>
    <t>Description</t>
  </si>
  <si>
    <t>Formula</t>
  </si>
  <si>
    <t>Count of Males (1)</t>
  </si>
  <si>
    <t>Count of Females (2)</t>
  </si>
  <si>
    <t>Total respondents</t>
  </si>
  <si>
    <t>Percentage Male</t>
  </si>
  <si>
    <t>Percentage Female</t>
  </si>
  <si>
    <t xml:space="preserve">Gender </t>
  </si>
  <si>
    <t>Grade </t>
  </si>
  <si>
    <t>Count of Grade 9</t>
  </si>
  <si>
    <t>Count of Grade 10</t>
  </si>
  <si>
    <t>Count of Grade 11</t>
  </si>
  <si>
    <t>Count of Grade 12</t>
  </si>
  <si>
    <t>Percentage Grade 9</t>
  </si>
  <si>
    <t>Percentage Grade 10</t>
  </si>
  <si>
    <t>Percentage Grade 11</t>
  </si>
  <si>
    <t>Percentage Grade 12</t>
  </si>
  <si>
    <t>School</t>
  </si>
  <si>
    <t>Count of Abu Dhabi (1)</t>
  </si>
  <si>
    <t>Count of Dubai (2)</t>
  </si>
  <si>
    <t>Count of Sharjah (3)</t>
  </si>
  <si>
    <t>Count of Other (4)</t>
  </si>
  <si>
    <t>Percentage Abu Dhabi</t>
  </si>
  <si>
    <t>Percentage Dubai</t>
  </si>
  <si>
    <t>Percentage Sharjah</t>
  </si>
  <si>
    <t>Percentage Other</t>
  </si>
  <si>
    <t>Q4_Daily_Hours</t>
  </si>
  <si>
    <t>Q13_Overall_Grade</t>
  </si>
  <si>
    <t>r (correlation)</t>
  </si>
  <si>
    <t>t-statistic</t>
  </si>
  <si>
    <t>p-value (two-tail)</t>
  </si>
  <si>
    <t>Q13_Grade</t>
  </si>
  <si>
    <t>Q4_Hours</t>
  </si>
  <si>
    <t>Q5_CheckSchool</t>
  </si>
  <si>
    <t>Q6_Multitask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</si>
  <si>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</si>
  <si>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</si>
  <si>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</si>
  <si>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</si>
  <si>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</si>
  <si>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</si>
  <si>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</si>
  <si>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</si>
  <si>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</si>
  <si>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</si>
  <si>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</si>
  <si>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</si>
  <si>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</si>
  <si>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</si>
  <si>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</si>
  <si>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</si>
  <si>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</si>
  <si>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</si>
  <si>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</si>
  <si>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</si>
  <si>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</si>
  <si>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</si>
  <si>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</si>
  <si>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</si>
  <si>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</si>
  <si>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</si>
  <si>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Q13_Grade</t>
  </si>
  <si>
    <t>Residuals</t>
  </si>
  <si>
    <t>PROBABILITY OUTPUT</t>
  </si>
  <si>
    <t>Percentile</t>
  </si>
  <si>
    <t>Male_Concentration</t>
  </si>
  <si>
    <t>Female_Concentration</t>
  </si>
  <si>
    <t>t-Test: Two-Sample Assuming Unequal Variances</t>
  </si>
  <si>
    <t>Mean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</si>
  <si>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</si>
  <si>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</si>
  <si>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</si>
  <si>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</si>
  <si>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</si>
  <si>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</si>
  <si>
    <t>Group 1 (&lt;1hr)</t>
  </si>
  <si>
    <t>Group 2 (1-2hrs)</t>
  </si>
  <si>
    <t>Group 3 (3-4hrs)</t>
  </si>
  <si>
    <t>Group 4 (5-6hrs)</t>
  </si>
  <si>
    <t>Group 5 (7+hrs)</t>
  </si>
  <si>
    <t>Anova: Single Factor</t>
  </si>
  <si>
    <t>SUMMARY</t>
  </si>
  <si>
    <t>Groups</t>
  </si>
  <si>
    <t>Count</t>
  </si>
  <si>
    <t>Sum</t>
  </si>
  <si>
    <t>Average</t>
  </si>
  <si>
    <t>Source of Variation</t>
  </si>
  <si>
    <t>F crit</t>
  </si>
  <si>
    <t>Between Groups</t>
  </si>
  <si>
    <t>Within Groups</t>
  </si>
  <si>
    <t>SHEET 2 — CLEANED &amp; NUMERIC DATA  (All textual responses converted to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</si>
</sst>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F6B75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6B75"/>
        <bgColor rgb="FF008080"/>
      </patternFill>
    </fill>
    <fill>
      <patternFill patternType="solid">
        <fgColor rgb="FFD0EB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0" fontId="6" fillId="0" borderId="5" xfId="1" applyNumberFormat="1" applyFont="1" applyBorder="1" applyAlignment="1">
      <alignment vertical="center" wrapText="1"/>
    </xf>
    <xf numFmtId="0" fontId="5" fillId="0" borderId="0" xfId="0" applyFont="1"/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0" borderId="6" xfId="0" applyFont="1" applyBorder="1"/>
    <xf numFmtId="0" fontId="0" fillId="0" borderId="6" xfId="0" applyBorder="1"/>
    <xf numFmtId="10" fontId="0" fillId="0" borderId="6" xfId="1" applyNumberFormat="1" applyFont="1" applyBorder="1"/>
    <xf numFmtId="0" fontId="0" fillId="0" borderId="7" xfId="0" applyBorder="1"/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Continuous"/>
    </xf>
    <xf numFmtId="0" fontId="2" fillId="4" borderId="1" xfId="0" applyFont="1" applyFill="1" applyBorder="1"/>
    <xf numFmtId="0" fontId="2" fillId="3" borderId="1" xfId="0" applyFont="1" applyFill="1" applyBorder="1"/>
    <xf numFmtId="0" fontId="9" fillId="2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Social Media Hours v. Overall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667169728783902"/>
                  <c:y val="-0.24969852726742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Sheet3_Correlation!$A$2:$A$97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4</c:v>
                </c:pt>
                <c:pt idx="44">
                  <c:v>2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2</c:v>
                </c:pt>
                <c:pt idx="67">
                  <c:v>1</c:v>
                </c:pt>
                <c:pt idx="68">
                  <c:v>4</c:v>
                </c:pt>
                <c:pt idx="69">
                  <c:v>2</c:v>
                </c:pt>
                <c:pt idx="70">
                  <c:v>5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1</c:v>
                </c:pt>
                <c:pt idx="76">
                  <c:v>4</c:v>
                </c:pt>
                <c:pt idx="77">
                  <c:v>3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3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3</c:v>
                </c:pt>
              </c:numCache>
            </c:numRef>
          </c:xVal>
          <c:yVal>
            <c:numRef>
              <c:f>Sheet3_Correlation!$B$2:$B$97</c:f>
              <c:numCache>
                <c:formatCode>General</c:formatCode>
                <c:ptCount val="9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5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A2-41E2-8F34-B11D1565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898143"/>
        <c:axId val="1944896703"/>
      </c:scatterChart>
      <c:valAx>
        <c:axId val="194489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Daily Social Media Hours (1-5)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44896703"/>
        <c:crosses val="autoZero"/>
        <c:crossBetween val="midCat"/>
      </c:valAx>
      <c:valAx>
        <c:axId val="19448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Overall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4489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Q4_Hours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Q13_Grade</c:v>
          </c:tx>
          <c:spPr>
            <a:ln w="19050">
              <a:noFill/>
            </a:ln>
          </c:spPr>
          <c:xVal>
            <c:numRef>
              <c:f>Sheet4_Regression!$B$2:$B$97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4</c:v>
                </c:pt>
                <c:pt idx="44">
                  <c:v>2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2</c:v>
                </c:pt>
                <c:pt idx="67">
                  <c:v>1</c:v>
                </c:pt>
                <c:pt idx="68">
                  <c:v>4</c:v>
                </c:pt>
                <c:pt idx="69">
                  <c:v>2</c:v>
                </c:pt>
                <c:pt idx="70">
                  <c:v>5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1</c:v>
                </c:pt>
                <c:pt idx="76">
                  <c:v>4</c:v>
                </c:pt>
                <c:pt idx="77">
                  <c:v>3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3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3</c:v>
                </c:pt>
              </c:numCache>
            </c:numRef>
          </c:xVal>
          <c:yVal>
            <c:numRef>
              <c:f>Sheet4_Regression!$A$2:$A$97</c:f>
              <c:numCache>
                <c:formatCode>General</c:formatCode>
                <c:ptCount val="9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5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6-448F-8858-A792D8F21385}"/>
            </c:ext>
          </c:extLst>
        </c:ser>
        <c:ser>
          <c:idx val="1"/>
          <c:order val="1"/>
          <c:tx>
            <c:v>Predicted Q13_Grade</c:v>
          </c:tx>
          <c:spPr>
            <a:ln w="19050">
              <a:noFill/>
            </a:ln>
          </c:spPr>
          <c:xVal>
            <c:numRef>
              <c:f>Sheet4_Regression!$B$2:$B$97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4</c:v>
                </c:pt>
                <c:pt idx="44">
                  <c:v>2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2</c:v>
                </c:pt>
                <c:pt idx="67">
                  <c:v>1</c:v>
                </c:pt>
                <c:pt idx="68">
                  <c:v>4</c:v>
                </c:pt>
                <c:pt idx="69">
                  <c:v>2</c:v>
                </c:pt>
                <c:pt idx="70">
                  <c:v>5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1</c:v>
                </c:pt>
                <c:pt idx="76">
                  <c:v>4</c:v>
                </c:pt>
                <c:pt idx="77">
                  <c:v>3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3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3</c:v>
                </c:pt>
              </c:numCache>
            </c:numRef>
          </c:xVal>
          <c:yVal>
            <c:numRef>
              <c:f>Sheet4_Regression!$G$27:$G$122</c:f>
              <c:numCache>
                <c:formatCode>General</c:formatCode>
                <c:ptCount val="96"/>
                <c:pt idx="0">
                  <c:v>2.1017476075694579</c:v>
                </c:pt>
                <c:pt idx="1">
                  <c:v>3.0516133391863534</c:v>
                </c:pt>
                <c:pt idx="2">
                  <c:v>1.1518818759525624</c:v>
                </c:pt>
                <c:pt idx="3">
                  <c:v>3.0802125301689935</c:v>
                </c:pt>
                <c:pt idx="4">
                  <c:v>2.1017476075694579</c:v>
                </c:pt>
                <c:pt idx="5">
                  <c:v>4.0014790708032484</c:v>
                </c:pt>
                <c:pt idx="6">
                  <c:v>1.1518818759525624</c:v>
                </c:pt>
                <c:pt idx="7">
                  <c:v>3.0516133391863534</c:v>
                </c:pt>
                <c:pt idx="8">
                  <c:v>2.1017476075694579</c:v>
                </c:pt>
                <c:pt idx="9">
                  <c:v>4.0014790708032484</c:v>
                </c:pt>
                <c:pt idx="10">
                  <c:v>4.3251162036412349</c:v>
                </c:pt>
                <c:pt idx="11">
                  <c:v>3.0230141482037127</c:v>
                </c:pt>
                <c:pt idx="12">
                  <c:v>3.7064411289479038</c:v>
                </c:pt>
                <c:pt idx="13">
                  <c:v>4.2965170126585939</c:v>
                </c:pt>
                <c:pt idx="14">
                  <c:v>3.7350403199305444</c:v>
                </c:pt>
                <c:pt idx="15">
                  <c:v>4.0014790708032484</c:v>
                </c:pt>
                <c:pt idx="16">
                  <c:v>1.1804810669352028</c:v>
                </c:pt>
                <c:pt idx="17">
                  <c:v>3.3180520900590578</c:v>
                </c:pt>
                <c:pt idx="18">
                  <c:v>3.0516133391863534</c:v>
                </c:pt>
                <c:pt idx="19">
                  <c:v>1.4755190087905476</c:v>
                </c:pt>
                <c:pt idx="20">
                  <c:v>4.0300782617858895</c:v>
                </c:pt>
                <c:pt idx="21">
                  <c:v>1.8353088566967535</c:v>
                </c:pt>
                <c:pt idx="22">
                  <c:v>3.375250472024339</c:v>
                </c:pt>
                <c:pt idx="23">
                  <c:v>4.0300782617858895</c:v>
                </c:pt>
                <c:pt idx="24">
                  <c:v>4.6277076695821586</c:v>
                </c:pt>
                <c:pt idx="25">
                  <c:v>1.4755190087905476</c:v>
                </c:pt>
                <c:pt idx="26">
                  <c:v>2.3681863584421619</c:v>
                </c:pt>
                <c:pt idx="27">
                  <c:v>2.3681863584421619</c:v>
                </c:pt>
                <c:pt idx="28">
                  <c:v>2.1303467985520985</c:v>
                </c:pt>
                <c:pt idx="29">
                  <c:v>4.0014790708032484</c:v>
                </c:pt>
                <c:pt idx="30">
                  <c:v>1.7781104747314727</c:v>
                </c:pt>
                <c:pt idx="31">
                  <c:v>2.3967855494248025</c:v>
                </c:pt>
                <c:pt idx="32">
                  <c:v>4.6563068605647997</c:v>
                </c:pt>
                <c:pt idx="33">
                  <c:v>2.7279762063483681</c:v>
                </c:pt>
                <c:pt idx="34">
                  <c:v>4.2965170126585939</c:v>
                </c:pt>
                <c:pt idx="35">
                  <c:v>1.8353088566967535</c:v>
                </c:pt>
                <c:pt idx="36">
                  <c:v>2.3681863584421619</c:v>
                </c:pt>
                <c:pt idx="37">
                  <c:v>3.375250472024339</c:v>
                </c:pt>
                <c:pt idx="38">
                  <c:v>2.3967855494248025</c:v>
                </c:pt>
                <c:pt idx="39">
                  <c:v>3.3180520900590578</c:v>
                </c:pt>
                <c:pt idx="40">
                  <c:v>3.375250472024339</c:v>
                </c:pt>
                <c:pt idx="41">
                  <c:v>3.3180520900590578</c:v>
                </c:pt>
                <c:pt idx="42">
                  <c:v>1.1518818759525624</c:v>
                </c:pt>
                <c:pt idx="43">
                  <c:v>2.0731484165868173</c:v>
                </c:pt>
                <c:pt idx="44">
                  <c:v>4.2679178216759537</c:v>
                </c:pt>
                <c:pt idx="45">
                  <c:v>1.1518818759525624</c:v>
                </c:pt>
                <c:pt idx="46">
                  <c:v>2.3681863584421619</c:v>
                </c:pt>
                <c:pt idx="47">
                  <c:v>1.446919817807907</c:v>
                </c:pt>
                <c:pt idx="48">
                  <c:v>1.4755190087905476</c:v>
                </c:pt>
                <c:pt idx="49">
                  <c:v>3.3180520900590578</c:v>
                </c:pt>
                <c:pt idx="50">
                  <c:v>3.9728798798206082</c:v>
                </c:pt>
                <c:pt idx="51">
                  <c:v>2.3681863584421619</c:v>
                </c:pt>
                <c:pt idx="52">
                  <c:v>1.446919817807907</c:v>
                </c:pt>
                <c:pt idx="53">
                  <c:v>1.446919817807907</c:v>
                </c:pt>
                <c:pt idx="54">
                  <c:v>1.8353088566967535</c:v>
                </c:pt>
                <c:pt idx="55">
                  <c:v>4.0014790708032484</c:v>
                </c:pt>
                <c:pt idx="56">
                  <c:v>3.6778419379652636</c:v>
                </c:pt>
                <c:pt idx="57">
                  <c:v>4.9227456114375041</c:v>
                </c:pt>
                <c:pt idx="58">
                  <c:v>2.1303467985520985</c:v>
                </c:pt>
                <c:pt idx="59">
                  <c:v>4.2965170126585939</c:v>
                </c:pt>
                <c:pt idx="60">
                  <c:v>3.0516133391863534</c:v>
                </c:pt>
                <c:pt idx="61">
                  <c:v>1.7781104747314727</c:v>
                </c:pt>
                <c:pt idx="62">
                  <c:v>2.0731484165868173</c:v>
                </c:pt>
                <c:pt idx="63">
                  <c:v>2.7279762063483681</c:v>
                </c:pt>
                <c:pt idx="64">
                  <c:v>1.7781104747314727</c:v>
                </c:pt>
                <c:pt idx="65">
                  <c:v>2.1303467985520985</c:v>
                </c:pt>
                <c:pt idx="66">
                  <c:v>3.7064411289479038</c:v>
                </c:pt>
                <c:pt idx="67">
                  <c:v>4.9227456114375041</c:v>
                </c:pt>
                <c:pt idx="68">
                  <c:v>2.1303467985520985</c:v>
                </c:pt>
                <c:pt idx="69">
                  <c:v>3.7064411289479038</c:v>
                </c:pt>
                <c:pt idx="70">
                  <c:v>1.1518818759525624</c:v>
                </c:pt>
                <c:pt idx="71">
                  <c:v>1.7781104747314727</c:v>
                </c:pt>
                <c:pt idx="72">
                  <c:v>3.7350403199305444</c:v>
                </c:pt>
                <c:pt idx="73">
                  <c:v>3.0516133391863534</c:v>
                </c:pt>
                <c:pt idx="74">
                  <c:v>1.8353088566967535</c:v>
                </c:pt>
                <c:pt idx="75">
                  <c:v>4.9227456114375041</c:v>
                </c:pt>
                <c:pt idx="76">
                  <c:v>2.1303467985520985</c:v>
                </c:pt>
                <c:pt idx="77">
                  <c:v>3.0516133391863534</c:v>
                </c:pt>
                <c:pt idx="78">
                  <c:v>1.1804810669352028</c:v>
                </c:pt>
                <c:pt idx="79">
                  <c:v>2.1017476075694579</c:v>
                </c:pt>
                <c:pt idx="80">
                  <c:v>1.1518818759525624</c:v>
                </c:pt>
                <c:pt idx="81">
                  <c:v>3.7350403199305444</c:v>
                </c:pt>
                <c:pt idx="82">
                  <c:v>4.9513448024201452</c:v>
                </c:pt>
                <c:pt idx="83">
                  <c:v>4.0014790708032484</c:v>
                </c:pt>
                <c:pt idx="84">
                  <c:v>3.3180520900590578</c:v>
                </c:pt>
                <c:pt idx="85">
                  <c:v>3.6778419379652636</c:v>
                </c:pt>
                <c:pt idx="86">
                  <c:v>1.446919817807907</c:v>
                </c:pt>
                <c:pt idx="87">
                  <c:v>2.0731484165868173</c:v>
                </c:pt>
                <c:pt idx="88">
                  <c:v>3.0802125301689935</c:v>
                </c:pt>
                <c:pt idx="89">
                  <c:v>3.0802125301689935</c:v>
                </c:pt>
                <c:pt idx="90">
                  <c:v>3.7350403199305444</c:v>
                </c:pt>
                <c:pt idx="91">
                  <c:v>3.3180520900590578</c:v>
                </c:pt>
                <c:pt idx="92">
                  <c:v>2.7565753973310088</c:v>
                </c:pt>
                <c:pt idx="93">
                  <c:v>1.1518818759525624</c:v>
                </c:pt>
                <c:pt idx="94">
                  <c:v>1.1518818759525624</c:v>
                </c:pt>
                <c:pt idx="95">
                  <c:v>3.0802125301689935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6-448F-8858-A792D8F2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604879"/>
        <c:axId val="1581627919"/>
      </c:scatterChart>
      <c:valAx>
        <c:axId val="1581604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Q4_Hours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1627919"/>
        <c:crosses val="autoZero"/>
        <c:crossBetween val="midCat"/>
      </c:valAx>
      <c:valAx>
        <c:axId val="1581627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Q13_Grade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16048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Q5_CheckSchool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Q13_Grade</c:v>
          </c:tx>
          <c:spPr>
            <a:ln w="19050">
              <a:noFill/>
            </a:ln>
          </c:spPr>
          <c:xVal>
            <c:numRef>
              <c:f>Sheet4_Regression!$C$2:$C$97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2</c:v>
                </c:pt>
                <c:pt idx="30">
                  <c:v>5</c:v>
                </c:pt>
                <c:pt idx="31">
                  <c:v>3</c:v>
                </c:pt>
                <c:pt idx="32">
                  <c:v>2</c:v>
                </c:pt>
                <c:pt idx="33">
                  <c:v>4</c:v>
                </c:pt>
                <c:pt idx="34">
                  <c:v>1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5</c:v>
                </c:pt>
                <c:pt idx="43">
                  <c:v>4</c:v>
                </c:pt>
                <c:pt idx="44">
                  <c:v>1</c:v>
                </c:pt>
                <c:pt idx="45">
                  <c:v>5</c:v>
                </c:pt>
                <c:pt idx="46">
                  <c:v>3</c:v>
                </c:pt>
                <c:pt idx="47">
                  <c:v>4</c:v>
                </c:pt>
                <c:pt idx="48">
                  <c:v>4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1</c:v>
                </c:pt>
                <c:pt idx="60">
                  <c:v>3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3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5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5</c:v>
                </c:pt>
                <c:pt idx="75">
                  <c:v>1</c:v>
                </c:pt>
                <c:pt idx="76">
                  <c:v>4</c:v>
                </c:pt>
                <c:pt idx="77">
                  <c:v>3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3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3</c:v>
                </c:pt>
              </c:numCache>
            </c:numRef>
          </c:xVal>
          <c:yVal>
            <c:numRef>
              <c:f>Sheet4_Regression!$A$2:$A$97</c:f>
              <c:numCache>
                <c:formatCode>General</c:formatCode>
                <c:ptCount val="9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5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3-4C71-96BD-18700D951608}"/>
            </c:ext>
          </c:extLst>
        </c:ser>
        <c:ser>
          <c:idx val="1"/>
          <c:order val="1"/>
          <c:tx>
            <c:v>Predicted Q13_Grade</c:v>
          </c:tx>
          <c:spPr>
            <a:ln w="19050">
              <a:noFill/>
            </a:ln>
          </c:spPr>
          <c:xVal>
            <c:numRef>
              <c:f>Sheet4_Regression!$C$2:$C$97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2</c:v>
                </c:pt>
                <c:pt idx="30">
                  <c:v>5</c:v>
                </c:pt>
                <c:pt idx="31">
                  <c:v>3</c:v>
                </c:pt>
                <c:pt idx="32">
                  <c:v>2</c:v>
                </c:pt>
                <c:pt idx="33">
                  <c:v>4</c:v>
                </c:pt>
                <c:pt idx="34">
                  <c:v>1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5</c:v>
                </c:pt>
                <c:pt idx="43">
                  <c:v>4</c:v>
                </c:pt>
                <c:pt idx="44">
                  <c:v>1</c:v>
                </c:pt>
                <c:pt idx="45">
                  <c:v>5</c:v>
                </c:pt>
                <c:pt idx="46">
                  <c:v>3</c:v>
                </c:pt>
                <c:pt idx="47">
                  <c:v>4</c:v>
                </c:pt>
                <c:pt idx="48">
                  <c:v>4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1</c:v>
                </c:pt>
                <c:pt idx="60">
                  <c:v>3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3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5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5</c:v>
                </c:pt>
                <c:pt idx="75">
                  <c:v>1</c:v>
                </c:pt>
                <c:pt idx="76">
                  <c:v>4</c:v>
                </c:pt>
                <c:pt idx="77">
                  <c:v>3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3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3</c:v>
                </c:pt>
              </c:numCache>
            </c:numRef>
          </c:xVal>
          <c:yVal>
            <c:numRef>
              <c:f>Sheet4_Regression!$G$27:$G$122</c:f>
              <c:numCache>
                <c:formatCode>General</c:formatCode>
                <c:ptCount val="96"/>
                <c:pt idx="0">
                  <c:v>2.1017476075694579</c:v>
                </c:pt>
                <c:pt idx="1">
                  <c:v>3.0516133391863534</c:v>
                </c:pt>
                <c:pt idx="2">
                  <c:v>1.1518818759525624</c:v>
                </c:pt>
                <c:pt idx="3">
                  <c:v>3.0802125301689935</c:v>
                </c:pt>
                <c:pt idx="4">
                  <c:v>2.1017476075694579</c:v>
                </c:pt>
                <c:pt idx="5">
                  <c:v>4.0014790708032484</c:v>
                </c:pt>
                <c:pt idx="6">
                  <c:v>1.1518818759525624</c:v>
                </c:pt>
                <c:pt idx="7">
                  <c:v>3.0516133391863534</c:v>
                </c:pt>
                <c:pt idx="8">
                  <c:v>2.1017476075694579</c:v>
                </c:pt>
                <c:pt idx="9">
                  <c:v>4.0014790708032484</c:v>
                </c:pt>
                <c:pt idx="10">
                  <c:v>4.3251162036412349</c:v>
                </c:pt>
                <c:pt idx="11">
                  <c:v>3.0230141482037127</c:v>
                </c:pt>
                <c:pt idx="12">
                  <c:v>3.7064411289479038</c:v>
                </c:pt>
                <c:pt idx="13">
                  <c:v>4.2965170126585939</c:v>
                </c:pt>
                <c:pt idx="14">
                  <c:v>3.7350403199305444</c:v>
                </c:pt>
                <c:pt idx="15">
                  <c:v>4.0014790708032484</c:v>
                </c:pt>
                <c:pt idx="16">
                  <c:v>1.1804810669352028</c:v>
                </c:pt>
                <c:pt idx="17">
                  <c:v>3.3180520900590578</c:v>
                </c:pt>
                <c:pt idx="18">
                  <c:v>3.0516133391863534</c:v>
                </c:pt>
                <c:pt idx="19">
                  <c:v>1.4755190087905476</c:v>
                </c:pt>
                <c:pt idx="20">
                  <c:v>4.0300782617858895</c:v>
                </c:pt>
                <c:pt idx="21">
                  <c:v>1.8353088566967535</c:v>
                </c:pt>
                <c:pt idx="22">
                  <c:v>3.375250472024339</c:v>
                </c:pt>
                <c:pt idx="23">
                  <c:v>4.0300782617858895</c:v>
                </c:pt>
                <c:pt idx="24">
                  <c:v>4.6277076695821586</c:v>
                </c:pt>
                <c:pt idx="25">
                  <c:v>1.4755190087905476</c:v>
                </c:pt>
                <c:pt idx="26">
                  <c:v>2.3681863584421619</c:v>
                </c:pt>
                <c:pt idx="27">
                  <c:v>2.3681863584421619</c:v>
                </c:pt>
                <c:pt idx="28">
                  <c:v>2.1303467985520985</c:v>
                </c:pt>
                <c:pt idx="29">
                  <c:v>4.0014790708032484</c:v>
                </c:pt>
                <c:pt idx="30">
                  <c:v>1.7781104747314727</c:v>
                </c:pt>
                <c:pt idx="31">
                  <c:v>2.3967855494248025</c:v>
                </c:pt>
                <c:pt idx="32">
                  <c:v>4.6563068605647997</c:v>
                </c:pt>
                <c:pt idx="33">
                  <c:v>2.7279762063483681</c:v>
                </c:pt>
                <c:pt idx="34">
                  <c:v>4.2965170126585939</c:v>
                </c:pt>
                <c:pt idx="35">
                  <c:v>1.8353088566967535</c:v>
                </c:pt>
                <c:pt idx="36">
                  <c:v>2.3681863584421619</c:v>
                </c:pt>
                <c:pt idx="37">
                  <c:v>3.375250472024339</c:v>
                </c:pt>
                <c:pt idx="38">
                  <c:v>2.3967855494248025</c:v>
                </c:pt>
                <c:pt idx="39">
                  <c:v>3.3180520900590578</c:v>
                </c:pt>
                <c:pt idx="40">
                  <c:v>3.375250472024339</c:v>
                </c:pt>
                <c:pt idx="41">
                  <c:v>3.3180520900590578</c:v>
                </c:pt>
                <c:pt idx="42">
                  <c:v>1.1518818759525624</c:v>
                </c:pt>
                <c:pt idx="43">
                  <c:v>2.0731484165868173</c:v>
                </c:pt>
                <c:pt idx="44">
                  <c:v>4.2679178216759537</c:v>
                </c:pt>
                <c:pt idx="45">
                  <c:v>1.1518818759525624</c:v>
                </c:pt>
                <c:pt idx="46">
                  <c:v>2.3681863584421619</c:v>
                </c:pt>
                <c:pt idx="47">
                  <c:v>1.446919817807907</c:v>
                </c:pt>
                <c:pt idx="48">
                  <c:v>1.4755190087905476</c:v>
                </c:pt>
                <c:pt idx="49">
                  <c:v>3.3180520900590578</c:v>
                </c:pt>
                <c:pt idx="50">
                  <c:v>3.9728798798206082</c:v>
                </c:pt>
                <c:pt idx="51">
                  <c:v>2.3681863584421619</c:v>
                </c:pt>
                <c:pt idx="52">
                  <c:v>1.446919817807907</c:v>
                </c:pt>
                <c:pt idx="53">
                  <c:v>1.446919817807907</c:v>
                </c:pt>
                <c:pt idx="54">
                  <c:v>1.8353088566967535</c:v>
                </c:pt>
                <c:pt idx="55">
                  <c:v>4.0014790708032484</c:v>
                </c:pt>
                <c:pt idx="56">
                  <c:v>3.6778419379652636</c:v>
                </c:pt>
                <c:pt idx="57">
                  <c:v>4.9227456114375041</c:v>
                </c:pt>
                <c:pt idx="58">
                  <c:v>2.1303467985520985</c:v>
                </c:pt>
                <c:pt idx="59">
                  <c:v>4.2965170126585939</c:v>
                </c:pt>
                <c:pt idx="60">
                  <c:v>3.0516133391863534</c:v>
                </c:pt>
                <c:pt idx="61">
                  <c:v>1.7781104747314727</c:v>
                </c:pt>
                <c:pt idx="62">
                  <c:v>2.0731484165868173</c:v>
                </c:pt>
                <c:pt idx="63">
                  <c:v>2.7279762063483681</c:v>
                </c:pt>
                <c:pt idx="64">
                  <c:v>1.7781104747314727</c:v>
                </c:pt>
                <c:pt idx="65">
                  <c:v>2.1303467985520985</c:v>
                </c:pt>
                <c:pt idx="66">
                  <c:v>3.7064411289479038</c:v>
                </c:pt>
                <c:pt idx="67">
                  <c:v>4.9227456114375041</c:v>
                </c:pt>
                <c:pt idx="68">
                  <c:v>2.1303467985520985</c:v>
                </c:pt>
                <c:pt idx="69">
                  <c:v>3.7064411289479038</c:v>
                </c:pt>
                <c:pt idx="70">
                  <c:v>1.1518818759525624</c:v>
                </c:pt>
                <c:pt idx="71">
                  <c:v>1.7781104747314727</c:v>
                </c:pt>
                <c:pt idx="72">
                  <c:v>3.7350403199305444</c:v>
                </c:pt>
                <c:pt idx="73">
                  <c:v>3.0516133391863534</c:v>
                </c:pt>
                <c:pt idx="74">
                  <c:v>1.8353088566967535</c:v>
                </c:pt>
                <c:pt idx="75">
                  <c:v>4.9227456114375041</c:v>
                </c:pt>
                <c:pt idx="76">
                  <c:v>2.1303467985520985</c:v>
                </c:pt>
                <c:pt idx="77">
                  <c:v>3.0516133391863534</c:v>
                </c:pt>
                <c:pt idx="78">
                  <c:v>1.1804810669352028</c:v>
                </c:pt>
                <c:pt idx="79">
                  <c:v>2.1017476075694579</c:v>
                </c:pt>
                <c:pt idx="80">
                  <c:v>1.1518818759525624</c:v>
                </c:pt>
                <c:pt idx="81">
                  <c:v>3.7350403199305444</c:v>
                </c:pt>
                <c:pt idx="82">
                  <c:v>4.9513448024201452</c:v>
                </c:pt>
                <c:pt idx="83">
                  <c:v>4.0014790708032484</c:v>
                </c:pt>
                <c:pt idx="84">
                  <c:v>3.3180520900590578</c:v>
                </c:pt>
                <c:pt idx="85">
                  <c:v>3.6778419379652636</c:v>
                </c:pt>
                <c:pt idx="86">
                  <c:v>1.446919817807907</c:v>
                </c:pt>
                <c:pt idx="87">
                  <c:v>2.0731484165868173</c:v>
                </c:pt>
                <c:pt idx="88">
                  <c:v>3.0802125301689935</c:v>
                </c:pt>
                <c:pt idx="89">
                  <c:v>3.0802125301689935</c:v>
                </c:pt>
                <c:pt idx="90">
                  <c:v>3.7350403199305444</c:v>
                </c:pt>
                <c:pt idx="91">
                  <c:v>3.3180520900590578</c:v>
                </c:pt>
                <c:pt idx="92">
                  <c:v>2.7565753973310088</c:v>
                </c:pt>
                <c:pt idx="93">
                  <c:v>1.1518818759525624</c:v>
                </c:pt>
                <c:pt idx="94">
                  <c:v>1.1518818759525624</c:v>
                </c:pt>
                <c:pt idx="95">
                  <c:v>3.0802125301689935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3-4C71-96BD-18700D95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173855"/>
        <c:axId val="1948172895"/>
      </c:scatterChart>
      <c:valAx>
        <c:axId val="194817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Q5_CheckSchool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172895"/>
        <c:crosses val="autoZero"/>
        <c:crossBetween val="midCat"/>
      </c:valAx>
      <c:valAx>
        <c:axId val="19481728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Q13_Grade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1738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Q6_Multitask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Q13_Grade</c:v>
          </c:tx>
          <c:spPr>
            <a:ln w="19050">
              <a:noFill/>
            </a:ln>
          </c:spPr>
          <c:xVal>
            <c:numRef>
              <c:f>Sheet4_Regression!$D$2:$D$97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3</c:v>
                </c:pt>
                <c:pt idx="36">
                  <c:v>5</c:v>
                </c:pt>
                <c:pt idx="37">
                  <c:v>2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3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5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5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4</c:v>
                </c:pt>
                <c:pt idx="85">
                  <c:v>3</c:v>
                </c:pt>
                <c:pt idx="86">
                  <c:v>5</c:v>
                </c:pt>
                <c:pt idx="87">
                  <c:v>5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4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2</c:v>
                </c:pt>
              </c:numCache>
            </c:numRef>
          </c:xVal>
          <c:yVal>
            <c:numRef>
              <c:f>Sheet4_Regression!$A$2:$A$97</c:f>
              <c:numCache>
                <c:formatCode>General</c:formatCode>
                <c:ptCount val="9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5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5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A-4AD8-A834-F45EA42F6FD3}"/>
            </c:ext>
          </c:extLst>
        </c:ser>
        <c:ser>
          <c:idx val="1"/>
          <c:order val="1"/>
          <c:tx>
            <c:v>Predicted Q13_Grade</c:v>
          </c:tx>
          <c:spPr>
            <a:ln w="19050">
              <a:noFill/>
            </a:ln>
          </c:spPr>
          <c:xVal>
            <c:numRef>
              <c:f>Sheet4_Regression!$D$2:$D$97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3</c:v>
                </c:pt>
                <c:pt idx="36">
                  <c:v>5</c:v>
                </c:pt>
                <c:pt idx="37">
                  <c:v>2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3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5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5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4</c:v>
                </c:pt>
                <c:pt idx="85">
                  <c:v>3</c:v>
                </c:pt>
                <c:pt idx="86">
                  <c:v>5</c:v>
                </c:pt>
                <c:pt idx="87">
                  <c:v>5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4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2</c:v>
                </c:pt>
              </c:numCache>
            </c:numRef>
          </c:xVal>
          <c:yVal>
            <c:numRef>
              <c:f>Sheet4_Regression!$G$27:$G$122</c:f>
              <c:numCache>
                <c:formatCode>General</c:formatCode>
                <c:ptCount val="96"/>
                <c:pt idx="0">
                  <c:v>2.1017476075694579</c:v>
                </c:pt>
                <c:pt idx="1">
                  <c:v>3.0516133391863534</c:v>
                </c:pt>
                <c:pt idx="2">
                  <c:v>1.1518818759525624</c:v>
                </c:pt>
                <c:pt idx="3">
                  <c:v>3.0802125301689935</c:v>
                </c:pt>
                <c:pt idx="4">
                  <c:v>2.1017476075694579</c:v>
                </c:pt>
                <c:pt idx="5">
                  <c:v>4.0014790708032484</c:v>
                </c:pt>
                <c:pt idx="6">
                  <c:v>1.1518818759525624</c:v>
                </c:pt>
                <c:pt idx="7">
                  <c:v>3.0516133391863534</c:v>
                </c:pt>
                <c:pt idx="8">
                  <c:v>2.1017476075694579</c:v>
                </c:pt>
                <c:pt idx="9">
                  <c:v>4.0014790708032484</c:v>
                </c:pt>
                <c:pt idx="10">
                  <c:v>4.3251162036412349</c:v>
                </c:pt>
                <c:pt idx="11">
                  <c:v>3.0230141482037127</c:v>
                </c:pt>
                <c:pt idx="12">
                  <c:v>3.7064411289479038</c:v>
                </c:pt>
                <c:pt idx="13">
                  <c:v>4.2965170126585939</c:v>
                </c:pt>
                <c:pt idx="14">
                  <c:v>3.7350403199305444</c:v>
                </c:pt>
                <c:pt idx="15">
                  <c:v>4.0014790708032484</c:v>
                </c:pt>
                <c:pt idx="16">
                  <c:v>1.1804810669352028</c:v>
                </c:pt>
                <c:pt idx="17">
                  <c:v>3.3180520900590578</c:v>
                </c:pt>
                <c:pt idx="18">
                  <c:v>3.0516133391863534</c:v>
                </c:pt>
                <c:pt idx="19">
                  <c:v>1.4755190087905476</c:v>
                </c:pt>
                <c:pt idx="20">
                  <c:v>4.0300782617858895</c:v>
                </c:pt>
                <c:pt idx="21">
                  <c:v>1.8353088566967535</c:v>
                </c:pt>
                <c:pt idx="22">
                  <c:v>3.375250472024339</c:v>
                </c:pt>
                <c:pt idx="23">
                  <c:v>4.0300782617858895</c:v>
                </c:pt>
                <c:pt idx="24">
                  <c:v>4.6277076695821586</c:v>
                </c:pt>
                <c:pt idx="25">
                  <c:v>1.4755190087905476</c:v>
                </c:pt>
                <c:pt idx="26">
                  <c:v>2.3681863584421619</c:v>
                </c:pt>
                <c:pt idx="27">
                  <c:v>2.3681863584421619</c:v>
                </c:pt>
                <c:pt idx="28">
                  <c:v>2.1303467985520985</c:v>
                </c:pt>
                <c:pt idx="29">
                  <c:v>4.0014790708032484</c:v>
                </c:pt>
                <c:pt idx="30">
                  <c:v>1.7781104747314727</c:v>
                </c:pt>
                <c:pt idx="31">
                  <c:v>2.3967855494248025</c:v>
                </c:pt>
                <c:pt idx="32">
                  <c:v>4.6563068605647997</c:v>
                </c:pt>
                <c:pt idx="33">
                  <c:v>2.7279762063483681</c:v>
                </c:pt>
                <c:pt idx="34">
                  <c:v>4.2965170126585939</c:v>
                </c:pt>
                <c:pt idx="35">
                  <c:v>1.8353088566967535</c:v>
                </c:pt>
                <c:pt idx="36">
                  <c:v>2.3681863584421619</c:v>
                </c:pt>
                <c:pt idx="37">
                  <c:v>3.375250472024339</c:v>
                </c:pt>
                <c:pt idx="38">
                  <c:v>2.3967855494248025</c:v>
                </c:pt>
                <c:pt idx="39">
                  <c:v>3.3180520900590578</c:v>
                </c:pt>
                <c:pt idx="40">
                  <c:v>3.375250472024339</c:v>
                </c:pt>
                <c:pt idx="41">
                  <c:v>3.3180520900590578</c:v>
                </c:pt>
                <c:pt idx="42">
                  <c:v>1.1518818759525624</c:v>
                </c:pt>
                <c:pt idx="43">
                  <c:v>2.0731484165868173</c:v>
                </c:pt>
                <c:pt idx="44">
                  <c:v>4.2679178216759537</c:v>
                </c:pt>
                <c:pt idx="45">
                  <c:v>1.1518818759525624</c:v>
                </c:pt>
                <c:pt idx="46">
                  <c:v>2.3681863584421619</c:v>
                </c:pt>
                <c:pt idx="47">
                  <c:v>1.446919817807907</c:v>
                </c:pt>
                <c:pt idx="48">
                  <c:v>1.4755190087905476</c:v>
                </c:pt>
                <c:pt idx="49">
                  <c:v>3.3180520900590578</c:v>
                </c:pt>
                <c:pt idx="50">
                  <c:v>3.9728798798206082</c:v>
                </c:pt>
                <c:pt idx="51">
                  <c:v>2.3681863584421619</c:v>
                </c:pt>
                <c:pt idx="52">
                  <c:v>1.446919817807907</c:v>
                </c:pt>
                <c:pt idx="53">
                  <c:v>1.446919817807907</c:v>
                </c:pt>
                <c:pt idx="54">
                  <c:v>1.8353088566967535</c:v>
                </c:pt>
                <c:pt idx="55">
                  <c:v>4.0014790708032484</c:v>
                </c:pt>
                <c:pt idx="56">
                  <c:v>3.6778419379652636</c:v>
                </c:pt>
                <c:pt idx="57">
                  <c:v>4.9227456114375041</c:v>
                </c:pt>
                <c:pt idx="58">
                  <c:v>2.1303467985520985</c:v>
                </c:pt>
                <c:pt idx="59">
                  <c:v>4.2965170126585939</c:v>
                </c:pt>
                <c:pt idx="60">
                  <c:v>3.0516133391863534</c:v>
                </c:pt>
                <c:pt idx="61">
                  <c:v>1.7781104747314727</c:v>
                </c:pt>
                <c:pt idx="62">
                  <c:v>2.0731484165868173</c:v>
                </c:pt>
                <c:pt idx="63">
                  <c:v>2.7279762063483681</c:v>
                </c:pt>
                <c:pt idx="64">
                  <c:v>1.7781104747314727</c:v>
                </c:pt>
                <c:pt idx="65">
                  <c:v>2.1303467985520985</c:v>
                </c:pt>
                <c:pt idx="66">
                  <c:v>3.7064411289479038</c:v>
                </c:pt>
                <c:pt idx="67">
                  <c:v>4.9227456114375041</c:v>
                </c:pt>
                <c:pt idx="68">
                  <c:v>2.1303467985520985</c:v>
                </c:pt>
                <c:pt idx="69">
                  <c:v>3.7064411289479038</c:v>
                </c:pt>
                <c:pt idx="70">
                  <c:v>1.1518818759525624</c:v>
                </c:pt>
                <c:pt idx="71">
                  <c:v>1.7781104747314727</c:v>
                </c:pt>
                <c:pt idx="72">
                  <c:v>3.7350403199305444</c:v>
                </c:pt>
                <c:pt idx="73">
                  <c:v>3.0516133391863534</c:v>
                </c:pt>
                <c:pt idx="74">
                  <c:v>1.8353088566967535</c:v>
                </c:pt>
                <c:pt idx="75">
                  <c:v>4.9227456114375041</c:v>
                </c:pt>
                <c:pt idx="76">
                  <c:v>2.1303467985520985</c:v>
                </c:pt>
                <c:pt idx="77">
                  <c:v>3.0516133391863534</c:v>
                </c:pt>
                <c:pt idx="78">
                  <c:v>1.1804810669352028</c:v>
                </c:pt>
                <c:pt idx="79">
                  <c:v>2.1017476075694579</c:v>
                </c:pt>
                <c:pt idx="80">
                  <c:v>1.1518818759525624</c:v>
                </c:pt>
                <c:pt idx="81">
                  <c:v>3.7350403199305444</c:v>
                </c:pt>
                <c:pt idx="82">
                  <c:v>4.9513448024201452</c:v>
                </c:pt>
                <c:pt idx="83">
                  <c:v>4.0014790708032484</c:v>
                </c:pt>
                <c:pt idx="84">
                  <c:v>3.3180520900590578</c:v>
                </c:pt>
                <c:pt idx="85">
                  <c:v>3.6778419379652636</c:v>
                </c:pt>
                <c:pt idx="86">
                  <c:v>1.446919817807907</c:v>
                </c:pt>
                <c:pt idx="87">
                  <c:v>2.0731484165868173</c:v>
                </c:pt>
                <c:pt idx="88">
                  <c:v>3.0802125301689935</c:v>
                </c:pt>
                <c:pt idx="89">
                  <c:v>3.0802125301689935</c:v>
                </c:pt>
                <c:pt idx="90">
                  <c:v>3.7350403199305444</c:v>
                </c:pt>
                <c:pt idx="91">
                  <c:v>3.3180520900590578</c:v>
                </c:pt>
                <c:pt idx="92">
                  <c:v>2.7565753973310088</c:v>
                </c:pt>
                <c:pt idx="93">
                  <c:v>1.1518818759525624</c:v>
                </c:pt>
                <c:pt idx="94">
                  <c:v>1.1518818759525624</c:v>
                </c:pt>
                <c:pt idx="95">
                  <c:v>3.0802125301689935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FA-4AD8-A834-F45EA42F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173855"/>
        <c:axId val="1948174815"/>
      </c:scatterChart>
      <c:valAx>
        <c:axId val="194817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Q6_Multitask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174815"/>
        <c:crosses val="autoZero"/>
        <c:crossBetween val="midCat"/>
      </c:valAx>
      <c:valAx>
        <c:axId val="1948174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Q13_Grade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1738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Sheet4_Regression!$J$27:$J$122</c:f>
              <c:numCache>
                <c:formatCode>General</c:formatCode>
                <c:ptCount val="96"/>
                <c:pt idx="0">
                  <c:v>0.52083333333333337</c:v>
                </c:pt>
                <c:pt idx="1">
                  <c:v>1.5625</c:v>
                </c:pt>
                <c:pt idx="2">
                  <c:v>2.604166666666667</c:v>
                </c:pt>
                <c:pt idx="3">
                  <c:v>3.6458333333333335</c:v>
                </c:pt>
                <c:pt idx="4">
                  <c:v>4.6875</c:v>
                </c:pt>
                <c:pt idx="5">
                  <c:v>5.729166666666667</c:v>
                </c:pt>
                <c:pt idx="6">
                  <c:v>6.770833333333333</c:v>
                </c:pt>
                <c:pt idx="7">
                  <c:v>7.8125</c:v>
                </c:pt>
                <c:pt idx="8">
                  <c:v>8.8541666666666679</c:v>
                </c:pt>
                <c:pt idx="9">
                  <c:v>9.8958333333333339</c:v>
                </c:pt>
                <c:pt idx="10">
                  <c:v>10.937500000000002</c:v>
                </c:pt>
                <c:pt idx="11">
                  <c:v>11.979166666666668</c:v>
                </c:pt>
                <c:pt idx="12">
                  <c:v>13.020833333333334</c:v>
                </c:pt>
                <c:pt idx="13">
                  <c:v>14.062500000000002</c:v>
                </c:pt>
                <c:pt idx="14">
                  <c:v>15.104166666666668</c:v>
                </c:pt>
                <c:pt idx="15">
                  <c:v>16.145833333333336</c:v>
                </c:pt>
                <c:pt idx="16">
                  <c:v>17.1875</c:v>
                </c:pt>
                <c:pt idx="17">
                  <c:v>18.229166666666668</c:v>
                </c:pt>
                <c:pt idx="18">
                  <c:v>19.270833333333332</c:v>
                </c:pt>
                <c:pt idx="19">
                  <c:v>20.3125</c:v>
                </c:pt>
                <c:pt idx="20">
                  <c:v>21.354166666666668</c:v>
                </c:pt>
                <c:pt idx="21">
                  <c:v>22.395833333333332</c:v>
                </c:pt>
                <c:pt idx="22">
                  <c:v>23.4375</c:v>
                </c:pt>
                <c:pt idx="23">
                  <c:v>24.479166666666668</c:v>
                </c:pt>
                <c:pt idx="24">
                  <c:v>25.520833333333332</c:v>
                </c:pt>
                <c:pt idx="25">
                  <c:v>26.5625</c:v>
                </c:pt>
                <c:pt idx="26">
                  <c:v>27.604166666666668</c:v>
                </c:pt>
                <c:pt idx="27">
                  <c:v>28.645833333333336</c:v>
                </c:pt>
                <c:pt idx="28">
                  <c:v>29.6875</c:v>
                </c:pt>
                <c:pt idx="29">
                  <c:v>30.729166666666668</c:v>
                </c:pt>
                <c:pt idx="30">
                  <c:v>31.770833333333336</c:v>
                </c:pt>
                <c:pt idx="31">
                  <c:v>32.812500000000007</c:v>
                </c:pt>
                <c:pt idx="32">
                  <c:v>33.854166666666671</c:v>
                </c:pt>
                <c:pt idx="33">
                  <c:v>34.895833333333336</c:v>
                </c:pt>
                <c:pt idx="34">
                  <c:v>35.937500000000007</c:v>
                </c:pt>
                <c:pt idx="35">
                  <c:v>36.979166666666671</c:v>
                </c:pt>
                <c:pt idx="36">
                  <c:v>38.020833333333336</c:v>
                </c:pt>
                <c:pt idx="37">
                  <c:v>39.062500000000007</c:v>
                </c:pt>
                <c:pt idx="38">
                  <c:v>40.104166666666671</c:v>
                </c:pt>
                <c:pt idx="39">
                  <c:v>41.145833333333336</c:v>
                </c:pt>
                <c:pt idx="40">
                  <c:v>42.187500000000007</c:v>
                </c:pt>
                <c:pt idx="41">
                  <c:v>43.229166666666671</c:v>
                </c:pt>
                <c:pt idx="42">
                  <c:v>44.270833333333336</c:v>
                </c:pt>
                <c:pt idx="43">
                  <c:v>45.312500000000007</c:v>
                </c:pt>
                <c:pt idx="44">
                  <c:v>46.354166666666671</c:v>
                </c:pt>
                <c:pt idx="45">
                  <c:v>47.395833333333336</c:v>
                </c:pt>
                <c:pt idx="46">
                  <c:v>48.437500000000007</c:v>
                </c:pt>
                <c:pt idx="47">
                  <c:v>49.479166666666671</c:v>
                </c:pt>
                <c:pt idx="48">
                  <c:v>50.520833333333336</c:v>
                </c:pt>
                <c:pt idx="49">
                  <c:v>51.562500000000007</c:v>
                </c:pt>
                <c:pt idx="50">
                  <c:v>52.604166666666671</c:v>
                </c:pt>
                <c:pt idx="51">
                  <c:v>53.645833333333343</c:v>
                </c:pt>
                <c:pt idx="52">
                  <c:v>54.687500000000007</c:v>
                </c:pt>
                <c:pt idx="53">
                  <c:v>55.729166666666671</c:v>
                </c:pt>
                <c:pt idx="54">
                  <c:v>56.770833333333343</c:v>
                </c:pt>
                <c:pt idx="55">
                  <c:v>57.812500000000007</c:v>
                </c:pt>
                <c:pt idx="56">
                  <c:v>58.854166666666671</c:v>
                </c:pt>
                <c:pt idx="57">
                  <c:v>59.895833333333343</c:v>
                </c:pt>
                <c:pt idx="58">
                  <c:v>60.937500000000007</c:v>
                </c:pt>
                <c:pt idx="59">
                  <c:v>61.979166666666671</c:v>
                </c:pt>
                <c:pt idx="60">
                  <c:v>63.020833333333343</c:v>
                </c:pt>
                <c:pt idx="61">
                  <c:v>64.0625</c:v>
                </c:pt>
                <c:pt idx="62">
                  <c:v>65.104166666666671</c:v>
                </c:pt>
                <c:pt idx="63">
                  <c:v>66.145833333333329</c:v>
                </c:pt>
                <c:pt idx="64">
                  <c:v>67.1875</c:v>
                </c:pt>
                <c:pt idx="65">
                  <c:v>68.229166666666671</c:v>
                </c:pt>
                <c:pt idx="66">
                  <c:v>69.270833333333329</c:v>
                </c:pt>
                <c:pt idx="67">
                  <c:v>70.3125</c:v>
                </c:pt>
                <c:pt idx="68">
                  <c:v>71.354166666666671</c:v>
                </c:pt>
                <c:pt idx="69">
                  <c:v>72.395833333333329</c:v>
                </c:pt>
                <c:pt idx="70">
                  <c:v>73.4375</c:v>
                </c:pt>
                <c:pt idx="71">
                  <c:v>74.479166666666671</c:v>
                </c:pt>
                <c:pt idx="72">
                  <c:v>75.520833333333329</c:v>
                </c:pt>
                <c:pt idx="73">
                  <c:v>76.5625</c:v>
                </c:pt>
                <c:pt idx="74">
                  <c:v>77.604166666666671</c:v>
                </c:pt>
                <c:pt idx="75">
                  <c:v>78.645833333333329</c:v>
                </c:pt>
                <c:pt idx="76">
                  <c:v>79.6875</c:v>
                </c:pt>
                <c:pt idx="77">
                  <c:v>80.729166666666671</c:v>
                </c:pt>
                <c:pt idx="78">
                  <c:v>81.770833333333329</c:v>
                </c:pt>
                <c:pt idx="79">
                  <c:v>82.8125</c:v>
                </c:pt>
                <c:pt idx="80">
                  <c:v>83.854166666666671</c:v>
                </c:pt>
                <c:pt idx="81">
                  <c:v>84.895833333333329</c:v>
                </c:pt>
                <c:pt idx="82">
                  <c:v>85.9375</c:v>
                </c:pt>
                <c:pt idx="83">
                  <c:v>86.979166666666671</c:v>
                </c:pt>
                <c:pt idx="84">
                  <c:v>88.020833333333329</c:v>
                </c:pt>
                <c:pt idx="85">
                  <c:v>89.0625</c:v>
                </c:pt>
                <c:pt idx="86">
                  <c:v>90.104166666666671</c:v>
                </c:pt>
                <c:pt idx="87">
                  <c:v>91.145833333333329</c:v>
                </c:pt>
                <c:pt idx="88">
                  <c:v>92.1875</c:v>
                </c:pt>
                <c:pt idx="89">
                  <c:v>93.229166666666671</c:v>
                </c:pt>
                <c:pt idx="90">
                  <c:v>94.270833333333329</c:v>
                </c:pt>
                <c:pt idx="91">
                  <c:v>95.3125</c:v>
                </c:pt>
                <c:pt idx="92">
                  <c:v>96.354166666666671</c:v>
                </c:pt>
                <c:pt idx="93">
                  <c:v>97.395833333333329</c:v>
                </c:pt>
                <c:pt idx="94">
                  <c:v>98.4375</c:v>
                </c:pt>
                <c:pt idx="95">
                  <c:v>99.479166666666671</c:v>
                </c:pt>
              </c:numCache>
            </c:numRef>
          </c:xVal>
          <c:yVal>
            <c:numRef>
              <c:f>Sheet4_Regression!$K$27:$K$122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D-4464-9343-6FF682A93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858975"/>
        <c:axId val="1898859455"/>
      </c:scatterChart>
      <c:valAx>
        <c:axId val="1898858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8859455"/>
        <c:crosses val="autoZero"/>
        <c:crossBetween val="midCat"/>
      </c:valAx>
      <c:valAx>
        <c:axId val="18988594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988589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6350</xdr:rowOff>
    </xdr:from>
    <xdr:to>
      <xdr:col>7</xdr:col>
      <xdr:colOff>466725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F4B39-3B7B-BA06-9B26-5D6448E8D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4</xdr:row>
      <xdr:rowOff>107950</xdr:rowOff>
    </xdr:from>
    <xdr:to>
      <xdr:col>20</xdr:col>
      <xdr:colOff>247650</xdr:colOff>
      <xdr:row>14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36ED5-E091-250A-C8B2-2CA4083FA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31750</xdr:colOff>
      <xdr:row>1</xdr:row>
      <xdr:rowOff>19050</xdr:rowOff>
    </xdr:from>
    <xdr:to>
      <xdr:col>28</xdr:col>
      <xdr:colOff>31750</xdr:colOff>
      <xdr:row>11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E8098-BE01-9257-09C5-74B091B02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17</xdr:row>
      <xdr:rowOff>95250</xdr:rowOff>
    </xdr:from>
    <xdr:to>
      <xdr:col>22</xdr:col>
      <xdr:colOff>266700</xdr:colOff>
      <xdr:row>27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D99F39-352A-1E65-5221-E99E0BF43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158750</xdr:colOff>
      <xdr:row>9</xdr:row>
      <xdr:rowOff>171450</xdr:rowOff>
    </xdr:from>
    <xdr:to>
      <xdr:col>29</xdr:col>
      <xdr:colOff>158750</xdr:colOff>
      <xdr:row>19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31ABE1-BAF7-D903-C94C-0A45788BD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4E6-7841-4F12-83F9-A18B2AD93396}">
  <dimension ref="A1:V125"/>
  <sheetViews>
    <sheetView workbookViewId="0">
      <selection activeCell="F14" sqref="F14"/>
    </sheetView>
  </sheetViews>
  <sheetFormatPr defaultRowHeight="14.5" x14ac:dyDescent="0.35"/>
  <sheetData>
    <row r="1" spans="1:22" ht="15.5" x14ac:dyDescent="0.35">
      <c r="A1" s="20" t="s">
        <v>131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x14ac:dyDescent="0.35">
      <c r="A2" s="1" t="s">
        <v>0</v>
      </c>
      <c r="B2" s="19" t="s">
        <v>1</v>
      </c>
      <c r="C2" s="19"/>
      <c r="D2" s="19"/>
      <c r="E2" s="19"/>
      <c r="F2" s="19"/>
    </row>
    <row r="3" spans="1:22" x14ac:dyDescent="0.35">
      <c r="A3" s="2" t="s">
        <v>2</v>
      </c>
      <c r="B3" s="18" t="s">
        <v>3</v>
      </c>
      <c r="C3" s="18"/>
      <c r="D3" s="18"/>
      <c r="E3" s="18"/>
      <c r="F3" s="18"/>
    </row>
    <row r="4" spans="1:22" x14ac:dyDescent="0.35">
      <c r="A4" s="1" t="s">
        <v>4</v>
      </c>
      <c r="B4" s="19" t="s">
        <v>5</v>
      </c>
      <c r="C4" s="19"/>
      <c r="D4" s="19"/>
      <c r="E4" s="19"/>
      <c r="F4" s="19"/>
    </row>
    <row r="5" spans="1:22" x14ac:dyDescent="0.35">
      <c r="A5" s="2" t="s">
        <v>6</v>
      </c>
      <c r="B5" s="18" t="s">
        <v>7</v>
      </c>
      <c r="C5" s="18"/>
      <c r="D5" s="18"/>
      <c r="E5" s="18"/>
      <c r="F5" s="18"/>
    </row>
    <row r="6" spans="1:22" x14ac:dyDescent="0.35">
      <c r="A6" s="1" t="s">
        <v>8</v>
      </c>
      <c r="B6" s="19" t="s">
        <v>9</v>
      </c>
      <c r="C6" s="19"/>
      <c r="D6" s="19"/>
      <c r="E6" s="19"/>
      <c r="F6" s="19"/>
    </row>
    <row r="7" spans="1:22" x14ac:dyDescent="0.35">
      <c r="A7" s="2" t="s">
        <v>10</v>
      </c>
      <c r="B7" s="18" t="s">
        <v>11</v>
      </c>
      <c r="C7" s="18"/>
      <c r="D7" s="18"/>
      <c r="E7" s="18"/>
      <c r="F7" s="18"/>
    </row>
    <row r="8" spans="1:22" x14ac:dyDescent="0.35">
      <c r="A8" s="1" t="s">
        <v>12</v>
      </c>
      <c r="B8" s="19" t="s">
        <v>13</v>
      </c>
      <c r="C8" s="19"/>
      <c r="D8" s="19"/>
      <c r="E8" s="19"/>
      <c r="F8" s="19"/>
    </row>
    <row r="9" spans="1:22" x14ac:dyDescent="0.35">
      <c r="A9" s="2" t="s">
        <v>14</v>
      </c>
      <c r="B9" s="18" t="s">
        <v>15</v>
      </c>
      <c r="C9" s="18"/>
      <c r="D9" s="18"/>
      <c r="E9" s="18"/>
      <c r="F9" s="18"/>
    </row>
    <row r="10" spans="1:22" x14ac:dyDescent="0.35">
      <c r="A10" s="1" t="s">
        <v>16</v>
      </c>
      <c r="B10" s="19" t="s">
        <v>17</v>
      </c>
      <c r="C10" s="19"/>
      <c r="D10" s="19"/>
      <c r="E10" s="19"/>
      <c r="F10" s="19"/>
    </row>
    <row r="11" spans="1:22" x14ac:dyDescent="0.35">
      <c r="A11" s="2" t="s">
        <v>18</v>
      </c>
      <c r="B11" s="18" t="s">
        <v>19</v>
      </c>
      <c r="C11" s="18"/>
      <c r="D11" s="18"/>
      <c r="E11" s="18"/>
      <c r="F11" s="18"/>
    </row>
    <row r="12" spans="1:22" x14ac:dyDescent="0.35">
      <c r="A12" s="1" t="s">
        <v>20</v>
      </c>
      <c r="B12" s="19" t="s">
        <v>21</v>
      </c>
      <c r="C12" s="19"/>
      <c r="D12" s="19"/>
      <c r="E12" s="19"/>
      <c r="F12" s="19"/>
    </row>
    <row r="13" spans="1:22" x14ac:dyDescent="0.35">
      <c r="A13" s="2" t="s">
        <v>22</v>
      </c>
      <c r="B13" s="18" t="s">
        <v>23</v>
      </c>
      <c r="C13" s="18"/>
      <c r="D13" s="18"/>
      <c r="E13" s="18"/>
      <c r="F13" s="18"/>
    </row>
    <row r="16" spans="1:22" ht="46" x14ac:dyDescent="0.35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4</v>
      </c>
      <c r="F16" s="3" t="s">
        <v>28</v>
      </c>
      <c r="G16" s="3" t="s">
        <v>29</v>
      </c>
      <c r="H16" s="3" t="s">
        <v>10</v>
      </c>
      <c r="I16" s="3" t="s">
        <v>30</v>
      </c>
      <c r="J16" s="3" t="s">
        <v>31</v>
      </c>
      <c r="K16" s="3" t="s">
        <v>32</v>
      </c>
      <c r="L16" s="3" t="s">
        <v>33</v>
      </c>
      <c r="M16" s="3" t="s">
        <v>34</v>
      </c>
      <c r="N16" s="3" t="s">
        <v>16</v>
      </c>
      <c r="O16" s="3" t="s">
        <v>35</v>
      </c>
      <c r="P16" s="3" t="s">
        <v>36</v>
      </c>
      <c r="Q16" s="3" t="s">
        <v>37</v>
      </c>
      <c r="R16" s="3" t="s">
        <v>38</v>
      </c>
      <c r="S16" s="3" t="s">
        <v>20</v>
      </c>
      <c r="T16" s="3" t="s">
        <v>22</v>
      </c>
      <c r="U16" s="3" t="s">
        <v>39</v>
      </c>
      <c r="V16" s="3" t="s">
        <v>40</v>
      </c>
    </row>
    <row r="17" spans="1:22" x14ac:dyDescent="0.35">
      <c r="A17" s="4">
        <v>1</v>
      </c>
      <c r="B17" s="4">
        <v>1</v>
      </c>
      <c r="C17" s="4">
        <v>10</v>
      </c>
      <c r="D17" s="4">
        <v>2</v>
      </c>
      <c r="E17" s="4">
        <v>4</v>
      </c>
      <c r="F17" s="4">
        <v>4</v>
      </c>
      <c r="G17" s="4">
        <v>4</v>
      </c>
      <c r="H17" s="4">
        <v>1</v>
      </c>
      <c r="I17" s="4">
        <v>4</v>
      </c>
      <c r="J17" s="4">
        <v>4</v>
      </c>
      <c r="K17" s="4">
        <v>5</v>
      </c>
      <c r="L17" s="4">
        <v>2</v>
      </c>
      <c r="M17" s="4">
        <v>4</v>
      </c>
      <c r="N17" s="4">
        <v>2</v>
      </c>
      <c r="O17" s="4">
        <v>2</v>
      </c>
      <c r="P17" s="4">
        <v>3</v>
      </c>
      <c r="Q17" s="4">
        <v>3</v>
      </c>
      <c r="R17" s="4">
        <v>2</v>
      </c>
      <c r="S17" s="4">
        <v>4</v>
      </c>
      <c r="T17" s="4">
        <v>2</v>
      </c>
      <c r="U17" s="4">
        <v>4</v>
      </c>
      <c r="V17" s="4">
        <v>4.2</v>
      </c>
    </row>
    <row r="18" spans="1:22" x14ac:dyDescent="0.35">
      <c r="A18" s="5">
        <v>2</v>
      </c>
      <c r="B18" s="5">
        <v>2</v>
      </c>
      <c r="C18" s="5">
        <v>11</v>
      </c>
      <c r="D18" s="5">
        <v>1</v>
      </c>
      <c r="E18" s="5">
        <v>3</v>
      </c>
      <c r="F18" s="5">
        <v>3</v>
      </c>
      <c r="G18" s="5">
        <v>3</v>
      </c>
      <c r="H18" s="5">
        <v>2</v>
      </c>
      <c r="I18" s="5">
        <v>3</v>
      </c>
      <c r="J18" s="5">
        <v>4</v>
      </c>
      <c r="K18" s="5">
        <v>4</v>
      </c>
      <c r="L18" s="5">
        <v>3</v>
      </c>
      <c r="M18" s="5">
        <v>3</v>
      </c>
      <c r="N18" s="5">
        <v>3</v>
      </c>
      <c r="O18" s="5">
        <v>3</v>
      </c>
      <c r="P18" s="5">
        <v>3</v>
      </c>
      <c r="Q18" s="5">
        <v>4</v>
      </c>
      <c r="R18" s="5">
        <v>3</v>
      </c>
      <c r="S18" s="5">
        <v>3</v>
      </c>
      <c r="T18" s="5">
        <v>2</v>
      </c>
      <c r="U18" s="5">
        <v>3</v>
      </c>
      <c r="V18" s="5">
        <v>3.4</v>
      </c>
    </row>
    <row r="19" spans="1:22" x14ac:dyDescent="0.35">
      <c r="A19" s="4">
        <v>3</v>
      </c>
      <c r="B19" s="4">
        <v>1</v>
      </c>
      <c r="C19" s="4">
        <v>9</v>
      </c>
      <c r="D19" s="4">
        <v>3</v>
      </c>
      <c r="E19" s="4">
        <v>5</v>
      </c>
      <c r="F19" s="4">
        <v>5</v>
      </c>
      <c r="G19" s="4">
        <v>5</v>
      </c>
      <c r="H19" s="4">
        <v>1</v>
      </c>
      <c r="I19" s="4">
        <v>5</v>
      </c>
      <c r="J19" s="4">
        <v>5</v>
      </c>
      <c r="K19" s="4">
        <v>5</v>
      </c>
      <c r="L19" s="4">
        <v>1</v>
      </c>
      <c r="M19" s="4">
        <v>5</v>
      </c>
      <c r="N19" s="4">
        <v>1</v>
      </c>
      <c r="O19" s="4">
        <v>1</v>
      </c>
      <c r="P19" s="4">
        <v>2</v>
      </c>
      <c r="Q19" s="4">
        <v>2</v>
      </c>
      <c r="R19" s="4">
        <v>1</v>
      </c>
      <c r="S19" s="4">
        <v>5</v>
      </c>
      <c r="T19" s="4">
        <v>1</v>
      </c>
      <c r="U19" s="4">
        <v>5</v>
      </c>
      <c r="V19" s="4">
        <v>5</v>
      </c>
    </row>
    <row r="20" spans="1:22" x14ac:dyDescent="0.35">
      <c r="A20" s="5">
        <v>4</v>
      </c>
      <c r="B20" s="5">
        <v>2</v>
      </c>
      <c r="C20" s="5">
        <v>12</v>
      </c>
      <c r="D20" s="5">
        <v>2</v>
      </c>
      <c r="E20" s="5">
        <v>3</v>
      </c>
      <c r="F20" s="5">
        <v>3</v>
      </c>
      <c r="G20" s="5">
        <v>2</v>
      </c>
      <c r="H20" s="5">
        <v>1</v>
      </c>
      <c r="I20" s="5">
        <v>3</v>
      </c>
      <c r="J20" s="5">
        <v>3</v>
      </c>
      <c r="K20" s="5">
        <v>4</v>
      </c>
      <c r="L20" s="5">
        <v>3</v>
      </c>
      <c r="M20" s="5">
        <v>3</v>
      </c>
      <c r="N20" s="5">
        <v>4</v>
      </c>
      <c r="O20" s="5">
        <v>4</v>
      </c>
      <c r="P20" s="5">
        <v>4</v>
      </c>
      <c r="Q20" s="5">
        <v>4</v>
      </c>
      <c r="R20" s="5">
        <v>3</v>
      </c>
      <c r="S20" s="5">
        <v>3</v>
      </c>
      <c r="T20" s="5">
        <v>2</v>
      </c>
      <c r="U20" s="5">
        <v>3</v>
      </c>
      <c r="V20" s="5">
        <v>3.2</v>
      </c>
    </row>
    <row r="21" spans="1:22" x14ac:dyDescent="0.35">
      <c r="A21" s="4">
        <v>5</v>
      </c>
      <c r="B21" s="4">
        <v>1</v>
      </c>
      <c r="C21" s="4">
        <v>10</v>
      </c>
      <c r="D21" s="4">
        <v>1</v>
      </c>
      <c r="E21" s="4">
        <v>4</v>
      </c>
      <c r="F21" s="4">
        <v>4</v>
      </c>
      <c r="G21" s="4">
        <v>4</v>
      </c>
      <c r="H21" s="4">
        <v>3</v>
      </c>
      <c r="I21" s="4">
        <v>4</v>
      </c>
      <c r="J21" s="4">
        <v>4</v>
      </c>
      <c r="K21" s="4">
        <v>4</v>
      </c>
      <c r="L21" s="4">
        <v>2</v>
      </c>
      <c r="M21" s="4">
        <v>4</v>
      </c>
      <c r="N21" s="4">
        <v>2</v>
      </c>
      <c r="O21" s="4">
        <v>2</v>
      </c>
      <c r="P21" s="4">
        <v>3</v>
      </c>
      <c r="Q21" s="4">
        <v>3</v>
      </c>
      <c r="R21" s="4">
        <v>2</v>
      </c>
      <c r="S21" s="4">
        <v>4</v>
      </c>
      <c r="T21" s="4">
        <v>2</v>
      </c>
      <c r="U21" s="4">
        <v>4</v>
      </c>
      <c r="V21" s="4">
        <v>4</v>
      </c>
    </row>
    <row r="22" spans="1:22" x14ac:dyDescent="0.35">
      <c r="A22" s="5">
        <v>6</v>
      </c>
      <c r="B22" s="5">
        <v>2</v>
      </c>
      <c r="C22" s="5">
        <v>9</v>
      </c>
      <c r="D22" s="5">
        <v>2</v>
      </c>
      <c r="E22" s="5">
        <v>2</v>
      </c>
      <c r="F22" s="5">
        <v>2</v>
      </c>
      <c r="G22" s="5">
        <v>2</v>
      </c>
      <c r="H22" s="5">
        <v>2</v>
      </c>
      <c r="I22" s="5">
        <v>2</v>
      </c>
      <c r="J22" s="5">
        <v>2</v>
      </c>
      <c r="K22" s="5">
        <v>3</v>
      </c>
      <c r="L22" s="5">
        <v>4</v>
      </c>
      <c r="M22" s="5">
        <v>2</v>
      </c>
      <c r="N22" s="5">
        <v>4</v>
      </c>
      <c r="O22" s="5">
        <v>4</v>
      </c>
      <c r="P22" s="5">
        <v>4</v>
      </c>
      <c r="Q22" s="5">
        <v>4</v>
      </c>
      <c r="R22" s="5">
        <v>2</v>
      </c>
      <c r="S22" s="5">
        <v>2</v>
      </c>
      <c r="T22" s="5">
        <v>3</v>
      </c>
      <c r="U22" s="5">
        <v>2</v>
      </c>
      <c r="V22" s="5">
        <v>2.2000000000000002</v>
      </c>
    </row>
    <row r="23" spans="1:22" x14ac:dyDescent="0.35">
      <c r="A23" s="4">
        <v>7</v>
      </c>
      <c r="B23" s="4">
        <v>1</v>
      </c>
      <c r="C23" s="4">
        <v>11</v>
      </c>
      <c r="D23" s="4">
        <v>3</v>
      </c>
      <c r="E23" s="4">
        <v>5</v>
      </c>
      <c r="F23" s="4">
        <v>5</v>
      </c>
      <c r="G23" s="4">
        <v>5</v>
      </c>
      <c r="H23" s="4">
        <v>1</v>
      </c>
      <c r="I23" s="4">
        <v>5</v>
      </c>
      <c r="J23" s="4">
        <v>5</v>
      </c>
      <c r="K23" s="4">
        <v>5</v>
      </c>
      <c r="L23" s="4">
        <v>1</v>
      </c>
      <c r="M23" s="4">
        <v>5</v>
      </c>
      <c r="N23" s="4">
        <v>1</v>
      </c>
      <c r="O23" s="4">
        <v>1</v>
      </c>
      <c r="P23" s="4">
        <v>2</v>
      </c>
      <c r="Q23" s="4">
        <v>2</v>
      </c>
      <c r="R23" s="4">
        <v>1</v>
      </c>
      <c r="S23" s="4">
        <v>5</v>
      </c>
      <c r="T23" s="4">
        <v>1</v>
      </c>
      <c r="U23" s="4">
        <v>5</v>
      </c>
      <c r="V23" s="4">
        <v>5</v>
      </c>
    </row>
    <row r="24" spans="1:22" x14ac:dyDescent="0.35">
      <c r="A24" s="5">
        <v>8</v>
      </c>
      <c r="B24" s="5">
        <v>2</v>
      </c>
      <c r="C24" s="5">
        <v>10</v>
      </c>
      <c r="D24" s="5">
        <v>2</v>
      </c>
      <c r="E24" s="5">
        <v>3</v>
      </c>
      <c r="F24" s="5">
        <v>3</v>
      </c>
      <c r="G24" s="5">
        <v>3</v>
      </c>
      <c r="H24" s="5">
        <v>1</v>
      </c>
      <c r="I24" s="5">
        <v>3</v>
      </c>
      <c r="J24" s="5">
        <v>3</v>
      </c>
      <c r="K24" s="5">
        <v>3</v>
      </c>
      <c r="L24" s="5">
        <v>3</v>
      </c>
      <c r="M24" s="5">
        <v>3</v>
      </c>
      <c r="N24" s="5">
        <v>3</v>
      </c>
      <c r="O24" s="5">
        <v>3</v>
      </c>
      <c r="P24" s="5">
        <v>4</v>
      </c>
      <c r="Q24" s="5">
        <v>3</v>
      </c>
      <c r="R24" s="5">
        <v>3</v>
      </c>
      <c r="S24" s="5">
        <v>3</v>
      </c>
      <c r="T24" s="5">
        <v>2</v>
      </c>
      <c r="U24" s="5">
        <v>3</v>
      </c>
      <c r="V24" s="5">
        <v>3</v>
      </c>
    </row>
    <row r="25" spans="1:22" x14ac:dyDescent="0.35">
      <c r="A25" s="4">
        <v>9</v>
      </c>
      <c r="B25" s="4">
        <v>1</v>
      </c>
      <c r="C25" s="4">
        <v>12</v>
      </c>
      <c r="D25" s="4">
        <v>1</v>
      </c>
      <c r="E25" s="4">
        <v>4</v>
      </c>
      <c r="F25" s="4">
        <v>4</v>
      </c>
      <c r="G25" s="4">
        <v>4</v>
      </c>
      <c r="H25" s="4">
        <v>2</v>
      </c>
      <c r="I25" s="4">
        <v>4</v>
      </c>
      <c r="J25" s="4">
        <v>4</v>
      </c>
      <c r="K25" s="4">
        <v>5</v>
      </c>
      <c r="L25" s="4">
        <v>2</v>
      </c>
      <c r="M25" s="4">
        <v>4</v>
      </c>
      <c r="N25" s="4">
        <v>2</v>
      </c>
      <c r="O25" s="4">
        <v>2</v>
      </c>
      <c r="P25" s="4">
        <v>3</v>
      </c>
      <c r="Q25" s="4">
        <v>2</v>
      </c>
      <c r="R25" s="4">
        <v>2</v>
      </c>
      <c r="S25" s="4">
        <v>4</v>
      </c>
      <c r="T25" s="4">
        <v>2</v>
      </c>
      <c r="U25" s="4">
        <v>4</v>
      </c>
      <c r="V25" s="4">
        <v>4.2</v>
      </c>
    </row>
    <row r="26" spans="1:22" x14ac:dyDescent="0.35">
      <c r="A26" s="5">
        <v>10</v>
      </c>
      <c r="B26" s="5">
        <v>2</v>
      </c>
      <c r="C26" s="5">
        <v>11</v>
      </c>
      <c r="D26" s="5">
        <v>2</v>
      </c>
      <c r="E26" s="5">
        <v>2</v>
      </c>
      <c r="F26" s="5">
        <v>2</v>
      </c>
      <c r="G26" s="5">
        <v>2</v>
      </c>
      <c r="H26" s="5">
        <v>2</v>
      </c>
      <c r="I26" s="5">
        <v>2</v>
      </c>
      <c r="J26" s="5">
        <v>2</v>
      </c>
      <c r="K26" s="5">
        <v>3</v>
      </c>
      <c r="L26" s="5">
        <v>4</v>
      </c>
      <c r="M26" s="5">
        <v>2</v>
      </c>
      <c r="N26" s="5">
        <v>4</v>
      </c>
      <c r="O26" s="5">
        <v>4</v>
      </c>
      <c r="P26" s="5">
        <v>4</v>
      </c>
      <c r="Q26" s="5">
        <v>4</v>
      </c>
      <c r="R26" s="5">
        <v>2</v>
      </c>
      <c r="S26" s="5">
        <v>2</v>
      </c>
      <c r="T26" s="5">
        <v>3</v>
      </c>
      <c r="U26" s="5">
        <v>2</v>
      </c>
      <c r="V26" s="5">
        <v>2.2000000000000002</v>
      </c>
    </row>
    <row r="27" spans="1:22" x14ac:dyDescent="0.35">
      <c r="A27" s="4">
        <v>11</v>
      </c>
      <c r="B27" s="4">
        <v>1</v>
      </c>
      <c r="C27" s="4">
        <v>12</v>
      </c>
      <c r="D27" s="4">
        <v>4</v>
      </c>
      <c r="E27" s="4">
        <v>2</v>
      </c>
      <c r="F27" s="4">
        <v>1</v>
      </c>
      <c r="G27" s="4">
        <v>1</v>
      </c>
      <c r="H27" s="4">
        <v>1</v>
      </c>
      <c r="I27" s="4">
        <v>1</v>
      </c>
      <c r="J27" s="4">
        <v>2</v>
      </c>
      <c r="K27" s="4">
        <v>3</v>
      </c>
      <c r="L27" s="4">
        <v>3</v>
      </c>
      <c r="M27" s="4">
        <v>2</v>
      </c>
      <c r="N27" s="4">
        <v>4</v>
      </c>
      <c r="O27" s="4">
        <v>5</v>
      </c>
      <c r="P27" s="4">
        <v>5</v>
      </c>
      <c r="Q27" s="4">
        <v>3</v>
      </c>
      <c r="R27" s="4">
        <v>5</v>
      </c>
      <c r="S27" s="4">
        <v>3</v>
      </c>
      <c r="T27" s="4">
        <v>2</v>
      </c>
      <c r="U27" s="4">
        <v>3</v>
      </c>
      <c r="V27" s="4">
        <v>2.2000000000000002</v>
      </c>
    </row>
    <row r="28" spans="1:22" x14ac:dyDescent="0.35">
      <c r="A28" s="5">
        <v>12</v>
      </c>
      <c r="B28" s="5">
        <v>1</v>
      </c>
      <c r="C28" s="5">
        <v>11</v>
      </c>
      <c r="D28" s="5">
        <v>4</v>
      </c>
      <c r="E28" s="5">
        <v>3</v>
      </c>
      <c r="F28" s="5">
        <v>3</v>
      </c>
      <c r="G28" s="5">
        <v>4</v>
      </c>
      <c r="H28" s="5">
        <v>1</v>
      </c>
      <c r="I28" s="5">
        <v>4</v>
      </c>
      <c r="J28" s="5">
        <v>2</v>
      </c>
      <c r="K28" s="5">
        <v>4</v>
      </c>
      <c r="L28" s="5">
        <v>4</v>
      </c>
      <c r="M28" s="5">
        <v>2</v>
      </c>
      <c r="N28" s="5">
        <v>4</v>
      </c>
      <c r="O28" s="5">
        <v>5</v>
      </c>
      <c r="P28" s="5">
        <v>4</v>
      </c>
      <c r="Q28" s="5">
        <v>5</v>
      </c>
      <c r="R28" s="5">
        <v>4</v>
      </c>
      <c r="S28" s="5">
        <v>2</v>
      </c>
      <c r="T28" s="5">
        <v>3</v>
      </c>
      <c r="U28" s="5">
        <v>2</v>
      </c>
      <c r="V28" s="5">
        <v>2.8</v>
      </c>
    </row>
    <row r="29" spans="1:22" x14ac:dyDescent="0.35">
      <c r="A29" s="4">
        <v>13</v>
      </c>
      <c r="B29" s="4">
        <v>1</v>
      </c>
      <c r="C29" s="4">
        <v>12</v>
      </c>
      <c r="D29" s="4">
        <v>1</v>
      </c>
      <c r="E29" s="4">
        <v>2</v>
      </c>
      <c r="F29" s="4">
        <v>3</v>
      </c>
      <c r="G29" s="4">
        <v>2</v>
      </c>
      <c r="H29" s="4">
        <v>2</v>
      </c>
      <c r="I29" s="4">
        <v>3</v>
      </c>
      <c r="J29" s="4">
        <v>1</v>
      </c>
      <c r="K29" s="4">
        <v>1</v>
      </c>
      <c r="L29" s="4">
        <v>5</v>
      </c>
      <c r="M29" s="4">
        <v>1</v>
      </c>
      <c r="N29" s="4">
        <v>3</v>
      </c>
      <c r="O29" s="4">
        <v>2</v>
      </c>
      <c r="P29" s="4">
        <v>4</v>
      </c>
      <c r="Q29" s="4">
        <v>2</v>
      </c>
      <c r="R29" s="4">
        <v>4</v>
      </c>
      <c r="S29" s="4">
        <v>1</v>
      </c>
      <c r="T29" s="4">
        <v>2</v>
      </c>
      <c r="U29" s="4">
        <v>1</v>
      </c>
      <c r="V29" s="4">
        <v>1.4</v>
      </c>
    </row>
    <row r="30" spans="1:22" x14ac:dyDescent="0.35">
      <c r="A30" s="5">
        <v>14</v>
      </c>
      <c r="B30" s="5">
        <v>2</v>
      </c>
      <c r="C30" s="5">
        <v>10</v>
      </c>
      <c r="D30" s="5">
        <v>4</v>
      </c>
      <c r="E30" s="5">
        <v>2</v>
      </c>
      <c r="F30" s="5">
        <v>1</v>
      </c>
      <c r="G30" s="5">
        <v>2</v>
      </c>
      <c r="H30" s="5">
        <v>5</v>
      </c>
      <c r="I30" s="5">
        <v>3</v>
      </c>
      <c r="J30" s="5">
        <v>1</v>
      </c>
      <c r="K30" s="5">
        <v>2</v>
      </c>
      <c r="L30" s="5">
        <v>5</v>
      </c>
      <c r="M30" s="5">
        <v>2</v>
      </c>
      <c r="N30" s="5">
        <v>5</v>
      </c>
      <c r="O30" s="5">
        <v>5</v>
      </c>
      <c r="P30" s="5">
        <v>5</v>
      </c>
      <c r="Q30" s="5">
        <v>5</v>
      </c>
      <c r="R30" s="5">
        <v>5</v>
      </c>
      <c r="S30" s="5">
        <v>2</v>
      </c>
      <c r="T30" s="5">
        <v>2</v>
      </c>
      <c r="U30" s="5">
        <v>1</v>
      </c>
      <c r="V30" s="5">
        <v>1.8</v>
      </c>
    </row>
    <row r="31" spans="1:22" x14ac:dyDescent="0.35">
      <c r="A31" s="4">
        <v>15</v>
      </c>
      <c r="B31" s="4">
        <v>1</v>
      </c>
      <c r="C31" s="4">
        <v>10</v>
      </c>
      <c r="D31" s="4">
        <v>2</v>
      </c>
      <c r="E31" s="4">
        <v>2</v>
      </c>
      <c r="F31" s="4">
        <v>3</v>
      </c>
      <c r="G31" s="4">
        <v>1</v>
      </c>
      <c r="H31" s="4">
        <v>2</v>
      </c>
      <c r="I31" s="4">
        <v>2</v>
      </c>
      <c r="J31" s="4">
        <v>3</v>
      </c>
      <c r="K31" s="4">
        <v>3</v>
      </c>
      <c r="L31" s="4">
        <v>3</v>
      </c>
      <c r="M31" s="4">
        <v>2</v>
      </c>
      <c r="N31" s="4">
        <v>3</v>
      </c>
      <c r="O31" s="4">
        <v>2</v>
      </c>
      <c r="P31" s="4">
        <v>3</v>
      </c>
      <c r="Q31" s="4">
        <v>3</v>
      </c>
      <c r="R31" s="4">
        <v>2</v>
      </c>
      <c r="S31" s="4">
        <v>2</v>
      </c>
      <c r="T31" s="4">
        <v>2</v>
      </c>
      <c r="U31" s="4">
        <v>3</v>
      </c>
      <c r="V31" s="4">
        <v>2.6</v>
      </c>
    </row>
    <row r="32" spans="1:22" x14ac:dyDescent="0.35">
      <c r="A32" s="5">
        <v>16</v>
      </c>
      <c r="B32" s="5">
        <v>2</v>
      </c>
      <c r="C32" s="5">
        <v>10</v>
      </c>
      <c r="D32" s="5">
        <v>3</v>
      </c>
      <c r="E32" s="5">
        <v>2</v>
      </c>
      <c r="F32" s="5">
        <v>2</v>
      </c>
      <c r="G32" s="5">
        <v>2</v>
      </c>
      <c r="H32" s="5">
        <v>3</v>
      </c>
      <c r="I32" s="5">
        <v>3</v>
      </c>
      <c r="J32" s="5">
        <v>3</v>
      </c>
      <c r="K32" s="5">
        <v>2</v>
      </c>
      <c r="L32" s="5">
        <v>3</v>
      </c>
      <c r="M32" s="5">
        <v>1</v>
      </c>
      <c r="N32" s="5">
        <v>4</v>
      </c>
      <c r="O32" s="5">
        <v>3</v>
      </c>
      <c r="P32" s="5">
        <v>4</v>
      </c>
      <c r="Q32" s="5">
        <v>3</v>
      </c>
      <c r="R32" s="5">
        <v>4</v>
      </c>
      <c r="S32" s="5">
        <v>1</v>
      </c>
      <c r="T32" s="5">
        <v>2</v>
      </c>
      <c r="U32" s="5">
        <v>3</v>
      </c>
      <c r="V32" s="5">
        <v>2.4</v>
      </c>
    </row>
    <row r="33" spans="1:22" x14ac:dyDescent="0.35">
      <c r="A33" s="4">
        <v>17</v>
      </c>
      <c r="B33" s="4">
        <v>1</v>
      </c>
      <c r="C33" s="4">
        <v>9</v>
      </c>
      <c r="D33" s="4">
        <v>2</v>
      </c>
      <c r="E33" s="4">
        <v>5</v>
      </c>
      <c r="F33" s="4">
        <v>5</v>
      </c>
      <c r="G33" s="4">
        <v>4</v>
      </c>
      <c r="H33" s="4">
        <v>3</v>
      </c>
      <c r="I33" s="4">
        <v>5</v>
      </c>
      <c r="J33" s="4">
        <v>5</v>
      </c>
      <c r="K33" s="4">
        <v>5</v>
      </c>
      <c r="L33" s="4">
        <v>2</v>
      </c>
      <c r="M33" s="4">
        <v>4</v>
      </c>
      <c r="N33" s="4">
        <v>2</v>
      </c>
      <c r="O33" s="4">
        <v>1</v>
      </c>
      <c r="P33" s="4">
        <v>1</v>
      </c>
      <c r="Q33" s="4">
        <v>3</v>
      </c>
      <c r="R33" s="4">
        <v>1</v>
      </c>
      <c r="S33" s="4">
        <v>5</v>
      </c>
      <c r="T33" s="4">
        <v>4</v>
      </c>
      <c r="U33" s="4">
        <v>4</v>
      </c>
      <c r="V33" s="4">
        <v>4.5999999999999996</v>
      </c>
    </row>
    <row r="34" spans="1:22" x14ac:dyDescent="0.35">
      <c r="A34" s="5">
        <v>18</v>
      </c>
      <c r="B34" s="5">
        <v>1</v>
      </c>
      <c r="C34" s="5">
        <v>10</v>
      </c>
      <c r="D34" s="5">
        <v>3</v>
      </c>
      <c r="E34" s="5">
        <v>3</v>
      </c>
      <c r="F34" s="5">
        <v>2</v>
      </c>
      <c r="G34" s="5">
        <v>4</v>
      </c>
      <c r="H34" s="5">
        <v>2</v>
      </c>
      <c r="I34" s="5">
        <v>4</v>
      </c>
      <c r="J34" s="5">
        <v>2</v>
      </c>
      <c r="K34" s="5">
        <v>4</v>
      </c>
      <c r="L34" s="5">
        <v>2</v>
      </c>
      <c r="M34" s="5">
        <v>3</v>
      </c>
      <c r="N34" s="5">
        <v>4</v>
      </c>
      <c r="O34" s="5">
        <v>5</v>
      </c>
      <c r="P34" s="5">
        <v>5</v>
      </c>
      <c r="Q34" s="5">
        <v>5</v>
      </c>
      <c r="R34" s="5">
        <v>4</v>
      </c>
      <c r="S34" s="5">
        <v>2</v>
      </c>
      <c r="T34" s="5">
        <v>3</v>
      </c>
      <c r="U34" s="5">
        <v>4</v>
      </c>
      <c r="V34" s="5">
        <v>3.4</v>
      </c>
    </row>
    <row r="35" spans="1:22" x14ac:dyDescent="0.35">
      <c r="A35" s="4">
        <v>19</v>
      </c>
      <c r="B35" s="4">
        <v>2</v>
      </c>
      <c r="C35" s="4">
        <v>12</v>
      </c>
      <c r="D35" s="4">
        <v>3</v>
      </c>
      <c r="E35" s="4">
        <v>3</v>
      </c>
      <c r="F35" s="4">
        <v>3</v>
      </c>
      <c r="G35" s="4">
        <v>3</v>
      </c>
      <c r="H35" s="4">
        <v>1</v>
      </c>
      <c r="I35" s="4">
        <v>2</v>
      </c>
      <c r="J35" s="4">
        <v>3</v>
      </c>
      <c r="K35" s="4">
        <v>3</v>
      </c>
      <c r="L35" s="4">
        <v>4</v>
      </c>
      <c r="M35" s="4">
        <v>4</v>
      </c>
      <c r="N35" s="4">
        <v>2</v>
      </c>
      <c r="O35" s="4">
        <v>1</v>
      </c>
      <c r="P35" s="4">
        <v>2</v>
      </c>
      <c r="Q35" s="4">
        <v>2</v>
      </c>
      <c r="R35" s="4">
        <v>3</v>
      </c>
      <c r="S35" s="4">
        <v>3</v>
      </c>
      <c r="T35" s="4">
        <v>3</v>
      </c>
      <c r="U35" s="4">
        <v>2</v>
      </c>
      <c r="V35" s="4">
        <v>2.8</v>
      </c>
    </row>
    <row r="36" spans="1:22" x14ac:dyDescent="0.35">
      <c r="A36" s="5">
        <v>20</v>
      </c>
      <c r="B36" s="5">
        <v>1</v>
      </c>
      <c r="C36" s="5">
        <v>12</v>
      </c>
      <c r="D36" s="5">
        <v>1</v>
      </c>
      <c r="E36" s="5">
        <v>5</v>
      </c>
      <c r="F36" s="5">
        <v>4</v>
      </c>
      <c r="G36" s="5">
        <v>4</v>
      </c>
      <c r="H36" s="5">
        <v>1</v>
      </c>
      <c r="I36" s="5">
        <v>5</v>
      </c>
      <c r="J36" s="5">
        <v>5</v>
      </c>
      <c r="K36" s="5">
        <v>4</v>
      </c>
      <c r="L36" s="5">
        <v>2</v>
      </c>
      <c r="M36" s="5">
        <v>4</v>
      </c>
      <c r="N36" s="5">
        <v>1</v>
      </c>
      <c r="O36" s="5">
        <v>1</v>
      </c>
      <c r="P36" s="5">
        <v>1</v>
      </c>
      <c r="Q36" s="5">
        <v>1</v>
      </c>
      <c r="R36" s="5">
        <v>2</v>
      </c>
      <c r="S36" s="5">
        <v>5</v>
      </c>
      <c r="T36" s="5">
        <v>4</v>
      </c>
      <c r="U36" s="5">
        <v>4</v>
      </c>
      <c r="V36" s="5">
        <v>4.4000000000000004</v>
      </c>
    </row>
    <row r="37" spans="1:22" x14ac:dyDescent="0.35">
      <c r="A37" s="4">
        <v>21</v>
      </c>
      <c r="B37" s="4">
        <v>2</v>
      </c>
      <c r="C37" s="4">
        <v>12</v>
      </c>
      <c r="D37" s="4">
        <v>3</v>
      </c>
      <c r="E37" s="4">
        <v>2</v>
      </c>
      <c r="F37" s="4">
        <v>2</v>
      </c>
      <c r="G37" s="4">
        <v>1</v>
      </c>
      <c r="H37" s="4">
        <v>4</v>
      </c>
      <c r="I37" s="4">
        <v>1</v>
      </c>
      <c r="J37" s="4">
        <v>1</v>
      </c>
      <c r="K37" s="4">
        <v>2</v>
      </c>
      <c r="L37" s="4">
        <v>4</v>
      </c>
      <c r="M37" s="4">
        <v>2</v>
      </c>
      <c r="N37" s="4">
        <v>3</v>
      </c>
      <c r="O37" s="4">
        <v>3</v>
      </c>
      <c r="P37" s="4">
        <v>3</v>
      </c>
      <c r="Q37" s="4">
        <v>3</v>
      </c>
      <c r="R37" s="4">
        <v>3</v>
      </c>
      <c r="S37" s="4">
        <v>2</v>
      </c>
      <c r="T37" s="4">
        <v>2</v>
      </c>
      <c r="U37" s="4">
        <v>2</v>
      </c>
      <c r="V37" s="4">
        <v>1.6</v>
      </c>
    </row>
    <row r="38" spans="1:22" x14ac:dyDescent="0.35">
      <c r="A38" s="5">
        <v>22</v>
      </c>
      <c r="B38" s="5">
        <v>1</v>
      </c>
      <c r="C38" s="5">
        <v>10</v>
      </c>
      <c r="D38" s="5">
        <v>1</v>
      </c>
      <c r="E38" s="5">
        <v>4</v>
      </c>
      <c r="F38" s="5">
        <v>5</v>
      </c>
      <c r="G38" s="5">
        <v>3</v>
      </c>
      <c r="H38" s="5">
        <v>1</v>
      </c>
      <c r="I38" s="5">
        <v>5</v>
      </c>
      <c r="J38" s="5">
        <v>3</v>
      </c>
      <c r="K38" s="5">
        <v>4</v>
      </c>
      <c r="L38" s="5">
        <v>1</v>
      </c>
      <c r="M38" s="5">
        <v>4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3</v>
      </c>
      <c r="T38" s="5">
        <v>4</v>
      </c>
      <c r="U38" s="5">
        <v>5</v>
      </c>
      <c r="V38" s="5">
        <v>4.2</v>
      </c>
    </row>
    <row r="39" spans="1:22" x14ac:dyDescent="0.35">
      <c r="A39" s="4">
        <v>23</v>
      </c>
      <c r="B39" s="4">
        <v>1</v>
      </c>
      <c r="C39" s="4">
        <v>10</v>
      </c>
      <c r="D39" s="4">
        <v>2</v>
      </c>
      <c r="E39" s="4">
        <v>3</v>
      </c>
      <c r="F39" s="4">
        <v>2</v>
      </c>
      <c r="G39" s="4">
        <v>2</v>
      </c>
      <c r="H39" s="4">
        <v>5</v>
      </c>
      <c r="I39" s="4">
        <v>3</v>
      </c>
      <c r="J39" s="4">
        <v>2</v>
      </c>
      <c r="K39" s="4">
        <v>4</v>
      </c>
      <c r="L39" s="4">
        <v>2</v>
      </c>
      <c r="M39" s="4">
        <v>4</v>
      </c>
      <c r="N39" s="4">
        <v>4</v>
      </c>
      <c r="O39" s="4">
        <v>5</v>
      </c>
      <c r="P39" s="4">
        <v>3</v>
      </c>
      <c r="Q39" s="4">
        <v>3</v>
      </c>
      <c r="R39" s="4">
        <v>4</v>
      </c>
      <c r="S39" s="4">
        <v>2</v>
      </c>
      <c r="T39" s="4">
        <v>3</v>
      </c>
      <c r="U39" s="4">
        <v>4</v>
      </c>
      <c r="V39" s="4">
        <v>3.4</v>
      </c>
    </row>
    <row r="40" spans="1:22" x14ac:dyDescent="0.35">
      <c r="A40" s="5">
        <v>24</v>
      </c>
      <c r="B40" s="5">
        <v>2</v>
      </c>
      <c r="C40" s="5">
        <v>9</v>
      </c>
      <c r="D40" s="5">
        <v>3</v>
      </c>
      <c r="E40" s="5">
        <v>2</v>
      </c>
      <c r="F40" s="5">
        <v>2</v>
      </c>
      <c r="G40" s="5">
        <v>1</v>
      </c>
      <c r="H40" s="5">
        <v>3</v>
      </c>
      <c r="I40" s="5">
        <v>2</v>
      </c>
      <c r="J40" s="5">
        <v>3</v>
      </c>
      <c r="K40" s="5">
        <v>1</v>
      </c>
      <c r="L40" s="5">
        <v>3</v>
      </c>
      <c r="M40" s="5">
        <v>2</v>
      </c>
      <c r="N40" s="5">
        <v>4</v>
      </c>
      <c r="O40" s="5">
        <v>4</v>
      </c>
      <c r="P40" s="5">
        <v>5</v>
      </c>
      <c r="Q40" s="5">
        <v>5</v>
      </c>
      <c r="R40" s="5">
        <v>4</v>
      </c>
      <c r="S40" s="5">
        <v>3</v>
      </c>
      <c r="T40" s="5">
        <v>2</v>
      </c>
      <c r="U40" s="5">
        <v>3</v>
      </c>
      <c r="V40" s="5">
        <v>2.2000000000000002</v>
      </c>
    </row>
    <row r="41" spans="1:22" x14ac:dyDescent="0.35">
      <c r="A41" s="4">
        <v>25</v>
      </c>
      <c r="B41" s="4">
        <v>2</v>
      </c>
      <c r="C41" s="4">
        <v>11</v>
      </c>
      <c r="D41" s="4">
        <v>2</v>
      </c>
      <c r="E41" s="4">
        <v>1</v>
      </c>
      <c r="F41" s="4">
        <v>2</v>
      </c>
      <c r="G41" s="4">
        <v>2</v>
      </c>
      <c r="H41" s="4">
        <v>5</v>
      </c>
      <c r="I41" s="4">
        <v>2</v>
      </c>
      <c r="J41" s="4">
        <v>2</v>
      </c>
      <c r="K41" s="4">
        <v>1</v>
      </c>
      <c r="L41" s="4">
        <v>5</v>
      </c>
      <c r="M41" s="4">
        <v>1</v>
      </c>
      <c r="N41" s="4">
        <v>5</v>
      </c>
      <c r="O41" s="4">
        <v>5</v>
      </c>
      <c r="P41" s="4">
        <v>4</v>
      </c>
      <c r="Q41" s="4">
        <v>5</v>
      </c>
      <c r="R41" s="4">
        <v>4</v>
      </c>
      <c r="S41" s="4">
        <v>2</v>
      </c>
      <c r="T41" s="4">
        <v>1</v>
      </c>
      <c r="U41" s="4">
        <v>1</v>
      </c>
      <c r="V41" s="4">
        <v>1.4</v>
      </c>
    </row>
    <row r="42" spans="1:22" x14ac:dyDescent="0.35">
      <c r="A42" s="5">
        <v>26</v>
      </c>
      <c r="B42" s="5">
        <v>2</v>
      </c>
      <c r="C42" s="5">
        <v>12</v>
      </c>
      <c r="D42" s="5">
        <v>3</v>
      </c>
      <c r="E42" s="5">
        <v>5</v>
      </c>
      <c r="F42" s="5">
        <v>4</v>
      </c>
      <c r="G42" s="5">
        <v>4</v>
      </c>
      <c r="H42" s="5">
        <v>1</v>
      </c>
      <c r="I42" s="5">
        <v>5</v>
      </c>
      <c r="J42" s="5">
        <v>5</v>
      </c>
      <c r="K42" s="5">
        <v>5</v>
      </c>
      <c r="L42" s="5">
        <v>2</v>
      </c>
      <c r="M42" s="5">
        <v>5</v>
      </c>
      <c r="N42" s="5">
        <v>1</v>
      </c>
      <c r="O42" s="5">
        <v>1</v>
      </c>
      <c r="P42" s="5">
        <v>1</v>
      </c>
      <c r="Q42" s="5">
        <v>2</v>
      </c>
      <c r="R42" s="5">
        <v>1</v>
      </c>
      <c r="S42" s="5">
        <v>5</v>
      </c>
      <c r="T42" s="5">
        <v>4</v>
      </c>
      <c r="U42" s="5">
        <v>4</v>
      </c>
      <c r="V42" s="5">
        <v>4.8</v>
      </c>
    </row>
    <row r="43" spans="1:22" x14ac:dyDescent="0.35">
      <c r="A43" s="4">
        <v>27</v>
      </c>
      <c r="B43" s="4">
        <v>1</v>
      </c>
      <c r="C43" s="4">
        <v>11</v>
      </c>
      <c r="D43" s="4">
        <v>3</v>
      </c>
      <c r="E43" s="4">
        <v>4</v>
      </c>
      <c r="F43" s="4">
        <v>3</v>
      </c>
      <c r="G43" s="4">
        <v>5</v>
      </c>
      <c r="H43" s="4">
        <v>5</v>
      </c>
      <c r="I43" s="4">
        <v>5</v>
      </c>
      <c r="J43" s="4">
        <v>5</v>
      </c>
      <c r="K43" s="4">
        <v>5</v>
      </c>
      <c r="L43" s="4">
        <v>3</v>
      </c>
      <c r="M43" s="4">
        <v>5</v>
      </c>
      <c r="N43" s="4">
        <v>3</v>
      </c>
      <c r="O43" s="4">
        <v>2</v>
      </c>
      <c r="P43" s="4">
        <v>3</v>
      </c>
      <c r="Q43" s="4">
        <v>3</v>
      </c>
      <c r="R43" s="4">
        <v>2</v>
      </c>
      <c r="S43" s="4">
        <v>5</v>
      </c>
      <c r="T43" s="4">
        <v>4</v>
      </c>
      <c r="U43" s="4">
        <v>3</v>
      </c>
      <c r="V43" s="4">
        <v>4.5999999999999996</v>
      </c>
    </row>
    <row r="44" spans="1:22" x14ac:dyDescent="0.35">
      <c r="A44" s="5">
        <v>28</v>
      </c>
      <c r="B44" s="5">
        <v>1</v>
      </c>
      <c r="C44" s="5">
        <v>12</v>
      </c>
      <c r="D44" s="5">
        <v>4</v>
      </c>
      <c r="E44" s="5">
        <v>4</v>
      </c>
      <c r="F44" s="5">
        <v>3</v>
      </c>
      <c r="G44" s="5">
        <v>5</v>
      </c>
      <c r="H44" s="5">
        <v>3</v>
      </c>
      <c r="I44" s="5">
        <v>4</v>
      </c>
      <c r="J44" s="5">
        <v>5</v>
      </c>
      <c r="K44" s="5">
        <v>3</v>
      </c>
      <c r="L44" s="5">
        <v>2</v>
      </c>
      <c r="M44" s="5">
        <v>4</v>
      </c>
      <c r="N44" s="5">
        <v>1</v>
      </c>
      <c r="O44" s="5">
        <v>1</v>
      </c>
      <c r="P44" s="5">
        <v>2</v>
      </c>
      <c r="Q44" s="5">
        <v>2</v>
      </c>
      <c r="R44" s="5">
        <v>2</v>
      </c>
      <c r="S44" s="5">
        <v>4</v>
      </c>
      <c r="T44" s="5">
        <v>4</v>
      </c>
      <c r="U44" s="5">
        <v>4</v>
      </c>
      <c r="V44" s="5">
        <v>4</v>
      </c>
    </row>
    <row r="45" spans="1:22" x14ac:dyDescent="0.35">
      <c r="A45" s="4">
        <v>29</v>
      </c>
      <c r="B45" s="4">
        <v>2</v>
      </c>
      <c r="C45" s="4">
        <v>11</v>
      </c>
      <c r="D45" s="4">
        <v>4</v>
      </c>
      <c r="E45" s="4">
        <v>4</v>
      </c>
      <c r="F45" s="4">
        <v>4</v>
      </c>
      <c r="G45" s="4">
        <v>3</v>
      </c>
      <c r="H45" s="4">
        <v>5</v>
      </c>
      <c r="I45" s="4">
        <v>5</v>
      </c>
      <c r="J45" s="4">
        <v>5</v>
      </c>
      <c r="K45" s="4">
        <v>3</v>
      </c>
      <c r="L45" s="4">
        <v>1</v>
      </c>
      <c r="M45" s="4">
        <v>4</v>
      </c>
      <c r="N45" s="4">
        <v>2</v>
      </c>
      <c r="O45" s="4">
        <v>2</v>
      </c>
      <c r="P45" s="4">
        <v>3</v>
      </c>
      <c r="Q45" s="4">
        <v>2</v>
      </c>
      <c r="R45" s="4">
        <v>1</v>
      </c>
      <c r="S45" s="4">
        <v>4</v>
      </c>
      <c r="T45" s="4">
        <v>4</v>
      </c>
      <c r="U45" s="4">
        <v>5</v>
      </c>
      <c r="V45" s="4">
        <v>4.4000000000000004</v>
      </c>
    </row>
    <row r="46" spans="1:22" x14ac:dyDescent="0.35">
      <c r="A46" s="5">
        <v>30</v>
      </c>
      <c r="B46" s="5">
        <v>1</v>
      </c>
      <c r="C46" s="5">
        <v>11</v>
      </c>
      <c r="D46" s="5">
        <v>1</v>
      </c>
      <c r="E46" s="5">
        <v>2</v>
      </c>
      <c r="F46" s="5">
        <v>2</v>
      </c>
      <c r="G46" s="5">
        <v>2</v>
      </c>
      <c r="H46" s="5">
        <v>5</v>
      </c>
      <c r="I46" s="5">
        <v>3</v>
      </c>
      <c r="J46" s="5">
        <v>3</v>
      </c>
      <c r="K46" s="5">
        <v>3</v>
      </c>
      <c r="L46" s="5">
        <v>3</v>
      </c>
      <c r="M46" s="5">
        <v>3</v>
      </c>
      <c r="N46" s="5">
        <v>4</v>
      </c>
      <c r="O46" s="5">
        <v>3</v>
      </c>
      <c r="P46" s="5">
        <v>3</v>
      </c>
      <c r="Q46" s="5">
        <v>3</v>
      </c>
      <c r="R46" s="5">
        <v>4</v>
      </c>
      <c r="S46" s="5">
        <v>2</v>
      </c>
      <c r="T46" s="5">
        <v>2</v>
      </c>
      <c r="U46" s="5">
        <v>3</v>
      </c>
      <c r="V46" s="5">
        <v>3</v>
      </c>
    </row>
    <row r="47" spans="1:22" x14ac:dyDescent="0.35">
      <c r="A47" s="4">
        <v>31</v>
      </c>
      <c r="B47" s="4">
        <v>1</v>
      </c>
      <c r="C47" s="4">
        <v>9</v>
      </c>
      <c r="D47" s="4">
        <v>1</v>
      </c>
      <c r="E47" s="4">
        <v>4</v>
      </c>
      <c r="F47" s="4">
        <v>5</v>
      </c>
      <c r="G47" s="4">
        <v>5</v>
      </c>
      <c r="H47" s="4">
        <v>5</v>
      </c>
      <c r="I47" s="4">
        <v>5</v>
      </c>
      <c r="J47" s="4">
        <v>4</v>
      </c>
      <c r="K47" s="4">
        <v>4</v>
      </c>
      <c r="L47" s="4">
        <v>1</v>
      </c>
      <c r="M47" s="4">
        <v>3</v>
      </c>
      <c r="N47" s="4">
        <v>2</v>
      </c>
      <c r="O47" s="4">
        <v>2</v>
      </c>
      <c r="P47" s="4">
        <v>1</v>
      </c>
      <c r="Q47" s="4">
        <v>1</v>
      </c>
      <c r="R47" s="4">
        <v>1</v>
      </c>
      <c r="S47" s="4">
        <v>5</v>
      </c>
      <c r="T47" s="4">
        <v>4</v>
      </c>
      <c r="U47" s="4">
        <v>5</v>
      </c>
      <c r="V47" s="4">
        <v>4.2</v>
      </c>
    </row>
    <row r="48" spans="1:22" x14ac:dyDescent="0.35">
      <c r="A48" s="5">
        <v>32</v>
      </c>
      <c r="B48" s="5">
        <v>2</v>
      </c>
      <c r="C48" s="5">
        <v>11</v>
      </c>
      <c r="D48" s="5">
        <v>3</v>
      </c>
      <c r="E48" s="5">
        <v>4</v>
      </c>
      <c r="F48" s="5">
        <v>3</v>
      </c>
      <c r="G48" s="5">
        <v>4</v>
      </c>
      <c r="H48" s="5">
        <v>2</v>
      </c>
      <c r="I48" s="5">
        <v>4</v>
      </c>
      <c r="J48" s="5">
        <v>4</v>
      </c>
      <c r="K48" s="5">
        <v>3</v>
      </c>
      <c r="L48" s="5">
        <v>3</v>
      </c>
      <c r="M48" s="5">
        <v>4</v>
      </c>
      <c r="N48" s="5">
        <v>3</v>
      </c>
      <c r="O48" s="5">
        <v>3</v>
      </c>
      <c r="P48" s="5">
        <v>2</v>
      </c>
      <c r="Q48" s="5">
        <v>3</v>
      </c>
      <c r="R48" s="5">
        <v>3</v>
      </c>
      <c r="S48" s="5">
        <v>4</v>
      </c>
      <c r="T48" s="5">
        <v>4</v>
      </c>
      <c r="U48" s="5">
        <v>3</v>
      </c>
      <c r="V48" s="5">
        <v>3.6</v>
      </c>
    </row>
    <row r="49" spans="1:22" x14ac:dyDescent="0.35">
      <c r="A49" s="4">
        <v>33</v>
      </c>
      <c r="B49" s="4">
        <v>2</v>
      </c>
      <c r="C49" s="4">
        <v>9</v>
      </c>
      <c r="D49" s="4">
        <v>4</v>
      </c>
      <c r="E49" s="4">
        <v>1</v>
      </c>
      <c r="F49" s="4">
        <v>2</v>
      </c>
      <c r="G49" s="4">
        <v>1</v>
      </c>
      <c r="H49" s="4">
        <v>3</v>
      </c>
      <c r="I49" s="4">
        <v>1</v>
      </c>
      <c r="J49" s="4">
        <v>1</v>
      </c>
      <c r="K49" s="4">
        <v>2</v>
      </c>
      <c r="L49" s="4">
        <v>5</v>
      </c>
      <c r="M49" s="4">
        <v>1</v>
      </c>
      <c r="N49" s="4">
        <v>5</v>
      </c>
      <c r="O49" s="4">
        <v>4</v>
      </c>
      <c r="P49" s="4">
        <v>4</v>
      </c>
      <c r="Q49" s="4">
        <v>5</v>
      </c>
      <c r="R49" s="4">
        <v>5</v>
      </c>
      <c r="S49" s="4">
        <v>1</v>
      </c>
      <c r="T49" s="4">
        <v>1</v>
      </c>
      <c r="U49" s="4">
        <v>1</v>
      </c>
      <c r="V49" s="4">
        <v>1.2</v>
      </c>
    </row>
    <row r="50" spans="1:22" x14ac:dyDescent="0.35">
      <c r="A50" s="5">
        <v>34</v>
      </c>
      <c r="B50" s="5">
        <v>1</v>
      </c>
      <c r="C50" s="5">
        <v>10</v>
      </c>
      <c r="D50" s="5">
        <v>1</v>
      </c>
      <c r="E50" s="5">
        <v>3</v>
      </c>
      <c r="F50" s="5">
        <v>4</v>
      </c>
      <c r="G50" s="5">
        <v>4</v>
      </c>
      <c r="H50" s="5">
        <v>2</v>
      </c>
      <c r="I50" s="5">
        <v>4</v>
      </c>
      <c r="J50" s="5">
        <v>3</v>
      </c>
      <c r="K50" s="5">
        <v>2</v>
      </c>
      <c r="L50" s="5">
        <v>2</v>
      </c>
      <c r="M50" s="5">
        <v>2</v>
      </c>
      <c r="N50" s="5">
        <v>2</v>
      </c>
      <c r="O50" s="5">
        <v>2</v>
      </c>
      <c r="P50" s="5">
        <v>1</v>
      </c>
      <c r="Q50" s="5">
        <v>3</v>
      </c>
      <c r="R50" s="5">
        <v>3</v>
      </c>
      <c r="S50" s="5">
        <v>2</v>
      </c>
      <c r="T50" s="5">
        <v>3</v>
      </c>
      <c r="U50" s="5">
        <v>4</v>
      </c>
      <c r="V50" s="5">
        <v>3</v>
      </c>
    </row>
    <row r="51" spans="1:22" x14ac:dyDescent="0.35">
      <c r="A51" s="4">
        <v>35</v>
      </c>
      <c r="B51" s="4">
        <v>2</v>
      </c>
      <c r="C51" s="4">
        <v>11</v>
      </c>
      <c r="D51" s="4">
        <v>4</v>
      </c>
      <c r="E51" s="4">
        <v>2</v>
      </c>
      <c r="F51" s="4">
        <v>1</v>
      </c>
      <c r="G51" s="4">
        <v>2</v>
      </c>
      <c r="H51" s="4">
        <v>3</v>
      </c>
      <c r="I51" s="4">
        <v>1</v>
      </c>
      <c r="J51" s="4">
        <v>1</v>
      </c>
      <c r="K51" s="4">
        <v>2</v>
      </c>
      <c r="L51" s="4">
        <v>5</v>
      </c>
      <c r="M51" s="4">
        <v>3</v>
      </c>
      <c r="N51" s="4">
        <v>5</v>
      </c>
      <c r="O51" s="4">
        <v>5</v>
      </c>
      <c r="P51" s="4">
        <v>5</v>
      </c>
      <c r="Q51" s="4">
        <v>5</v>
      </c>
      <c r="R51" s="4">
        <v>5</v>
      </c>
      <c r="S51" s="4">
        <v>3</v>
      </c>
      <c r="T51" s="4">
        <v>2</v>
      </c>
      <c r="U51" s="4">
        <v>1</v>
      </c>
      <c r="V51" s="4">
        <v>1.6</v>
      </c>
    </row>
    <row r="52" spans="1:22" x14ac:dyDescent="0.35">
      <c r="A52" s="5">
        <v>36</v>
      </c>
      <c r="B52" s="5">
        <v>1</v>
      </c>
      <c r="C52" s="5">
        <v>12</v>
      </c>
      <c r="D52" s="5">
        <v>3</v>
      </c>
      <c r="E52" s="5">
        <v>4</v>
      </c>
      <c r="F52" s="5">
        <v>5</v>
      </c>
      <c r="G52" s="5">
        <v>3</v>
      </c>
      <c r="H52" s="5">
        <v>5</v>
      </c>
      <c r="I52" s="5">
        <v>3</v>
      </c>
      <c r="J52" s="5">
        <v>3</v>
      </c>
      <c r="K52" s="5">
        <v>4</v>
      </c>
      <c r="L52" s="5">
        <v>2</v>
      </c>
      <c r="M52" s="5">
        <v>4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3</v>
      </c>
      <c r="T52" s="5">
        <v>4</v>
      </c>
      <c r="U52" s="5">
        <v>4</v>
      </c>
      <c r="V52" s="5">
        <v>3.6</v>
      </c>
    </row>
    <row r="53" spans="1:22" x14ac:dyDescent="0.35">
      <c r="A53" s="4">
        <v>37</v>
      </c>
      <c r="B53" s="4">
        <v>1</v>
      </c>
      <c r="C53" s="4">
        <v>12</v>
      </c>
      <c r="D53" s="4">
        <v>4</v>
      </c>
      <c r="E53" s="4">
        <v>4</v>
      </c>
      <c r="F53" s="4">
        <v>3</v>
      </c>
      <c r="G53" s="4">
        <v>5</v>
      </c>
      <c r="H53" s="4">
        <v>5</v>
      </c>
      <c r="I53" s="4">
        <v>5</v>
      </c>
      <c r="J53" s="4">
        <v>4</v>
      </c>
      <c r="K53" s="4">
        <v>5</v>
      </c>
      <c r="L53" s="4">
        <v>2</v>
      </c>
      <c r="M53" s="4">
        <v>4</v>
      </c>
      <c r="N53" s="4">
        <v>2</v>
      </c>
      <c r="O53" s="4">
        <v>3</v>
      </c>
      <c r="P53" s="4">
        <v>2</v>
      </c>
      <c r="Q53" s="4">
        <v>3</v>
      </c>
      <c r="R53" s="4">
        <v>1</v>
      </c>
      <c r="S53" s="4">
        <v>3</v>
      </c>
      <c r="T53" s="4">
        <v>4</v>
      </c>
      <c r="U53" s="4">
        <v>4</v>
      </c>
      <c r="V53" s="4">
        <v>4.4000000000000004</v>
      </c>
    </row>
    <row r="54" spans="1:22" x14ac:dyDescent="0.35">
      <c r="A54" s="5">
        <v>38</v>
      </c>
      <c r="B54" s="5">
        <v>1</v>
      </c>
      <c r="C54" s="5">
        <v>12</v>
      </c>
      <c r="D54" s="5">
        <v>1</v>
      </c>
      <c r="E54" s="5">
        <v>3</v>
      </c>
      <c r="F54" s="5">
        <v>2</v>
      </c>
      <c r="G54" s="5">
        <v>2</v>
      </c>
      <c r="H54" s="5">
        <v>5</v>
      </c>
      <c r="I54" s="5">
        <v>3</v>
      </c>
      <c r="J54" s="5">
        <v>2</v>
      </c>
      <c r="K54" s="5">
        <v>2</v>
      </c>
      <c r="L54" s="5">
        <v>3</v>
      </c>
      <c r="M54" s="5">
        <v>2</v>
      </c>
      <c r="N54" s="5">
        <v>3</v>
      </c>
      <c r="O54" s="5">
        <v>3</v>
      </c>
      <c r="P54" s="5">
        <v>4</v>
      </c>
      <c r="Q54" s="5">
        <v>3</v>
      </c>
      <c r="R54" s="5">
        <v>2</v>
      </c>
      <c r="S54" s="5">
        <v>4</v>
      </c>
      <c r="T54" s="5">
        <v>3</v>
      </c>
      <c r="U54" s="5">
        <v>3</v>
      </c>
      <c r="V54" s="5">
        <v>2.4</v>
      </c>
    </row>
    <row r="55" spans="1:22" x14ac:dyDescent="0.35">
      <c r="A55" s="4">
        <v>39</v>
      </c>
      <c r="B55" s="4">
        <v>2</v>
      </c>
      <c r="C55" s="4">
        <v>9</v>
      </c>
      <c r="D55" s="4">
        <v>4</v>
      </c>
      <c r="E55" s="4">
        <v>4</v>
      </c>
      <c r="F55" s="4">
        <v>3</v>
      </c>
      <c r="G55" s="4">
        <v>4</v>
      </c>
      <c r="H55" s="4">
        <v>2</v>
      </c>
      <c r="I55" s="4">
        <v>4</v>
      </c>
      <c r="J55" s="4">
        <v>4</v>
      </c>
      <c r="K55" s="4">
        <v>5</v>
      </c>
      <c r="L55" s="4">
        <v>2</v>
      </c>
      <c r="M55" s="4">
        <v>5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4</v>
      </c>
      <c r="T55" s="4">
        <v>4</v>
      </c>
      <c r="U55" s="4">
        <v>4</v>
      </c>
      <c r="V55" s="4">
        <v>4.4000000000000004</v>
      </c>
    </row>
    <row r="56" spans="1:22" x14ac:dyDescent="0.35">
      <c r="A56" s="5">
        <v>40</v>
      </c>
      <c r="B56" s="5">
        <v>1</v>
      </c>
      <c r="C56" s="5">
        <v>11</v>
      </c>
      <c r="D56" s="5">
        <v>2</v>
      </c>
      <c r="E56" s="5">
        <v>3</v>
      </c>
      <c r="F56" s="5">
        <v>2</v>
      </c>
      <c r="G56" s="5">
        <v>4</v>
      </c>
      <c r="H56" s="5">
        <v>3</v>
      </c>
      <c r="I56" s="5">
        <v>3</v>
      </c>
      <c r="J56" s="5">
        <v>3</v>
      </c>
      <c r="K56" s="5">
        <v>2</v>
      </c>
      <c r="L56" s="5">
        <v>2</v>
      </c>
      <c r="M56" s="5">
        <v>3</v>
      </c>
      <c r="N56" s="5">
        <v>4</v>
      </c>
      <c r="O56" s="5">
        <v>5</v>
      </c>
      <c r="P56" s="5">
        <v>3</v>
      </c>
      <c r="Q56" s="5">
        <v>3</v>
      </c>
      <c r="R56" s="5">
        <v>5</v>
      </c>
      <c r="S56" s="5">
        <v>2</v>
      </c>
      <c r="T56" s="5">
        <v>3</v>
      </c>
      <c r="U56" s="5">
        <v>4</v>
      </c>
      <c r="V56" s="5">
        <v>3</v>
      </c>
    </row>
    <row r="57" spans="1:22" x14ac:dyDescent="0.35">
      <c r="A57" s="4">
        <v>41</v>
      </c>
      <c r="B57" s="4">
        <v>1</v>
      </c>
      <c r="C57" s="4">
        <v>12</v>
      </c>
      <c r="D57" s="4">
        <v>1</v>
      </c>
      <c r="E57" s="4">
        <v>3</v>
      </c>
      <c r="F57" s="4">
        <v>2</v>
      </c>
      <c r="G57" s="4">
        <v>2</v>
      </c>
      <c r="H57" s="4">
        <v>3</v>
      </c>
      <c r="I57" s="4">
        <v>3</v>
      </c>
      <c r="J57" s="4">
        <v>2</v>
      </c>
      <c r="K57" s="4">
        <v>2</v>
      </c>
      <c r="L57" s="4">
        <v>3</v>
      </c>
      <c r="M57" s="4">
        <v>2</v>
      </c>
      <c r="N57" s="4">
        <v>4</v>
      </c>
      <c r="O57" s="4">
        <v>4</v>
      </c>
      <c r="P57" s="4">
        <v>3</v>
      </c>
      <c r="Q57" s="4">
        <v>5</v>
      </c>
      <c r="R57" s="4">
        <v>4</v>
      </c>
      <c r="S57" s="4">
        <v>4</v>
      </c>
      <c r="T57" s="4">
        <v>3</v>
      </c>
      <c r="U57" s="4">
        <v>3</v>
      </c>
      <c r="V57" s="4">
        <v>2.4</v>
      </c>
    </row>
    <row r="58" spans="1:22" x14ac:dyDescent="0.35">
      <c r="A58" s="5">
        <v>42</v>
      </c>
      <c r="B58" s="5">
        <v>1</v>
      </c>
      <c r="C58" s="5">
        <v>12</v>
      </c>
      <c r="D58" s="5">
        <v>2</v>
      </c>
      <c r="E58" s="5">
        <v>3</v>
      </c>
      <c r="F58" s="5">
        <v>2</v>
      </c>
      <c r="G58" s="5">
        <v>4</v>
      </c>
      <c r="H58" s="5">
        <v>3</v>
      </c>
      <c r="I58" s="5">
        <v>2</v>
      </c>
      <c r="J58" s="5">
        <v>3</v>
      </c>
      <c r="K58" s="5">
        <v>2</v>
      </c>
      <c r="L58" s="5">
        <v>2</v>
      </c>
      <c r="M58" s="5">
        <v>4</v>
      </c>
      <c r="N58" s="5">
        <v>4</v>
      </c>
      <c r="O58" s="5">
        <v>4</v>
      </c>
      <c r="P58" s="5">
        <v>3</v>
      </c>
      <c r="Q58" s="5">
        <v>5</v>
      </c>
      <c r="R58" s="5">
        <v>3</v>
      </c>
      <c r="S58" s="5">
        <v>2</v>
      </c>
      <c r="T58" s="5">
        <v>3</v>
      </c>
      <c r="U58" s="5">
        <v>4</v>
      </c>
      <c r="V58" s="5">
        <v>3</v>
      </c>
    </row>
    <row r="59" spans="1:22" x14ac:dyDescent="0.35">
      <c r="A59" s="4">
        <v>43</v>
      </c>
      <c r="B59" s="4">
        <v>1</v>
      </c>
      <c r="C59" s="4">
        <v>10</v>
      </c>
      <c r="D59" s="4">
        <v>2</v>
      </c>
      <c r="E59" s="4">
        <v>5</v>
      </c>
      <c r="F59" s="4">
        <v>5</v>
      </c>
      <c r="G59" s="4">
        <v>5</v>
      </c>
      <c r="H59" s="4">
        <v>2</v>
      </c>
      <c r="I59" s="4">
        <v>5</v>
      </c>
      <c r="J59" s="4">
        <v>4</v>
      </c>
      <c r="K59" s="4">
        <v>5</v>
      </c>
      <c r="L59" s="4">
        <v>1</v>
      </c>
      <c r="M59" s="4">
        <v>4</v>
      </c>
      <c r="N59" s="4">
        <v>2</v>
      </c>
      <c r="O59" s="4">
        <v>2</v>
      </c>
      <c r="P59" s="4">
        <v>3</v>
      </c>
      <c r="Q59" s="4">
        <v>3</v>
      </c>
      <c r="R59" s="4">
        <v>3</v>
      </c>
      <c r="S59" s="4">
        <v>4</v>
      </c>
      <c r="T59" s="4">
        <v>4</v>
      </c>
      <c r="U59" s="4">
        <v>5</v>
      </c>
      <c r="V59" s="4">
        <v>4.5999999999999996</v>
      </c>
    </row>
    <row r="60" spans="1:22" x14ac:dyDescent="0.35">
      <c r="A60" s="5">
        <v>44</v>
      </c>
      <c r="B60" s="5">
        <v>1</v>
      </c>
      <c r="C60" s="5">
        <v>11</v>
      </c>
      <c r="D60" s="5">
        <v>4</v>
      </c>
      <c r="E60" s="5">
        <v>4</v>
      </c>
      <c r="F60" s="5">
        <v>4</v>
      </c>
      <c r="G60" s="5">
        <v>5</v>
      </c>
      <c r="H60" s="5">
        <v>4</v>
      </c>
      <c r="I60" s="5">
        <v>4</v>
      </c>
      <c r="J60" s="5">
        <v>5</v>
      </c>
      <c r="K60" s="5">
        <v>5</v>
      </c>
      <c r="L60" s="5">
        <v>1</v>
      </c>
      <c r="M60" s="5">
        <v>3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5</v>
      </c>
      <c r="T60" s="5">
        <v>4</v>
      </c>
      <c r="U60" s="5">
        <v>5</v>
      </c>
      <c r="V60" s="5">
        <v>4.4000000000000004</v>
      </c>
    </row>
    <row r="61" spans="1:22" x14ac:dyDescent="0.35">
      <c r="A61" s="4">
        <v>45</v>
      </c>
      <c r="B61" s="4">
        <v>1</v>
      </c>
      <c r="C61" s="4">
        <v>10</v>
      </c>
      <c r="D61" s="4">
        <v>3</v>
      </c>
      <c r="E61" s="4">
        <v>2</v>
      </c>
      <c r="F61" s="4">
        <v>1</v>
      </c>
      <c r="G61" s="4">
        <v>3</v>
      </c>
      <c r="H61" s="4">
        <v>4</v>
      </c>
      <c r="I61" s="4">
        <v>2</v>
      </c>
      <c r="J61" s="4">
        <v>3</v>
      </c>
      <c r="K61" s="4">
        <v>1</v>
      </c>
      <c r="L61" s="4">
        <v>5</v>
      </c>
      <c r="M61" s="4">
        <v>1</v>
      </c>
      <c r="N61" s="4">
        <v>5</v>
      </c>
      <c r="O61" s="4">
        <v>5</v>
      </c>
      <c r="P61" s="4">
        <v>5</v>
      </c>
      <c r="Q61" s="4">
        <v>5</v>
      </c>
      <c r="R61" s="4">
        <v>5</v>
      </c>
      <c r="S61" s="4">
        <v>1</v>
      </c>
      <c r="T61" s="4">
        <v>2</v>
      </c>
      <c r="U61" s="4">
        <v>1</v>
      </c>
      <c r="V61" s="4">
        <v>1.6</v>
      </c>
    </row>
    <row r="62" spans="1:22" x14ac:dyDescent="0.35">
      <c r="A62" s="5">
        <v>46</v>
      </c>
      <c r="B62" s="5">
        <v>2</v>
      </c>
      <c r="C62" s="5">
        <v>10</v>
      </c>
      <c r="D62" s="5">
        <v>1</v>
      </c>
      <c r="E62" s="5">
        <v>5</v>
      </c>
      <c r="F62" s="5">
        <v>5</v>
      </c>
      <c r="G62" s="5">
        <v>5</v>
      </c>
      <c r="H62" s="5">
        <v>5</v>
      </c>
      <c r="I62" s="5">
        <v>5</v>
      </c>
      <c r="J62" s="5">
        <v>5</v>
      </c>
      <c r="K62" s="5">
        <v>5</v>
      </c>
      <c r="L62" s="5">
        <v>2</v>
      </c>
      <c r="M62" s="5">
        <v>4</v>
      </c>
      <c r="N62" s="5">
        <v>2</v>
      </c>
      <c r="O62" s="5">
        <v>1</v>
      </c>
      <c r="P62" s="5">
        <v>1</v>
      </c>
      <c r="Q62" s="5">
        <v>3</v>
      </c>
      <c r="R62" s="5">
        <v>3</v>
      </c>
      <c r="S62" s="5">
        <v>5</v>
      </c>
      <c r="T62" s="5">
        <v>4</v>
      </c>
      <c r="U62" s="5">
        <v>4</v>
      </c>
      <c r="V62" s="5">
        <v>4.5999999999999996</v>
      </c>
    </row>
    <row r="63" spans="1:22" x14ac:dyDescent="0.35">
      <c r="A63" s="4">
        <v>47</v>
      </c>
      <c r="B63" s="4">
        <v>1</v>
      </c>
      <c r="C63" s="4">
        <v>9</v>
      </c>
      <c r="D63" s="4">
        <v>1</v>
      </c>
      <c r="E63" s="4">
        <v>4</v>
      </c>
      <c r="F63" s="4">
        <v>3</v>
      </c>
      <c r="G63" s="4">
        <v>5</v>
      </c>
      <c r="H63" s="4">
        <v>1</v>
      </c>
      <c r="I63" s="4">
        <v>3</v>
      </c>
      <c r="J63" s="4">
        <v>3</v>
      </c>
      <c r="K63" s="4">
        <v>5</v>
      </c>
      <c r="L63" s="4">
        <v>1</v>
      </c>
      <c r="M63" s="4">
        <v>5</v>
      </c>
      <c r="N63" s="4">
        <v>3</v>
      </c>
      <c r="O63" s="4">
        <v>4</v>
      </c>
      <c r="P63" s="4">
        <v>2</v>
      </c>
      <c r="Q63" s="4">
        <v>4</v>
      </c>
      <c r="R63" s="4">
        <v>3</v>
      </c>
      <c r="S63" s="4">
        <v>3</v>
      </c>
      <c r="T63" s="4">
        <v>4</v>
      </c>
      <c r="U63" s="4">
        <v>5</v>
      </c>
      <c r="V63" s="4">
        <v>4.2</v>
      </c>
    </row>
    <row r="64" spans="1:22" x14ac:dyDescent="0.35">
      <c r="A64" s="5">
        <v>48</v>
      </c>
      <c r="B64" s="5">
        <v>1</v>
      </c>
      <c r="C64" s="5">
        <v>11</v>
      </c>
      <c r="D64" s="5">
        <v>4</v>
      </c>
      <c r="E64" s="5">
        <v>5</v>
      </c>
      <c r="F64" s="5">
        <v>4</v>
      </c>
      <c r="G64" s="5">
        <v>5</v>
      </c>
      <c r="H64" s="5">
        <v>1</v>
      </c>
      <c r="I64" s="5">
        <v>4</v>
      </c>
      <c r="J64" s="5">
        <v>5</v>
      </c>
      <c r="K64" s="5">
        <v>5</v>
      </c>
      <c r="L64" s="5">
        <v>1</v>
      </c>
      <c r="M64" s="5">
        <v>5</v>
      </c>
      <c r="N64" s="5">
        <v>1</v>
      </c>
      <c r="O64" s="5">
        <v>2</v>
      </c>
      <c r="P64" s="5">
        <v>1</v>
      </c>
      <c r="Q64" s="5">
        <v>2</v>
      </c>
      <c r="R64" s="5">
        <v>1</v>
      </c>
      <c r="S64" s="5">
        <v>4</v>
      </c>
      <c r="T64" s="5">
        <v>4</v>
      </c>
      <c r="U64" s="5">
        <v>5</v>
      </c>
      <c r="V64" s="5">
        <v>4.8</v>
      </c>
    </row>
    <row r="65" spans="1:22" x14ac:dyDescent="0.35">
      <c r="A65" s="4">
        <v>49</v>
      </c>
      <c r="B65" s="4">
        <v>1</v>
      </c>
      <c r="C65" s="4">
        <v>11</v>
      </c>
      <c r="D65" s="4">
        <v>1</v>
      </c>
      <c r="E65" s="4">
        <v>5</v>
      </c>
      <c r="F65" s="4">
        <v>4</v>
      </c>
      <c r="G65" s="4">
        <v>4</v>
      </c>
      <c r="H65" s="4">
        <v>2</v>
      </c>
      <c r="I65" s="4">
        <v>4</v>
      </c>
      <c r="J65" s="4">
        <v>5</v>
      </c>
      <c r="K65" s="4">
        <v>5</v>
      </c>
      <c r="L65" s="4">
        <v>2</v>
      </c>
      <c r="M65" s="4">
        <v>5</v>
      </c>
      <c r="N65" s="4">
        <v>2</v>
      </c>
      <c r="O65" s="4">
        <v>3</v>
      </c>
      <c r="P65" s="4">
        <v>3</v>
      </c>
      <c r="Q65" s="4">
        <v>1</v>
      </c>
      <c r="R65" s="4">
        <v>3</v>
      </c>
      <c r="S65" s="4">
        <v>5</v>
      </c>
      <c r="T65" s="4">
        <v>4</v>
      </c>
      <c r="U65" s="4">
        <v>4</v>
      </c>
      <c r="V65" s="4">
        <v>4.5999999999999996</v>
      </c>
    </row>
    <row r="66" spans="1:22" x14ac:dyDescent="0.35">
      <c r="A66" s="5">
        <v>50</v>
      </c>
      <c r="B66" s="5">
        <v>2</v>
      </c>
      <c r="C66" s="5">
        <v>11</v>
      </c>
      <c r="D66" s="5">
        <v>4</v>
      </c>
      <c r="E66" s="5">
        <v>3</v>
      </c>
      <c r="F66" s="5">
        <v>2</v>
      </c>
      <c r="G66" s="5">
        <v>4</v>
      </c>
      <c r="H66" s="5">
        <v>3</v>
      </c>
      <c r="I66" s="5">
        <v>2</v>
      </c>
      <c r="J66" s="5">
        <v>3</v>
      </c>
      <c r="K66" s="5">
        <v>2</v>
      </c>
      <c r="L66" s="5">
        <v>4</v>
      </c>
      <c r="M66" s="5">
        <v>3</v>
      </c>
      <c r="N66" s="5">
        <v>2</v>
      </c>
      <c r="O66" s="5">
        <v>1</v>
      </c>
      <c r="P66" s="5">
        <v>2</v>
      </c>
      <c r="Q66" s="5">
        <v>1</v>
      </c>
      <c r="R66" s="5">
        <v>2</v>
      </c>
      <c r="S66" s="5">
        <v>3</v>
      </c>
      <c r="T66" s="5">
        <v>3</v>
      </c>
      <c r="U66" s="5">
        <v>2</v>
      </c>
      <c r="V66" s="5">
        <v>2.4</v>
      </c>
    </row>
    <row r="67" spans="1:22" x14ac:dyDescent="0.35">
      <c r="A67" s="4">
        <v>51</v>
      </c>
      <c r="B67" s="4">
        <v>2</v>
      </c>
      <c r="C67" s="4">
        <v>9</v>
      </c>
      <c r="D67" s="4">
        <v>1</v>
      </c>
      <c r="E67" s="4">
        <v>2</v>
      </c>
      <c r="F67" s="4">
        <v>2</v>
      </c>
      <c r="G67" s="4">
        <v>3</v>
      </c>
      <c r="H67" s="4">
        <v>3</v>
      </c>
      <c r="I67" s="4">
        <v>3</v>
      </c>
      <c r="J67" s="4">
        <v>1</v>
      </c>
      <c r="K67" s="4">
        <v>3</v>
      </c>
      <c r="L67" s="4">
        <v>4</v>
      </c>
      <c r="M67" s="4">
        <v>2</v>
      </c>
      <c r="N67" s="4">
        <v>4</v>
      </c>
      <c r="O67" s="4">
        <v>4</v>
      </c>
      <c r="P67" s="4">
        <v>5</v>
      </c>
      <c r="Q67" s="4">
        <v>4</v>
      </c>
      <c r="R67" s="4">
        <v>4</v>
      </c>
      <c r="S67" s="4">
        <v>3</v>
      </c>
      <c r="T67" s="4">
        <v>2</v>
      </c>
      <c r="U67" s="4">
        <v>2</v>
      </c>
      <c r="V67" s="4">
        <v>2.2000000000000002</v>
      </c>
    </row>
    <row r="68" spans="1:22" x14ac:dyDescent="0.35">
      <c r="A68" s="5">
        <v>52</v>
      </c>
      <c r="B68" s="5">
        <v>1</v>
      </c>
      <c r="C68" s="5">
        <v>10</v>
      </c>
      <c r="D68" s="5">
        <v>3</v>
      </c>
      <c r="E68" s="5">
        <v>4</v>
      </c>
      <c r="F68" s="5">
        <v>3</v>
      </c>
      <c r="G68" s="5">
        <v>5</v>
      </c>
      <c r="H68" s="5">
        <v>4</v>
      </c>
      <c r="I68" s="5">
        <v>3</v>
      </c>
      <c r="J68" s="5">
        <v>5</v>
      </c>
      <c r="K68" s="5">
        <v>4</v>
      </c>
      <c r="L68" s="5">
        <v>3</v>
      </c>
      <c r="M68" s="5">
        <v>3</v>
      </c>
      <c r="N68" s="5">
        <v>2</v>
      </c>
      <c r="O68" s="5">
        <v>3</v>
      </c>
      <c r="P68" s="5">
        <v>3</v>
      </c>
      <c r="Q68" s="5">
        <v>2</v>
      </c>
      <c r="R68" s="5">
        <v>1</v>
      </c>
      <c r="S68" s="5">
        <v>5</v>
      </c>
      <c r="T68" s="5">
        <v>4</v>
      </c>
      <c r="U68" s="5">
        <v>3</v>
      </c>
      <c r="V68" s="5">
        <v>3.6</v>
      </c>
    </row>
    <row r="69" spans="1:22" x14ac:dyDescent="0.35">
      <c r="A69" s="4">
        <v>53</v>
      </c>
      <c r="B69" s="4">
        <v>2</v>
      </c>
      <c r="C69" s="4">
        <v>12</v>
      </c>
      <c r="D69" s="4">
        <v>2</v>
      </c>
      <c r="E69" s="4">
        <v>5</v>
      </c>
      <c r="F69" s="4">
        <v>4</v>
      </c>
      <c r="G69" s="4">
        <v>5</v>
      </c>
      <c r="H69" s="4">
        <v>4</v>
      </c>
      <c r="I69" s="4">
        <v>4</v>
      </c>
      <c r="J69" s="4">
        <v>5</v>
      </c>
      <c r="K69" s="4">
        <v>5</v>
      </c>
      <c r="L69" s="4">
        <v>2</v>
      </c>
      <c r="M69" s="4">
        <v>5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4</v>
      </c>
      <c r="T69" s="4">
        <v>4</v>
      </c>
      <c r="U69" s="4">
        <v>4</v>
      </c>
      <c r="V69" s="4">
        <v>4.5999999999999996</v>
      </c>
    </row>
    <row r="70" spans="1:22" x14ac:dyDescent="0.35">
      <c r="A70" s="5">
        <v>54</v>
      </c>
      <c r="B70" s="5">
        <v>2</v>
      </c>
      <c r="C70" s="5">
        <v>10</v>
      </c>
      <c r="D70" s="5">
        <v>3</v>
      </c>
      <c r="E70" s="5">
        <v>5</v>
      </c>
      <c r="F70" s="5">
        <v>4</v>
      </c>
      <c r="G70" s="5">
        <v>5</v>
      </c>
      <c r="H70" s="5">
        <v>4</v>
      </c>
      <c r="I70" s="5">
        <v>5</v>
      </c>
      <c r="J70" s="5">
        <v>5</v>
      </c>
      <c r="K70" s="5">
        <v>4</v>
      </c>
      <c r="L70" s="5">
        <v>1</v>
      </c>
      <c r="M70" s="5">
        <v>5</v>
      </c>
      <c r="N70" s="5">
        <v>1</v>
      </c>
      <c r="O70" s="5">
        <v>2</v>
      </c>
      <c r="P70" s="5">
        <v>1</v>
      </c>
      <c r="Q70" s="5">
        <v>2</v>
      </c>
      <c r="R70" s="5">
        <v>1</v>
      </c>
      <c r="S70" s="5">
        <v>4</v>
      </c>
      <c r="T70" s="5">
        <v>4</v>
      </c>
      <c r="U70" s="5">
        <v>5</v>
      </c>
      <c r="V70" s="5">
        <v>4.8</v>
      </c>
    </row>
    <row r="71" spans="1:22" x14ac:dyDescent="0.35">
      <c r="A71" s="4">
        <v>55</v>
      </c>
      <c r="B71" s="4">
        <v>1</v>
      </c>
      <c r="C71" s="4">
        <v>9</v>
      </c>
      <c r="D71" s="4">
        <v>1</v>
      </c>
      <c r="E71" s="4">
        <v>4</v>
      </c>
      <c r="F71" s="4">
        <v>5</v>
      </c>
      <c r="G71" s="4">
        <v>3</v>
      </c>
      <c r="H71" s="4">
        <v>3</v>
      </c>
      <c r="I71" s="4">
        <v>3</v>
      </c>
      <c r="J71" s="4">
        <v>4</v>
      </c>
      <c r="K71" s="4">
        <v>3</v>
      </c>
      <c r="L71" s="4">
        <v>3</v>
      </c>
      <c r="M71" s="4">
        <v>3</v>
      </c>
      <c r="N71" s="4">
        <v>2</v>
      </c>
      <c r="O71" s="4">
        <v>1</v>
      </c>
      <c r="P71" s="4">
        <v>1</v>
      </c>
      <c r="Q71" s="4">
        <v>3</v>
      </c>
      <c r="R71" s="4">
        <v>2</v>
      </c>
      <c r="S71" s="4">
        <v>3</v>
      </c>
      <c r="T71" s="4">
        <v>4</v>
      </c>
      <c r="U71" s="4">
        <v>3</v>
      </c>
      <c r="V71" s="4">
        <v>3.2</v>
      </c>
    </row>
    <row r="72" spans="1:22" x14ac:dyDescent="0.35">
      <c r="A72" s="5">
        <v>56</v>
      </c>
      <c r="B72" s="5">
        <v>2</v>
      </c>
      <c r="C72" s="5">
        <v>10</v>
      </c>
      <c r="D72" s="5">
        <v>4</v>
      </c>
      <c r="E72" s="5">
        <v>2</v>
      </c>
      <c r="F72" s="5">
        <v>2</v>
      </c>
      <c r="G72" s="5">
        <v>2</v>
      </c>
      <c r="H72" s="5">
        <v>5</v>
      </c>
      <c r="I72" s="5">
        <v>3</v>
      </c>
      <c r="J72" s="5">
        <v>3</v>
      </c>
      <c r="K72" s="5">
        <v>1</v>
      </c>
      <c r="L72" s="5">
        <v>5</v>
      </c>
      <c r="M72" s="5">
        <v>2</v>
      </c>
      <c r="N72" s="5">
        <v>4</v>
      </c>
      <c r="O72" s="5">
        <v>3</v>
      </c>
      <c r="P72" s="5">
        <v>4</v>
      </c>
      <c r="Q72" s="5">
        <v>4</v>
      </c>
      <c r="R72" s="5">
        <v>4</v>
      </c>
      <c r="S72" s="5">
        <v>2</v>
      </c>
      <c r="T72" s="5">
        <v>2</v>
      </c>
      <c r="U72" s="5">
        <v>1</v>
      </c>
      <c r="V72" s="5">
        <v>2</v>
      </c>
    </row>
    <row r="73" spans="1:22" x14ac:dyDescent="0.35">
      <c r="A73" s="4">
        <v>57</v>
      </c>
      <c r="B73" s="4">
        <v>1</v>
      </c>
      <c r="C73" s="4">
        <v>10</v>
      </c>
      <c r="D73" s="4">
        <v>4</v>
      </c>
      <c r="E73" s="4">
        <v>2</v>
      </c>
      <c r="F73" s="4">
        <v>3</v>
      </c>
      <c r="G73" s="4">
        <v>3</v>
      </c>
      <c r="H73" s="4">
        <v>1</v>
      </c>
      <c r="I73" s="4">
        <v>1</v>
      </c>
      <c r="J73" s="4">
        <v>3</v>
      </c>
      <c r="K73" s="4">
        <v>3</v>
      </c>
      <c r="L73" s="4">
        <v>5</v>
      </c>
      <c r="M73" s="4">
        <v>3</v>
      </c>
      <c r="N73" s="4">
        <v>4</v>
      </c>
      <c r="O73" s="4">
        <v>3</v>
      </c>
      <c r="P73" s="4">
        <v>4</v>
      </c>
      <c r="Q73" s="4">
        <v>5</v>
      </c>
      <c r="R73" s="4">
        <v>4</v>
      </c>
      <c r="S73" s="4">
        <v>1</v>
      </c>
      <c r="T73" s="4">
        <v>2</v>
      </c>
      <c r="U73" s="4">
        <v>1</v>
      </c>
      <c r="V73" s="4">
        <v>2.2000000000000002</v>
      </c>
    </row>
    <row r="74" spans="1:22" x14ac:dyDescent="0.35">
      <c r="A74" s="5">
        <v>58</v>
      </c>
      <c r="B74" s="5">
        <v>2</v>
      </c>
      <c r="C74" s="5">
        <v>10</v>
      </c>
      <c r="D74" s="5">
        <v>2</v>
      </c>
      <c r="E74" s="5">
        <v>1</v>
      </c>
      <c r="F74" s="5">
        <v>1</v>
      </c>
      <c r="G74" s="5">
        <v>2</v>
      </c>
      <c r="H74" s="5">
        <v>1</v>
      </c>
      <c r="I74" s="5">
        <v>1</v>
      </c>
      <c r="J74" s="5">
        <v>1</v>
      </c>
      <c r="K74" s="5">
        <v>2</v>
      </c>
      <c r="L74" s="5">
        <v>4</v>
      </c>
      <c r="M74" s="5">
        <v>1</v>
      </c>
      <c r="N74" s="5">
        <v>5</v>
      </c>
      <c r="O74" s="5">
        <v>5</v>
      </c>
      <c r="P74" s="5">
        <v>5</v>
      </c>
      <c r="Q74" s="5">
        <v>4</v>
      </c>
      <c r="R74" s="5">
        <v>5</v>
      </c>
      <c r="S74" s="5">
        <v>1</v>
      </c>
      <c r="T74" s="5">
        <v>1</v>
      </c>
      <c r="U74" s="5">
        <v>2</v>
      </c>
      <c r="V74" s="5">
        <v>1.4</v>
      </c>
    </row>
    <row r="75" spans="1:22" x14ac:dyDescent="0.35">
      <c r="A75" s="4">
        <v>59</v>
      </c>
      <c r="B75" s="4">
        <v>2</v>
      </c>
      <c r="C75" s="4">
        <v>10</v>
      </c>
      <c r="D75" s="4">
        <v>2</v>
      </c>
      <c r="E75" s="4">
        <v>4</v>
      </c>
      <c r="F75" s="4">
        <v>4</v>
      </c>
      <c r="G75" s="4">
        <v>3</v>
      </c>
      <c r="H75" s="4">
        <v>3</v>
      </c>
      <c r="I75" s="4">
        <v>3</v>
      </c>
      <c r="J75" s="4">
        <v>4</v>
      </c>
      <c r="K75" s="4">
        <v>3</v>
      </c>
      <c r="L75" s="4">
        <v>3</v>
      </c>
      <c r="M75" s="4">
        <v>3</v>
      </c>
      <c r="N75" s="4">
        <v>3</v>
      </c>
      <c r="O75" s="4">
        <v>2</v>
      </c>
      <c r="P75" s="4">
        <v>2</v>
      </c>
      <c r="Q75" s="4">
        <v>2</v>
      </c>
      <c r="R75" s="4">
        <v>2</v>
      </c>
      <c r="S75" s="4">
        <v>3</v>
      </c>
      <c r="T75" s="4">
        <v>4</v>
      </c>
      <c r="U75" s="4">
        <v>3</v>
      </c>
      <c r="V75" s="4">
        <v>3.2</v>
      </c>
    </row>
    <row r="76" spans="1:22" x14ac:dyDescent="0.35">
      <c r="A76" s="5">
        <v>60</v>
      </c>
      <c r="B76" s="5">
        <v>2</v>
      </c>
      <c r="C76" s="5">
        <v>11</v>
      </c>
      <c r="D76" s="5">
        <v>1</v>
      </c>
      <c r="E76" s="5">
        <v>2</v>
      </c>
      <c r="F76" s="5">
        <v>1</v>
      </c>
      <c r="G76" s="5">
        <v>2</v>
      </c>
      <c r="H76" s="5">
        <v>3</v>
      </c>
      <c r="I76" s="5">
        <v>2</v>
      </c>
      <c r="J76" s="5">
        <v>2</v>
      </c>
      <c r="K76" s="5">
        <v>3</v>
      </c>
      <c r="L76" s="5">
        <v>3</v>
      </c>
      <c r="M76" s="5">
        <v>1</v>
      </c>
      <c r="N76" s="5">
        <v>5</v>
      </c>
      <c r="O76" s="5">
        <v>5</v>
      </c>
      <c r="P76" s="5">
        <v>5</v>
      </c>
      <c r="Q76" s="5">
        <v>4</v>
      </c>
      <c r="R76" s="5">
        <v>4</v>
      </c>
      <c r="S76" s="5">
        <v>3</v>
      </c>
      <c r="T76" s="5">
        <v>2</v>
      </c>
      <c r="U76" s="5">
        <v>3</v>
      </c>
      <c r="V76" s="5">
        <v>2.2000000000000002</v>
      </c>
    </row>
    <row r="77" spans="1:22" x14ac:dyDescent="0.35">
      <c r="A77" s="4">
        <v>61</v>
      </c>
      <c r="B77" s="4">
        <v>2</v>
      </c>
      <c r="C77" s="4">
        <v>9</v>
      </c>
      <c r="D77" s="4">
        <v>3</v>
      </c>
      <c r="E77" s="4">
        <v>3</v>
      </c>
      <c r="F77" s="4">
        <v>3</v>
      </c>
      <c r="G77" s="4">
        <v>3</v>
      </c>
      <c r="H77" s="4">
        <v>1</v>
      </c>
      <c r="I77" s="4">
        <v>2</v>
      </c>
      <c r="J77" s="4">
        <v>3</v>
      </c>
      <c r="K77" s="4">
        <v>4</v>
      </c>
      <c r="L77" s="4">
        <v>3</v>
      </c>
      <c r="M77" s="4">
        <v>4</v>
      </c>
      <c r="N77" s="4">
        <v>3</v>
      </c>
      <c r="O77" s="4">
        <v>2</v>
      </c>
      <c r="P77" s="4">
        <v>2</v>
      </c>
      <c r="Q77" s="4">
        <v>2</v>
      </c>
      <c r="R77" s="4">
        <v>4</v>
      </c>
      <c r="S77" s="4">
        <v>4</v>
      </c>
      <c r="T77" s="4">
        <v>3</v>
      </c>
      <c r="U77" s="4">
        <v>3</v>
      </c>
      <c r="V77" s="4">
        <v>3.2</v>
      </c>
    </row>
    <row r="78" spans="1:22" x14ac:dyDescent="0.35">
      <c r="A78" s="5">
        <v>62</v>
      </c>
      <c r="B78" s="5">
        <v>2</v>
      </c>
      <c r="C78" s="5">
        <v>10</v>
      </c>
      <c r="D78" s="5">
        <v>2</v>
      </c>
      <c r="E78" s="5">
        <v>4</v>
      </c>
      <c r="F78" s="5">
        <v>5</v>
      </c>
      <c r="G78" s="5">
        <v>5</v>
      </c>
      <c r="H78" s="5">
        <v>1</v>
      </c>
      <c r="I78" s="5">
        <v>4</v>
      </c>
      <c r="J78" s="5">
        <v>3</v>
      </c>
      <c r="K78" s="5">
        <v>5</v>
      </c>
      <c r="L78" s="5">
        <v>2</v>
      </c>
      <c r="M78" s="5">
        <v>5</v>
      </c>
      <c r="N78" s="5">
        <v>1</v>
      </c>
      <c r="O78" s="5">
        <v>1</v>
      </c>
      <c r="P78" s="5">
        <v>1</v>
      </c>
      <c r="Q78" s="5">
        <v>1</v>
      </c>
      <c r="R78" s="5">
        <v>2</v>
      </c>
      <c r="S78" s="5">
        <v>4</v>
      </c>
      <c r="T78" s="5">
        <v>4</v>
      </c>
      <c r="U78" s="5">
        <v>4</v>
      </c>
      <c r="V78" s="5">
        <v>4.2</v>
      </c>
    </row>
    <row r="79" spans="1:22" x14ac:dyDescent="0.35">
      <c r="A79" s="4">
        <v>63</v>
      </c>
      <c r="B79" s="4">
        <v>2</v>
      </c>
      <c r="C79" s="4">
        <v>11</v>
      </c>
      <c r="D79" s="4">
        <v>3</v>
      </c>
      <c r="E79" s="4">
        <v>4</v>
      </c>
      <c r="F79" s="4">
        <v>4</v>
      </c>
      <c r="G79" s="4">
        <v>5</v>
      </c>
      <c r="H79" s="4">
        <v>2</v>
      </c>
      <c r="I79" s="4">
        <v>4</v>
      </c>
      <c r="J79" s="4">
        <v>3</v>
      </c>
      <c r="K79" s="4">
        <v>5</v>
      </c>
      <c r="L79" s="4">
        <v>2</v>
      </c>
      <c r="M79" s="4">
        <v>3</v>
      </c>
      <c r="N79" s="4">
        <v>2</v>
      </c>
      <c r="O79" s="4">
        <v>2</v>
      </c>
      <c r="P79" s="4">
        <v>1</v>
      </c>
      <c r="Q79" s="4">
        <v>2</v>
      </c>
      <c r="R79" s="4">
        <v>1</v>
      </c>
      <c r="S79" s="4">
        <v>5</v>
      </c>
      <c r="T79" s="4">
        <v>4</v>
      </c>
      <c r="U79" s="4">
        <v>4</v>
      </c>
      <c r="V79" s="4">
        <v>3.8</v>
      </c>
    </row>
    <row r="80" spans="1:22" x14ac:dyDescent="0.35">
      <c r="A80" s="5">
        <v>64</v>
      </c>
      <c r="B80" s="5">
        <v>2</v>
      </c>
      <c r="C80" s="5">
        <v>10</v>
      </c>
      <c r="D80" s="5">
        <v>2</v>
      </c>
      <c r="E80" s="5">
        <v>3</v>
      </c>
      <c r="F80" s="5">
        <v>4</v>
      </c>
      <c r="G80" s="5">
        <v>4</v>
      </c>
      <c r="H80" s="5">
        <v>2</v>
      </c>
      <c r="I80" s="5">
        <v>4</v>
      </c>
      <c r="J80" s="5">
        <v>3</v>
      </c>
      <c r="K80" s="5">
        <v>3</v>
      </c>
      <c r="L80" s="5">
        <v>3</v>
      </c>
      <c r="M80" s="5">
        <v>3</v>
      </c>
      <c r="N80" s="5">
        <v>2</v>
      </c>
      <c r="O80" s="5">
        <v>1</v>
      </c>
      <c r="P80" s="5">
        <v>3</v>
      </c>
      <c r="Q80" s="5">
        <v>1</v>
      </c>
      <c r="R80" s="5">
        <v>2</v>
      </c>
      <c r="S80" s="5">
        <v>2</v>
      </c>
      <c r="T80" s="5">
        <v>3</v>
      </c>
      <c r="U80" s="5">
        <v>3</v>
      </c>
      <c r="V80" s="5">
        <v>3.2</v>
      </c>
    </row>
    <row r="81" spans="1:22" x14ac:dyDescent="0.35">
      <c r="A81" s="4">
        <v>65</v>
      </c>
      <c r="B81" s="4">
        <v>1</v>
      </c>
      <c r="C81" s="4">
        <v>12</v>
      </c>
      <c r="D81" s="4">
        <v>4</v>
      </c>
      <c r="E81" s="4">
        <v>4</v>
      </c>
      <c r="F81" s="4">
        <v>5</v>
      </c>
      <c r="G81" s="4">
        <v>5</v>
      </c>
      <c r="H81" s="4">
        <v>5</v>
      </c>
      <c r="I81" s="4">
        <v>5</v>
      </c>
      <c r="J81" s="4">
        <v>4</v>
      </c>
      <c r="K81" s="4">
        <v>4</v>
      </c>
      <c r="L81" s="4">
        <v>3</v>
      </c>
      <c r="M81" s="4">
        <v>5</v>
      </c>
      <c r="N81" s="4">
        <v>3</v>
      </c>
      <c r="O81" s="4">
        <v>3</v>
      </c>
      <c r="P81" s="4">
        <v>4</v>
      </c>
      <c r="Q81" s="4">
        <v>3</v>
      </c>
      <c r="R81" s="4">
        <v>2</v>
      </c>
      <c r="S81" s="4">
        <v>5</v>
      </c>
      <c r="T81" s="4">
        <v>4</v>
      </c>
      <c r="U81" s="4">
        <v>3</v>
      </c>
      <c r="V81" s="4">
        <v>4.2</v>
      </c>
    </row>
    <row r="82" spans="1:22" x14ac:dyDescent="0.35">
      <c r="A82" s="5">
        <v>66</v>
      </c>
      <c r="B82" s="5">
        <v>1</v>
      </c>
      <c r="C82" s="5">
        <v>12</v>
      </c>
      <c r="D82" s="5">
        <v>1</v>
      </c>
      <c r="E82" s="5">
        <v>4</v>
      </c>
      <c r="F82" s="5">
        <v>4</v>
      </c>
      <c r="G82" s="5">
        <v>3</v>
      </c>
      <c r="H82" s="5">
        <v>3</v>
      </c>
      <c r="I82" s="5">
        <v>5</v>
      </c>
      <c r="J82" s="5">
        <v>4</v>
      </c>
      <c r="K82" s="5">
        <v>5</v>
      </c>
      <c r="L82" s="5">
        <v>1</v>
      </c>
      <c r="M82" s="5">
        <v>5</v>
      </c>
      <c r="N82" s="5">
        <v>1</v>
      </c>
      <c r="O82" s="5">
        <v>2</v>
      </c>
      <c r="P82" s="5">
        <v>1</v>
      </c>
      <c r="Q82" s="5">
        <v>2</v>
      </c>
      <c r="R82" s="5">
        <v>1</v>
      </c>
      <c r="S82" s="5">
        <v>5</v>
      </c>
      <c r="T82" s="5">
        <v>4</v>
      </c>
      <c r="U82" s="5">
        <v>5</v>
      </c>
      <c r="V82" s="5">
        <v>4.8</v>
      </c>
    </row>
    <row r="83" spans="1:22" x14ac:dyDescent="0.35">
      <c r="A83" s="4">
        <v>67</v>
      </c>
      <c r="B83" s="4">
        <v>2</v>
      </c>
      <c r="C83" s="4">
        <v>10</v>
      </c>
      <c r="D83" s="4">
        <v>2</v>
      </c>
      <c r="E83" s="4">
        <v>2</v>
      </c>
      <c r="F83" s="4">
        <v>3</v>
      </c>
      <c r="G83" s="4">
        <v>2</v>
      </c>
      <c r="H83" s="4">
        <v>3</v>
      </c>
      <c r="I83" s="4">
        <v>1</v>
      </c>
      <c r="J83" s="4">
        <v>1</v>
      </c>
      <c r="K83" s="4">
        <v>1</v>
      </c>
      <c r="L83" s="4">
        <v>3</v>
      </c>
      <c r="M83" s="4">
        <v>3</v>
      </c>
      <c r="N83" s="4">
        <v>4</v>
      </c>
      <c r="O83" s="4">
        <v>5</v>
      </c>
      <c r="P83" s="4">
        <v>5</v>
      </c>
      <c r="Q83" s="4">
        <v>3</v>
      </c>
      <c r="R83" s="4">
        <v>4</v>
      </c>
      <c r="S83" s="4">
        <v>3</v>
      </c>
      <c r="T83" s="4">
        <v>2</v>
      </c>
      <c r="U83" s="4">
        <v>3</v>
      </c>
      <c r="V83" s="4">
        <v>1.8</v>
      </c>
    </row>
    <row r="84" spans="1:22" x14ac:dyDescent="0.35">
      <c r="A84" s="5">
        <v>68</v>
      </c>
      <c r="B84" s="5">
        <v>2</v>
      </c>
      <c r="C84" s="5">
        <v>10</v>
      </c>
      <c r="D84" s="5">
        <v>1</v>
      </c>
      <c r="E84" s="5">
        <v>1</v>
      </c>
      <c r="F84" s="5">
        <v>1</v>
      </c>
      <c r="G84" s="5">
        <v>2</v>
      </c>
      <c r="H84" s="5">
        <v>1</v>
      </c>
      <c r="I84" s="5">
        <v>1</v>
      </c>
      <c r="J84" s="5">
        <v>2</v>
      </c>
      <c r="K84" s="5">
        <v>1</v>
      </c>
      <c r="L84" s="5">
        <v>4</v>
      </c>
      <c r="M84" s="5">
        <v>1</v>
      </c>
      <c r="N84" s="5">
        <v>5</v>
      </c>
      <c r="O84" s="5">
        <v>5</v>
      </c>
      <c r="P84" s="5">
        <v>5</v>
      </c>
      <c r="Q84" s="5">
        <v>5</v>
      </c>
      <c r="R84" s="5">
        <v>5</v>
      </c>
      <c r="S84" s="5">
        <v>1</v>
      </c>
      <c r="T84" s="5">
        <v>1</v>
      </c>
      <c r="U84" s="5">
        <v>2</v>
      </c>
      <c r="V84" s="5">
        <v>1.4</v>
      </c>
    </row>
    <row r="85" spans="1:22" x14ac:dyDescent="0.35">
      <c r="A85" s="4">
        <v>69</v>
      </c>
      <c r="B85" s="4">
        <v>1</v>
      </c>
      <c r="C85" s="4">
        <v>9</v>
      </c>
      <c r="D85" s="4">
        <v>1</v>
      </c>
      <c r="E85" s="4">
        <v>4</v>
      </c>
      <c r="F85" s="4">
        <v>4</v>
      </c>
      <c r="G85" s="4">
        <v>3</v>
      </c>
      <c r="H85" s="4">
        <v>1</v>
      </c>
      <c r="I85" s="4">
        <v>5</v>
      </c>
      <c r="J85" s="4">
        <v>4</v>
      </c>
      <c r="K85" s="4">
        <v>4</v>
      </c>
      <c r="L85" s="4">
        <v>2</v>
      </c>
      <c r="M85" s="4">
        <v>4</v>
      </c>
      <c r="N85" s="4">
        <v>2</v>
      </c>
      <c r="O85" s="4">
        <v>3</v>
      </c>
      <c r="P85" s="4">
        <v>1</v>
      </c>
      <c r="Q85" s="4">
        <v>3</v>
      </c>
      <c r="R85" s="4">
        <v>3</v>
      </c>
      <c r="S85" s="4">
        <v>5</v>
      </c>
      <c r="T85" s="4">
        <v>4</v>
      </c>
      <c r="U85" s="4">
        <v>4</v>
      </c>
      <c r="V85" s="4">
        <v>4.2</v>
      </c>
    </row>
    <row r="86" spans="1:22" x14ac:dyDescent="0.35">
      <c r="A86" s="5">
        <v>70</v>
      </c>
      <c r="B86" s="5">
        <v>2</v>
      </c>
      <c r="C86" s="5">
        <v>10</v>
      </c>
      <c r="D86" s="5">
        <v>4</v>
      </c>
      <c r="E86" s="5">
        <v>2</v>
      </c>
      <c r="F86" s="5">
        <v>3</v>
      </c>
      <c r="G86" s="5">
        <v>2</v>
      </c>
      <c r="H86" s="5">
        <v>2</v>
      </c>
      <c r="I86" s="5">
        <v>2</v>
      </c>
      <c r="J86" s="5">
        <v>1</v>
      </c>
      <c r="K86" s="5">
        <v>2</v>
      </c>
      <c r="L86" s="5">
        <v>4</v>
      </c>
      <c r="M86" s="5">
        <v>2</v>
      </c>
      <c r="N86" s="5">
        <v>5</v>
      </c>
      <c r="O86" s="5">
        <v>5</v>
      </c>
      <c r="P86" s="5">
        <v>4</v>
      </c>
      <c r="Q86" s="5">
        <v>5</v>
      </c>
      <c r="R86" s="5">
        <v>4</v>
      </c>
      <c r="S86" s="5">
        <v>1</v>
      </c>
      <c r="T86" s="5">
        <v>2</v>
      </c>
      <c r="U86" s="5">
        <v>2</v>
      </c>
      <c r="V86" s="5">
        <v>1.8</v>
      </c>
    </row>
    <row r="87" spans="1:22" x14ac:dyDescent="0.35">
      <c r="A87" s="4">
        <v>71</v>
      </c>
      <c r="B87" s="4">
        <v>1</v>
      </c>
      <c r="C87" s="4">
        <v>9</v>
      </c>
      <c r="D87" s="4">
        <v>3</v>
      </c>
      <c r="E87" s="4">
        <v>5</v>
      </c>
      <c r="F87" s="4">
        <v>5</v>
      </c>
      <c r="G87" s="4">
        <v>5</v>
      </c>
      <c r="H87" s="4">
        <v>2</v>
      </c>
      <c r="I87" s="4">
        <v>5</v>
      </c>
      <c r="J87" s="4">
        <v>5</v>
      </c>
      <c r="K87" s="4">
        <v>5</v>
      </c>
      <c r="L87" s="4">
        <v>2</v>
      </c>
      <c r="M87" s="4">
        <v>5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5</v>
      </c>
      <c r="T87" s="4">
        <v>4</v>
      </c>
      <c r="U87" s="4">
        <v>4</v>
      </c>
      <c r="V87" s="4">
        <v>4.8</v>
      </c>
    </row>
    <row r="88" spans="1:22" x14ac:dyDescent="0.35">
      <c r="A88" s="5">
        <v>72</v>
      </c>
      <c r="B88" s="5">
        <v>2</v>
      </c>
      <c r="C88" s="5">
        <v>12</v>
      </c>
      <c r="D88" s="5">
        <v>3</v>
      </c>
      <c r="E88" s="5">
        <v>4</v>
      </c>
      <c r="F88" s="5">
        <v>5</v>
      </c>
      <c r="G88" s="5">
        <v>5</v>
      </c>
      <c r="H88" s="5">
        <v>2</v>
      </c>
      <c r="I88" s="5">
        <v>3</v>
      </c>
      <c r="J88" s="5">
        <v>3</v>
      </c>
      <c r="K88" s="5">
        <v>4</v>
      </c>
      <c r="L88" s="5">
        <v>1</v>
      </c>
      <c r="M88" s="5">
        <v>4</v>
      </c>
      <c r="N88" s="5">
        <v>3</v>
      </c>
      <c r="O88" s="5">
        <v>2</v>
      </c>
      <c r="P88" s="5">
        <v>3</v>
      </c>
      <c r="Q88" s="5">
        <v>4</v>
      </c>
      <c r="R88" s="5">
        <v>4</v>
      </c>
      <c r="S88" s="5">
        <v>4</v>
      </c>
      <c r="T88" s="5">
        <v>4</v>
      </c>
      <c r="U88" s="5">
        <v>5</v>
      </c>
      <c r="V88" s="5">
        <v>3.8</v>
      </c>
    </row>
    <row r="89" spans="1:22" x14ac:dyDescent="0.35">
      <c r="A89" s="4">
        <v>73</v>
      </c>
      <c r="B89" s="4">
        <v>2</v>
      </c>
      <c r="C89" s="4">
        <v>12</v>
      </c>
      <c r="D89" s="4">
        <v>1</v>
      </c>
      <c r="E89" s="4">
        <v>2</v>
      </c>
      <c r="F89" s="4">
        <v>3</v>
      </c>
      <c r="G89" s="4">
        <v>1</v>
      </c>
      <c r="H89" s="4">
        <v>4</v>
      </c>
      <c r="I89" s="4">
        <v>3</v>
      </c>
      <c r="J89" s="4">
        <v>3</v>
      </c>
      <c r="K89" s="4">
        <v>3</v>
      </c>
      <c r="L89" s="4">
        <v>3</v>
      </c>
      <c r="M89" s="4">
        <v>2</v>
      </c>
      <c r="N89" s="4">
        <v>4</v>
      </c>
      <c r="O89" s="4">
        <v>3</v>
      </c>
      <c r="P89" s="4">
        <v>4</v>
      </c>
      <c r="Q89" s="4">
        <v>4</v>
      </c>
      <c r="R89" s="4">
        <v>4</v>
      </c>
      <c r="S89" s="4">
        <v>2</v>
      </c>
      <c r="T89" s="4">
        <v>2</v>
      </c>
      <c r="U89" s="4">
        <v>3</v>
      </c>
      <c r="V89" s="4">
        <v>2.8</v>
      </c>
    </row>
    <row r="90" spans="1:22" x14ac:dyDescent="0.35">
      <c r="A90" s="5">
        <v>74</v>
      </c>
      <c r="B90" s="5">
        <v>2</v>
      </c>
      <c r="C90" s="5">
        <v>12</v>
      </c>
      <c r="D90" s="5">
        <v>2</v>
      </c>
      <c r="E90" s="5">
        <v>3</v>
      </c>
      <c r="F90" s="5">
        <v>3</v>
      </c>
      <c r="G90" s="5">
        <v>3</v>
      </c>
      <c r="H90" s="5">
        <v>1</v>
      </c>
      <c r="I90" s="5">
        <v>4</v>
      </c>
      <c r="J90" s="5">
        <v>4</v>
      </c>
      <c r="K90" s="5">
        <v>3</v>
      </c>
      <c r="L90" s="5">
        <v>4</v>
      </c>
      <c r="M90" s="5">
        <v>2</v>
      </c>
      <c r="N90" s="5">
        <v>4</v>
      </c>
      <c r="O90" s="5">
        <v>3</v>
      </c>
      <c r="P90" s="5">
        <v>3</v>
      </c>
      <c r="Q90" s="5">
        <v>3</v>
      </c>
      <c r="R90" s="5">
        <v>5</v>
      </c>
      <c r="S90" s="5">
        <v>3</v>
      </c>
      <c r="T90" s="5">
        <v>3</v>
      </c>
      <c r="U90" s="5">
        <v>2</v>
      </c>
      <c r="V90" s="5">
        <v>3</v>
      </c>
    </row>
    <row r="91" spans="1:22" x14ac:dyDescent="0.35">
      <c r="A91" s="4">
        <v>75</v>
      </c>
      <c r="B91" s="4">
        <v>2</v>
      </c>
      <c r="C91" s="4">
        <v>12</v>
      </c>
      <c r="D91" s="4">
        <v>3</v>
      </c>
      <c r="E91" s="4">
        <v>4</v>
      </c>
      <c r="F91" s="4">
        <v>5</v>
      </c>
      <c r="G91" s="4">
        <v>3</v>
      </c>
      <c r="H91" s="4">
        <v>2</v>
      </c>
      <c r="I91" s="4">
        <v>4</v>
      </c>
      <c r="J91" s="4">
        <v>5</v>
      </c>
      <c r="K91" s="4">
        <v>4</v>
      </c>
      <c r="L91" s="4">
        <v>1</v>
      </c>
      <c r="M91" s="4">
        <v>5</v>
      </c>
      <c r="N91" s="4">
        <v>3</v>
      </c>
      <c r="O91" s="4">
        <v>3</v>
      </c>
      <c r="P91" s="4">
        <v>2</v>
      </c>
      <c r="Q91" s="4">
        <v>3</v>
      </c>
      <c r="R91" s="4">
        <v>3</v>
      </c>
      <c r="S91" s="4">
        <v>3</v>
      </c>
      <c r="T91" s="4">
        <v>4</v>
      </c>
      <c r="U91" s="4">
        <v>5</v>
      </c>
      <c r="V91" s="4">
        <v>4.5999999999999996</v>
      </c>
    </row>
    <row r="92" spans="1:22" x14ac:dyDescent="0.35">
      <c r="A92" s="5">
        <v>76</v>
      </c>
      <c r="B92" s="5">
        <v>1</v>
      </c>
      <c r="C92" s="5">
        <v>12</v>
      </c>
      <c r="D92" s="5">
        <v>3</v>
      </c>
      <c r="E92" s="5">
        <v>1</v>
      </c>
      <c r="F92" s="5">
        <v>1</v>
      </c>
      <c r="G92" s="5">
        <v>2</v>
      </c>
      <c r="H92" s="5">
        <v>2</v>
      </c>
      <c r="I92" s="5">
        <v>1</v>
      </c>
      <c r="J92" s="5">
        <v>1</v>
      </c>
      <c r="K92" s="5">
        <v>1</v>
      </c>
      <c r="L92" s="5">
        <v>4</v>
      </c>
      <c r="M92" s="5">
        <v>2</v>
      </c>
      <c r="N92" s="5">
        <v>5</v>
      </c>
      <c r="O92" s="5">
        <v>5</v>
      </c>
      <c r="P92" s="5">
        <v>4</v>
      </c>
      <c r="Q92" s="5">
        <v>5</v>
      </c>
      <c r="R92" s="5">
        <v>4</v>
      </c>
      <c r="S92" s="5">
        <v>1</v>
      </c>
      <c r="T92" s="5">
        <v>1</v>
      </c>
      <c r="U92" s="5">
        <v>2</v>
      </c>
      <c r="V92" s="5">
        <v>1.4</v>
      </c>
    </row>
    <row r="93" spans="1:22" x14ac:dyDescent="0.35">
      <c r="A93" s="4">
        <v>77</v>
      </c>
      <c r="B93" s="4">
        <v>1</v>
      </c>
      <c r="C93" s="4">
        <v>11</v>
      </c>
      <c r="D93" s="4">
        <v>1</v>
      </c>
      <c r="E93" s="4">
        <v>4</v>
      </c>
      <c r="F93" s="4">
        <v>4</v>
      </c>
      <c r="G93" s="4">
        <v>3</v>
      </c>
      <c r="H93" s="4">
        <v>1</v>
      </c>
      <c r="I93" s="4">
        <v>4</v>
      </c>
      <c r="J93" s="4">
        <v>4</v>
      </c>
      <c r="K93" s="4">
        <v>5</v>
      </c>
      <c r="L93" s="4">
        <v>2</v>
      </c>
      <c r="M93" s="4">
        <v>4</v>
      </c>
      <c r="N93" s="4">
        <v>3</v>
      </c>
      <c r="O93" s="4">
        <v>4</v>
      </c>
      <c r="P93" s="4">
        <v>2</v>
      </c>
      <c r="Q93" s="4">
        <v>3</v>
      </c>
      <c r="R93" s="4">
        <v>4</v>
      </c>
      <c r="S93" s="4">
        <v>3</v>
      </c>
      <c r="T93" s="4">
        <v>4</v>
      </c>
      <c r="U93" s="4">
        <v>4</v>
      </c>
      <c r="V93" s="4">
        <v>4.2</v>
      </c>
    </row>
    <row r="94" spans="1:22" x14ac:dyDescent="0.35">
      <c r="A94" s="5">
        <v>78</v>
      </c>
      <c r="B94" s="5">
        <v>2</v>
      </c>
      <c r="C94" s="5">
        <v>12</v>
      </c>
      <c r="D94" s="5">
        <v>1</v>
      </c>
      <c r="E94" s="5">
        <v>3</v>
      </c>
      <c r="F94" s="5">
        <v>3</v>
      </c>
      <c r="G94" s="5">
        <v>3</v>
      </c>
      <c r="H94" s="5">
        <v>4</v>
      </c>
      <c r="I94" s="5">
        <v>3</v>
      </c>
      <c r="J94" s="5">
        <v>2</v>
      </c>
      <c r="K94" s="5">
        <v>2</v>
      </c>
      <c r="L94" s="5">
        <v>4</v>
      </c>
      <c r="M94" s="5">
        <v>4</v>
      </c>
      <c r="N94" s="5">
        <v>2</v>
      </c>
      <c r="O94" s="5">
        <v>3</v>
      </c>
      <c r="P94" s="5">
        <v>1</v>
      </c>
      <c r="Q94" s="5">
        <v>2</v>
      </c>
      <c r="R94" s="5">
        <v>3</v>
      </c>
      <c r="S94" s="5">
        <v>2</v>
      </c>
      <c r="T94" s="5">
        <v>3</v>
      </c>
      <c r="U94" s="5">
        <v>2</v>
      </c>
      <c r="V94" s="5">
        <v>2.6</v>
      </c>
    </row>
    <row r="95" spans="1:22" x14ac:dyDescent="0.35">
      <c r="A95" s="4">
        <v>79</v>
      </c>
      <c r="B95" s="4">
        <v>1</v>
      </c>
      <c r="C95" s="4">
        <v>11</v>
      </c>
      <c r="D95" s="4">
        <v>2</v>
      </c>
      <c r="E95" s="4">
        <v>5</v>
      </c>
      <c r="F95" s="4">
        <v>5</v>
      </c>
      <c r="G95" s="4">
        <v>4</v>
      </c>
      <c r="H95" s="4">
        <v>3</v>
      </c>
      <c r="I95" s="4">
        <v>4</v>
      </c>
      <c r="J95" s="4">
        <v>5</v>
      </c>
      <c r="K95" s="4">
        <v>4</v>
      </c>
      <c r="L95" s="4">
        <v>1</v>
      </c>
      <c r="M95" s="4">
        <v>5</v>
      </c>
      <c r="N95" s="4">
        <v>2</v>
      </c>
      <c r="O95" s="4">
        <v>3</v>
      </c>
      <c r="P95" s="4">
        <v>3</v>
      </c>
      <c r="Q95" s="4">
        <v>2</v>
      </c>
      <c r="R95" s="4">
        <v>2</v>
      </c>
      <c r="S95" s="4">
        <v>4</v>
      </c>
      <c r="T95" s="4">
        <v>4</v>
      </c>
      <c r="U95" s="4">
        <v>5</v>
      </c>
      <c r="V95" s="4">
        <v>4.5999999999999996</v>
      </c>
    </row>
    <row r="96" spans="1:22" x14ac:dyDescent="0.35">
      <c r="A96" s="5">
        <v>80</v>
      </c>
      <c r="B96" s="5">
        <v>1</v>
      </c>
      <c r="C96" s="5">
        <v>11</v>
      </c>
      <c r="D96" s="5">
        <v>2</v>
      </c>
      <c r="E96" s="5">
        <v>4</v>
      </c>
      <c r="F96" s="5">
        <v>4</v>
      </c>
      <c r="G96" s="5">
        <v>4</v>
      </c>
      <c r="H96" s="5">
        <v>1</v>
      </c>
      <c r="I96" s="5">
        <v>3</v>
      </c>
      <c r="J96" s="5">
        <v>4</v>
      </c>
      <c r="K96" s="5">
        <v>4</v>
      </c>
      <c r="L96" s="5">
        <v>3</v>
      </c>
      <c r="M96" s="5">
        <v>5</v>
      </c>
      <c r="N96" s="5">
        <v>2</v>
      </c>
      <c r="O96" s="5">
        <v>3</v>
      </c>
      <c r="P96" s="5">
        <v>3</v>
      </c>
      <c r="Q96" s="5">
        <v>2</v>
      </c>
      <c r="R96" s="5">
        <v>1</v>
      </c>
      <c r="S96" s="5">
        <v>3</v>
      </c>
      <c r="T96" s="5">
        <v>4</v>
      </c>
      <c r="U96" s="5">
        <v>3</v>
      </c>
      <c r="V96" s="5">
        <v>3.8</v>
      </c>
    </row>
    <row r="97" spans="1:22" x14ac:dyDescent="0.35">
      <c r="A97" s="4">
        <v>81</v>
      </c>
      <c r="B97" s="4">
        <v>2</v>
      </c>
      <c r="C97" s="4">
        <v>10</v>
      </c>
      <c r="D97" s="4">
        <v>4</v>
      </c>
      <c r="E97" s="4">
        <v>5</v>
      </c>
      <c r="F97" s="4">
        <v>5</v>
      </c>
      <c r="G97" s="4">
        <v>5</v>
      </c>
      <c r="H97" s="4">
        <v>2</v>
      </c>
      <c r="I97" s="4">
        <v>5</v>
      </c>
      <c r="J97" s="4">
        <v>5</v>
      </c>
      <c r="K97" s="4">
        <v>5</v>
      </c>
      <c r="L97" s="4">
        <v>1</v>
      </c>
      <c r="M97" s="4">
        <v>5</v>
      </c>
      <c r="N97" s="4">
        <v>1</v>
      </c>
      <c r="O97" s="4">
        <v>1</v>
      </c>
      <c r="P97" s="4">
        <v>2</v>
      </c>
      <c r="Q97" s="4">
        <v>1</v>
      </c>
      <c r="R97" s="4">
        <v>2</v>
      </c>
      <c r="S97" s="4">
        <v>5</v>
      </c>
      <c r="T97" s="4">
        <v>4</v>
      </c>
      <c r="U97" s="4">
        <v>5</v>
      </c>
      <c r="V97" s="4">
        <v>5</v>
      </c>
    </row>
    <row r="98" spans="1:22" x14ac:dyDescent="0.35">
      <c r="A98" s="5">
        <v>82</v>
      </c>
      <c r="B98" s="5">
        <v>1</v>
      </c>
      <c r="C98" s="5">
        <v>12</v>
      </c>
      <c r="D98" s="5">
        <v>2</v>
      </c>
      <c r="E98" s="5">
        <v>2</v>
      </c>
      <c r="F98" s="5">
        <v>3</v>
      </c>
      <c r="G98" s="5">
        <v>1</v>
      </c>
      <c r="H98" s="5">
        <v>1</v>
      </c>
      <c r="I98" s="5">
        <v>1</v>
      </c>
      <c r="J98" s="5">
        <v>2</v>
      </c>
      <c r="K98" s="5">
        <v>1</v>
      </c>
      <c r="L98" s="5">
        <v>5</v>
      </c>
      <c r="M98" s="5">
        <v>1</v>
      </c>
      <c r="N98" s="5">
        <v>4</v>
      </c>
      <c r="O98" s="5">
        <v>5</v>
      </c>
      <c r="P98" s="5">
        <v>4</v>
      </c>
      <c r="Q98" s="5">
        <v>3</v>
      </c>
      <c r="R98" s="5">
        <v>5</v>
      </c>
      <c r="S98" s="5">
        <v>1</v>
      </c>
      <c r="T98" s="5">
        <v>2</v>
      </c>
      <c r="U98" s="5">
        <v>1</v>
      </c>
      <c r="V98" s="5">
        <v>1.2</v>
      </c>
    </row>
    <row r="99" spans="1:22" x14ac:dyDescent="0.35">
      <c r="A99" s="4">
        <v>83</v>
      </c>
      <c r="B99" s="4">
        <v>1</v>
      </c>
      <c r="C99" s="4">
        <v>12</v>
      </c>
      <c r="D99" s="4">
        <v>2</v>
      </c>
      <c r="E99" s="4">
        <v>1</v>
      </c>
      <c r="F99" s="4">
        <v>1</v>
      </c>
      <c r="G99" s="4">
        <v>1</v>
      </c>
      <c r="H99" s="4">
        <v>5</v>
      </c>
      <c r="I99" s="4">
        <v>1</v>
      </c>
      <c r="J99" s="4">
        <v>1</v>
      </c>
      <c r="K99" s="4">
        <v>1</v>
      </c>
      <c r="L99" s="4">
        <v>5</v>
      </c>
      <c r="M99" s="4">
        <v>1</v>
      </c>
      <c r="N99" s="4">
        <v>5</v>
      </c>
      <c r="O99" s="4">
        <v>5</v>
      </c>
      <c r="P99" s="4">
        <v>5</v>
      </c>
      <c r="Q99" s="4">
        <v>5</v>
      </c>
      <c r="R99" s="4">
        <v>5</v>
      </c>
      <c r="S99" s="4">
        <v>2</v>
      </c>
      <c r="T99" s="4">
        <v>1</v>
      </c>
      <c r="U99" s="4">
        <v>1</v>
      </c>
      <c r="V99" s="4">
        <v>1</v>
      </c>
    </row>
    <row r="100" spans="1:22" x14ac:dyDescent="0.35">
      <c r="A100" s="5">
        <v>84</v>
      </c>
      <c r="B100" s="5">
        <v>2</v>
      </c>
      <c r="C100" s="5">
        <v>12</v>
      </c>
      <c r="D100" s="5">
        <v>1</v>
      </c>
      <c r="E100" s="5">
        <v>2</v>
      </c>
      <c r="F100" s="5">
        <v>2</v>
      </c>
      <c r="G100" s="5">
        <v>2</v>
      </c>
      <c r="H100" s="5">
        <v>1</v>
      </c>
      <c r="I100" s="5">
        <v>2</v>
      </c>
      <c r="J100" s="5">
        <v>3</v>
      </c>
      <c r="K100" s="5">
        <v>3</v>
      </c>
      <c r="L100" s="5">
        <v>4</v>
      </c>
      <c r="M100" s="5">
        <v>3</v>
      </c>
      <c r="N100" s="5">
        <v>3</v>
      </c>
      <c r="O100" s="5">
        <v>3</v>
      </c>
      <c r="P100" s="5">
        <v>2</v>
      </c>
      <c r="Q100" s="5">
        <v>4</v>
      </c>
      <c r="R100" s="5">
        <v>4</v>
      </c>
      <c r="S100" s="5">
        <v>1</v>
      </c>
      <c r="T100" s="5">
        <v>2</v>
      </c>
      <c r="U100" s="5">
        <v>2</v>
      </c>
      <c r="V100" s="5">
        <v>2.6</v>
      </c>
    </row>
    <row r="101" spans="1:22" x14ac:dyDescent="0.35">
      <c r="A101" s="4">
        <v>85</v>
      </c>
      <c r="B101" s="4">
        <v>1</v>
      </c>
      <c r="C101" s="4">
        <v>11</v>
      </c>
      <c r="D101" s="4">
        <v>3</v>
      </c>
      <c r="E101" s="4">
        <v>3</v>
      </c>
      <c r="F101" s="4">
        <v>2</v>
      </c>
      <c r="G101" s="4">
        <v>4</v>
      </c>
      <c r="H101" s="4">
        <v>1</v>
      </c>
      <c r="I101" s="4">
        <v>4</v>
      </c>
      <c r="J101" s="4">
        <v>3</v>
      </c>
      <c r="K101" s="4">
        <v>4</v>
      </c>
      <c r="L101" s="4">
        <v>2</v>
      </c>
      <c r="M101" s="4">
        <v>3</v>
      </c>
      <c r="N101" s="4">
        <v>3</v>
      </c>
      <c r="O101" s="4">
        <v>2</v>
      </c>
      <c r="P101" s="4">
        <v>4</v>
      </c>
      <c r="Q101" s="4">
        <v>3</v>
      </c>
      <c r="R101" s="4">
        <v>2</v>
      </c>
      <c r="S101" s="4">
        <v>3</v>
      </c>
      <c r="T101" s="4">
        <v>3</v>
      </c>
      <c r="U101" s="4">
        <v>4</v>
      </c>
      <c r="V101" s="4">
        <v>3.6</v>
      </c>
    </row>
    <row r="102" spans="1:22" x14ac:dyDescent="0.35">
      <c r="A102" s="5">
        <v>86</v>
      </c>
      <c r="B102" s="5">
        <v>1</v>
      </c>
      <c r="C102" s="5">
        <v>11</v>
      </c>
      <c r="D102" s="5">
        <v>4</v>
      </c>
      <c r="E102" s="5">
        <v>2</v>
      </c>
      <c r="F102" s="5">
        <v>3</v>
      </c>
      <c r="G102" s="5">
        <v>3</v>
      </c>
      <c r="H102" s="5">
        <v>2</v>
      </c>
      <c r="I102" s="5">
        <v>3</v>
      </c>
      <c r="J102" s="5">
        <v>2</v>
      </c>
      <c r="K102" s="5">
        <v>2</v>
      </c>
      <c r="L102" s="5">
        <v>5</v>
      </c>
      <c r="M102" s="5">
        <v>2</v>
      </c>
      <c r="N102" s="5">
        <v>3</v>
      </c>
      <c r="O102" s="5">
        <v>3</v>
      </c>
      <c r="P102" s="5">
        <v>2</v>
      </c>
      <c r="Q102" s="5">
        <v>2</v>
      </c>
      <c r="R102" s="5">
        <v>4</v>
      </c>
      <c r="S102" s="5">
        <v>3</v>
      </c>
      <c r="T102" s="5">
        <v>2</v>
      </c>
      <c r="U102" s="5">
        <v>1</v>
      </c>
      <c r="V102" s="5">
        <v>2</v>
      </c>
    </row>
    <row r="103" spans="1:22" x14ac:dyDescent="0.35">
      <c r="A103" s="4">
        <v>87</v>
      </c>
      <c r="B103" s="4">
        <v>2</v>
      </c>
      <c r="C103" s="4">
        <v>12</v>
      </c>
      <c r="D103" s="4">
        <v>3</v>
      </c>
      <c r="E103" s="4">
        <v>5</v>
      </c>
      <c r="F103" s="4">
        <v>4</v>
      </c>
      <c r="G103" s="4">
        <v>5</v>
      </c>
      <c r="H103" s="4">
        <v>1</v>
      </c>
      <c r="I103" s="4">
        <v>5</v>
      </c>
      <c r="J103" s="4">
        <v>4</v>
      </c>
      <c r="K103" s="4">
        <v>4</v>
      </c>
      <c r="L103" s="4">
        <v>1</v>
      </c>
      <c r="M103" s="4">
        <v>4</v>
      </c>
      <c r="N103" s="4">
        <v>2</v>
      </c>
      <c r="O103" s="4">
        <v>1</v>
      </c>
      <c r="P103" s="4">
        <v>1</v>
      </c>
      <c r="Q103" s="4">
        <v>1</v>
      </c>
      <c r="R103" s="4">
        <v>2</v>
      </c>
      <c r="S103" s="4">
        <v>5</v>
      </c>
      <c r="T103" s="4">
        <v>4</v>
      </c>
      <c r="U103" s="4">
        <v>5</v>
      </c>
      <c r="V103" s="4">
        <v>4.4000000000000004</v>
      </c>
    </row>
    <row r="104" spans="1:22" x14ac:dyDescent="0.35">
      <c r="A104" s="5">
        <v>88</v>
      </c>
      <c r="B104" s="5">
        <v>2</v>
      </c>
      <c r="C104" s="5">
        <v>11</v>
      </c>
      <c r="D104" s="5">
        <v>3</v>
      </c>
      <c r="E104" s="5">
        <v>4</v>
      </c>
      <c r="F104" s="5">
        <v>4</v>
      </c>
      <c r="G104" s="5">
        <v>5</v>
      </c>
      <c r="H104" s="5">
        <v>1</v>
      </c>
      <c r="I104" s="5">
        <v>3</v>
      </c>
      <c r="J104" s="5">
        <v>5</v>
      </c>
      <c r="K104" s="5">
        <v>5</v>
      </c>
      <c r="L104" s="5">
        <v>3</v>
      </c>
      <c r="M104" s="5">
        <v>4</v>
      </c>
      <c r="N104" s="5">
        <v>3</v>
      </c>
      <c r="O104" s="5">
        <v>4</v>
      </c>
      <c r="P104" s="5">
        <v>3</v>
      </c>
      <c r="Q104" s="5">
        <v>3</v>
      </c>
      <c r="R104" s="5">
        <v>3</v>
      </c>
      <c r="S104" s="5">
        <v>5</v>
      </c>
      <c r="T104" s="5">
        <v>4</v>
      </c>
      <c r="U104" s="5">
        <v>3</v>
      </c>
      <c r="V104" s="5">
        <v>4</v>
      </c>
    </row>
    <row r="105" spans="1:22" x14ac:dyDescent="0.35">
      <c r="A105" s="4">
        <v>89</v>
      </c>
      <c r="B105" s="4">
        <v>2</v>
      </c>
      <c r="C105" s="4">
        <v>9</v>
      </c>
      <c r="D105" s="4">
        <v>2</v>
      </c>
      <c r="E105" s="4">
        <v>3</v>
      </c>
      <c r="F105" s="4">
        <v>3</v>
      </c>
      <c r="G105" s="4">
        <v>2</v>
      </c>
      <c r="H105" s="4">
        <v>4</v>
      </c>
      <c r="I105" s="4">
        <v>3</v>
      </c>
      <c r="J105" s="4">
        <v>3</v>
      </c>
      <c r="K105" s="4">
        <v>2</v>
      </c>
      <c r="L105" s="4">
        <v>4</v>
      </c>
      <c r="M105" s="4">
        <v>4</v>
      </c>
      <c r="N105" s="4">
        <v>4</v>
      </c>
      <c r="O105" s="4">
        <v>3</v>
      </c>
      <c r="P105" s="4">
        <v>3</v>
      </c>
      <c r="Q105" s="4">
        <v>3</v>
      </c>
      <c r="R105" s="4">
        <v>5</v>
      </c>
      <c r="S105" s="4">
        <v>3</v>
      </c>
      <c r="T105" s="4">
        <v>3</v>
      </c>
      <c r="U105" s="4">
        <v>2</v>
      </c>
      <c r="V105" s="4">
        <v>2.8</v>
      </c>
    </row>
    <row r="106" spans="1:22" x14ac:dyDescent="0.35">
      <c r="A106" s="5">
        <v>90</v>
      </c>
      <c r="B106" s="5">
        <v>1</v>
      </c>
      <c r="C106" s="5">
        <v>9</v>
      </c>
      <c r="D106" s="5">
        <v>1</v>
      </c>
      <c r="E106" s="5">
        <v>3</v>
      </c>
      <c r="F106" s="5">
        <v>3</v>
      </c>
      <c r="G106" s="5">
        <v>2</v>
      </c>
      <c r="H106" s="5">
        <v>1</v>
      </c>
      <c r="I106" s="5">
        <v>2</v>
      </c>
      <c r="J106" s="5">
        <v>4</v>
      </c>
      <c r="K106" s="5">
        <v>3</v>
      </c>
      <c r="L106" s="5">
        <v>2</v>
      </c>
      <c r="M106" s="5">
        <v>3</v>
      </c>
      <c r="N106" s="5">
        <v>2</v>
      </c>
      <c r="O106" s="5">
        <v>2</v>
      </c>
      <c r="P106" s="5">
        <v>2</v>
      </c>
      <c r="Q106" s="5">
        <v>1</v>
      </c>
      <c r="R106" s="5">
        <v>1</v>
      </c>
      <c r="S106" s="5">
        <v>3</v>
      </c>
      <c r="T106" s="5">
        <v>3</v>
      </c>
      <c r="U106" s="5">
        <v>4</v>
      </c>
      <c r="V106" s="5">
        <v>3.2</v>
      </c>
    </row>
    <row r="107" spans="1:22" x14ac:dyDescent="0.35">
      <c r="A107" s="4">
        <v>91</v>
      </c>
      <c r="B107" s="4">
        <v>2</v>
      </c>
      <c r="C107" s="4">
        <v>10</v>
      </c>
      <c r="D107" s="4">
        <v>3</v>
      </c>
      <c r="E107" s="4">
        <v>2</v>
      </c>
      <c r="F107" s="4">
        <v>3</v>
      </c>
      <c r="G107" s="4">
        <v>1</v>
      </c>
      <c r="H107" s="4">
        <v>3</v>
      </c>
      <c r="I107" s="4">
        <v>1</v>
      </c>
      <c r="J107" s="4">
        <v>2</v>
      </c>
      <c r="K107" s="4">
        <v>3</v>
      </c>
      <c r="L107" s="4">
        <v>4</v>
      </c>
      <c r="M107" s="4">
        <v>2</v>
      </c>
      <c r="N107" s="4">
        <v>3</v>
      </c>
      <c r="O107" s="4">
        <v>4</v>
      </c>
      <c r="P107" s="4">
        <v>4</v>
      </c>
      <c r="Q107" s="4">
        <v>4</v>
      </c>
      <c r="R107" s="4">
        <v>4</v>
      </c>
      <c r="S107" s="4">
        <v>1</v>
      </c>
      <c r="T107" s="4">
        <v>2</v>
      </c>
      <c r="U107" s="4">
        <v>2</v>
      </c>
      <c r="V107" s="4">
        <v>2</v>
      </c>
    </row>
    <row r="108" spans="1:22" x14ac:dyDescent="0.35">
      <c r="A108" s="5">
        <v>92</v>
      </c>
      <c r="B108" s="5">
        <v>1</v>
      </c>
      <c r="C108" s="5">
        <v>9</v>
      </c>
      <c r="D108" s="5">
        <v>4</v>
      </c>
      <c r="E108" s="5">
        <v>3</v>
      </c>
      <c r="F108" s="5">
        <v>2</v>
      </c>
      <c r="G108" s="5">
        <v>4</v>
      </c>
      <c r="H108" s="5">
        <v>1</v>
      </c>
      <c r="I108" s="5">
        <v>4</v>
      </c>
      <c r="J108" s="5">
        <v>4</v>
      </c>
      <c r="K108" s="5">
        <v>3</v>
      </c>
      <c r="L108" s="5">
        <v>3</v>
      </c>
      <c r="M108" s="5">
        <v>4</v>
      </c>
      <c r="N108" s="5">
        <v>2</v>
      </c>
      <c r="O108" s="5">
        <v>1</v>
      </c>
      <c r="P108" s="5">
        <v>2</v>
      </c>
      <c r="Q108" s="5">
        <v>2</v>
      </c>
      <c r="R108" s="5">
        <v>2</v>
      </c>
      <c r="S108" s="5">
        <v>4</v>
      </c>
      <c r="T108" s="5">
        <v>3</v>
      </c>
      <c r="U108" s="5">
        <v>3</v>
      </c>
      <c r="V108" s="5">
        <v>3.6</v>
      </c>
    </row>
    <row r="109" spans="1:22" x14ac:dyDescent="0.35">
      <c r="A109" s="4">
        <v>93</v>
      </c>
      <c r="B109" s="4">
        <v>2</v>
      </c>
      <c r="C109" s="4">
        <v>11</v>
      </c>
      <c r="D109" s="4">
        <v>2</v>
      </c>
      <c r="E109" s="4">
        <v>3</v>
      </c>
      <c r="F109" s="4">
        <v>4</v>
      </c>
      <c r="G109" s="4">
        <v>3</v>
      </c>
      <c r="H109" s="4">
        <v>2</v>
      </c>
      <c r="I109" s="4">
        <v>2</v>
      </c>
      <c r="J109" s="4">
        <v>4</v>
      </c>
      <c r="K109" s="4">
        <v>3</v>
      </c>
      <c r="L109" s="4">
        <v>2</v>
      </c>
      <c r="M109" s="4">
        <v>2</v>
      </c>
      <c r="N109" s="4">
        <v>2</v>
      </c>
      <c r="O109" s="4">
        <v>1</v>
      </c>
      <c r="P109" s="4">
        <v>2</v>
      </c>
      <c r="Q109" s="4">
        <v>1</v>
      </c>
      <c r="R109" s="4">
        <v>3</v>
      </c>
      <c r="S109" s="4">
        <v>4</v>
      </c>
      <c r="T109" s="4">
        <v>3</v>
      </c>
      <c r="U109" s="4">
        <v>4</v>
      </c>
      <c r="V109" s="4">
        <v>3</v>
      </c>
    </row>
    <row r="110" spans="1:22" x14ac:dyDescent="0.35">
      <c r="A110" s="5">
        <v>94</v>
      </c>
      <c r="B110" s="5">
        <v>2</v>
      </c>
      <c r="C110" s="5">
        <v>12</v>
      </c>
      <c r="D110" s="5">
        <v>3</v>
      </c>
      <c r="E110" s="5">
        <v>5</v>
      </c>
      <c r="F110" s="5">
        <v>5</v>
      </c>
      <c r="G110" s="5">
        <v>5</v>
      </c>
      <c r="H110" s="5">
        <v>1</v>
      </c>
      <c r="I110" s="5">
        <v>5</v>
      </c>
      <c r="J110" s="5">
        <v>4</v>
      </c>
      <c r="K110" s="5">
        <v>5</v>
      </c>
      <c r="L110" s="5">
        <v>2</v>
      </c>
      <c r="M110" s="5">
        <v>4</v>
      </c>
      <c r="N110" s="5">
        <v>1</v>
      </c>
      <c r="O110" s="5">
        <v>1</v>
      </c>
      <c r="P110" s="5">
        <v>2</v>
      </c>
      <c r="Q110" s="5">
        <v>2</v>
      </c>
      <c r="R110" s="5">
        <v>2</v>
      </c>
      <c r="S110" s="5">
        <v>5</v>
      </c>
      <c r="T110" s="5">
        <v>4</v>
      </c>
      <c r="U110" s="5">
        <v>4</v>
      </c>
      <c r="V110" s="5">
        <v>4.4000000000000004</v>
      </c>
    </row>
    <row r="111" spans="1:22" x14ac:dyDescent="0.35">
      <c r="A111" s="4">
        <v>95</v>
      </c>
      <c r="B111" s="4">
        <v>1</v>
      </c>
      <c r="C111" s="4">
        <v>9</v>
      </c>
      <c r="D111" s="4">
        <v>4</v>
      </c>
      <c r="E111" s="4">
        <v>5</v>
      </c>
      <c r="F111" s="4">
        <v>5</v>
      </c>
      <c r="G111" s="4">
        <v>5</v>
      </c>
      <c r="H111" s="4">
        <v>1</v>
      </c>
      <c r="I111" s="4">
        <v>4</v>
      </c>
      <c r="J111" s="4">
        <v>5</v>
      </c>
      <c r="K111" s="4">
        <v>5</v>
      </c>
      <c r="L111" s="4">
        <v>1</v>
      </c>
      <c r="M111" s="4">
        <v>4</v>
      </c>
      <c r="N111" s="4">
        <v>1</v>
      </c>
      <c r="O111" s="4">
        <v>1</v>
      </c>
      <c r="P111" s="4">
        <v>2</v>
      </c>
      <c r="Q111" s="4">
        <v>1</v>
      </c>
      <c r="R111" s="4">
        <v>2</v>
      </c>
      <c r="S111" s="4">
        <v>5</v>
      </c>
      <c r="T111" s="4">
        <v>4</v>
      </c>
      <c r="U111" s="4">
        <v>5</v>
      </c>
      <c r="V111" s="4">
        <v>4.5999999999999996</v>
      </c>
    </row>
    <row r="112" spans="1:22" x14ac:dyDescent="0.35">
      <c r="A112" s="5">
        <v>96</v>
      </c>
      <c r="B112" s="5">
        <v>2</v>
      </c>
      <c r="C112" s="5">
        <v>12</v>
      </c>
      <c r="D112" s="5">
        <v>3</v>
      </c>
      <c r="E112" s="5">
        <v>3</v>
      </c>
      <c r="F112" s="5">
        <v>3</v>
      </c>
      <c r="G112" s="5">
        <v>2</v>
      </c>
      <c r="H112" s="5">
        <v>5</v>
      </c>
      <c r="I112" s="5">
        <v>3</v>
      </c>
      <c r="J112" s="5">
        <v>2</v>
      </c>
      <c r="K112" s="5">
        <v>2</v>
      </c>
      <c r="L112" s="5">
        <v>3</v>
      </c>
      <c r="M112" s="5">
        <v>4</v>
      </c>
      <c r="N112" s="5">
        <v>3</v>
      </c>
      <c r="O112" s="5">
        <v>4</v>
      </c>
      <c r="P112" s="5">
        <v>3</v>
      </c>
      <c r="Q112" s="5">
        <v>4</v>
      </c>
      <c r="R112" s="5">
        <v>3</v>
      </c>
      <c r="S112" s="5">
        <v>2</v>
      </c>
      <c r="T112" s="5">
        <v>3</v>
      </c>
      <c r="U112" s="5">
        <v>3</v>
      </c>
      <c r="V112" s="5">
        <v>2.8</v>
      </c>
    </row>
    <row r="114" spans="1:6" x14ac:dyDescent="0.35">
      <c r="A114" s="1" t="s">
        <v>0</v>
      </c>
      <c r="B114" s="19" t="s">
        <v>1</v>
      </c>
      <c r="C114" s="19"/>
      <c r="D114" s="19"/>
      <c r="E114" s="19"/>
      <c r="F114" s="19"/>
    </row>
    <row r="115" spans="1:6" x14ac:dyDescent="0.35">
      <c r="A115" s="2" t="s">
        <v>2</v>
      </c>
      <c r="B115" s="18" t="s">
        <v>3</v>
      </c>
      <c r="C115" s="18"/>
      <c r="D115" s="18"/>
      <c r="E115" s="18"/>
      <c r="F115" s="18"/>
    </row>
    <row r="116" spans="1:6" x14ac:dyDescent="0.35">
      <c r="A116" s="1" t="s">
        <v>4</v>
      </c>
      <c r="B116" s="19" t="s">
        <v>5</v>
      </c>
      <c r="C116" s="19"/>
      <c r="D116" s="19"/>
      <c r="E116" s="19"/>
      <c r="F116" s="19"/>
    </row>
    <row r="117" spans="1:6" x14ac:dyDescent="0.35">
      <c r="A117" s="2" t="s">
        <v>6</v>
      </c>
      <c r="B117" s="18" t="s">
        <v>7</v>
      </c>
      <c r="C117" s="18"/>
      <c r="D117" s="18"/>
      <c r="E117" s="18"/>
      <c r="F117" s="18"/>
    </row>
    <row r="118" spans="1:6" x14ac:dyDescent="0.35">
      <c r="A118" s="1" t="s">
        <v>8</v>
      </c>
      <c r="B118" s="19" t="s">
        <v>9</v>
      </c>
      <c r="C118" s="19"/>
      <c r="D118" s="19"/>
      <c r="E118" s="19"/>
      <c r="F118" s="19"/>
    </row>
    <row r="119" spans="1:6" x14ac:dyDescent="0.35">
      <c r="A119" s="2" t="s">
        <v>10</v>
      </c>
      <c r="B119" s="18" t="s">
        <v>11</v>
      </c>
      <c r="C119" s="18"/>
      <c r="D119" s="18"/>
      <c r="E119" s="18"/>
      <c r="F119" s="18"/>
    </row>
    <row r="120" spans="1:6" x14ac:dyDescent="0.35">
      <c r="A120" s="1" t="s">
        <v>12</v>
      </c>
      <c r="B120" s="19" t="s">
        <v>13</v>
      </c>
      <c r="C120" s="19"/>
      <c r="D120" s="19"/>
      <c r="E120" s="19"/>
      <c r="F120" s="19"/>
    </row>
    <row r="121" spans="1:6" x14ac:dyDescent="0.35">
      <c r="A121" s="2" t="s">
        <v>14</v>
      </c>
      <c r="B121" s="18" t="s">
        <v>15</v>
      </c>
      <c r="C121" s="18"/>
      <c r="D121" s="18"/>
      <c r="E121" s="18"/>
      <c r="F121" s="18"/>
    </row>
    <row r="122" spans="1:6" x14ac:dyDescent="0.35">
      <c r="A122" s="1" t="s">
        <v>16</v>
      </c>
      <c r="B122" s="19" t="s">
        <v>17</v>
      </c>
      <c r="C122" s="19"/>
      <c r="D122" s="19"/>
      <c r="E122" s="19"/>
      <c r="F122" s="19"/>
    </row>
    <row r="123" spans="1:6" x14ac:dyDescent="0.35">
      <c r="A123" s="2" t="s">
        <v>18</v>
      </c>
      <c r="B123" s="18" t="s">
        <v>19</v>
      </c>
      <c r="C123" s="18"/>
      <c r="D123" s="18"/>
      <c r="E123" s="18"/>
      <c r="F123" s="18"/>
    </row>
    <row r="124" spans="1:6" x14ac:dyDescent="0.35">
      <c r="A124" s="1" t="s">
        <v>20</v>
      </c>
      <c r="B124" s="19" t="s">
        <v>21</v>
      </c>
      <c r="C124" s="19"/>
      <c r="D124" s="19"/>
      <c r="E124" s="19"/>
      <c r="F124" s="19"/>
    </row>
    <row r="125" spans="1:6" x14ac:dyDescent="0.35">
      <c r="A125" s="2" t="s">
        <v>22</v>
      </c>
      <c r="B125" s="18" t="s">
        <v>23</v>
      </c>
      <c r="C125" s="18"/>
      <c r="D125" s="18"/>
      <c r="E125" s="18"/>
      <c r="F125" s="18"/>
    </row>
  </sheetData>
  <mergeCells count="25">
    <mergeCell ref="B125:F125"/>
    <mergeCell ref="B119:F119"/>
    <mergeCell ref="B120:F120"/>
    <mergeCell ref="B121:F121"/>
    <mergeCell ref="B122:F122"/>
    <mergeCell ref="B123:F123"/>
    <mergeCell ref="B124:F124"/>
    <mergeCell ref="B118:F118"/>
    <mergeCell ref="B114:F114"/>
    <mergeCell ref="B115:F115"/>
    <mergeCell ref="B116:F116"/>
    <mergeCell ref="B117:F117"/>
    <mergeCell ref="A1:V1"/>
    <mergeCell ref="B2:F2"/>
    <mergeCell ref="B3:F3"/>
    <mergeCell ref="B4:F4"/>
    <mergeCell ref="B5:F5"/>
    <mergeCell ref="B11:F11"/>
    <mergeCell ref="B12:F12"/>
    <mergeCell ref="B13:F13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F7B2-99AC-4120-A53A-4AE428C0EB79}">
  <dimension ref="A1:B33"/>
  <sheetViews>
    <sheetView workbookViewId="0">
      <selection activeCell="B15" sqref="B15"/>
    </sheetView>
  </sheetViews>
  <sheetFormatPr defaultRowHeight="14.5" x14ac:dyDescent="0.35"/>
  <cols>
    <col min="1" max="1" width="24.54296875" customWidth="1"/>
    <col min="2" max="2" width="8.453125" bestFit="1" customWidth="1"/>
  </cols>
  <sheetData>
    <row r="1" spans="1:2" ht="15" thickBot="1" x14ac:dyDescent="0.4">
      <c r="A1" s="9" t="s">
        <v>48</v>
      </c>
    </row>
    <row r="2" spans="1:2" ht="16" thickBot="1" x14ac:dyDescent="0.4">
      <c r="A2" s="10" t="s">
        <v>41</v>
      </c>
      <c r="B2" s="11" t="s">
        <v>42</v>
      </c>
    </row>
    <row r="3" spans="1:2" ht="16" thickBot="1" x14ac:dyDescent="0.4">
      <c r="A3" s="6" t="s">
        <v>43</v>
      </c>
      <c r="B3" s="7">
        <f>COUNTIF(Sheet1!$B$17:$B$112, 1)</f>
        <v>49</v>
      </c>
    </row>
    <row r="4" spans="1:2" ht="16" thickBot="1" x14ac:dyDescent="0.4">
      <c r="A4" s="6" t="s">
        <v>44</v>
      </c>
      <c r="B4" s="7">
        <f>COUNTIF(Sheet1!$B$17:$B$112, 2)</f>
        <v>47</v>
      </c>
    </row>
    <row r="5" spans="1:2" ht="16" thickBot="1" x14ac:dyDescent="0.4">
      <c r="A5" s="6" t="s">
        <v>45</v>
      </c>
      <c r="B5" s="7">
        <f>COUNTA(Sheet1!$B$17:$B$112)</f>
        <v>96</v>
      </c>
    </row>
    <row r="6" spans="1:2" ht="16" thickBot="1" x14ac:dyDescent="0.4">
      <c r="A6" s="6" t="s">
        <v>46</v>
      </c>
      <c r="B6" s="8">
        <f>COUNTIF(Sheet1!$B$17:$B$112, 1)/COUNTA(Sheet1!$B$17:$B$112)</f>
        <v>0.51041666666666663</v>
      </c>
    </row>
    <row r="7" spans="1:2" ht="16" thickBot="1" x14ac:dyDescent="0.4">
      <c r="A7" s="6" t="s">
        <v>47</v>
      </c>
      <c r="B7" s="8">
        <f>COUNTIF(Sheet1!$B$17:$B$112, 2)/COUNTA(Sheet1!$B$17:$B$112)</f>
        <v>0.48958333333333331</v>
      </c>
    </row>
    <row r="10" spans="1:2" ht="15" thickBot="1" x14ac:dyDescent="0.4">
      <c r="A10" s="9" t="s">
        <v>49</v>
      </c>
    </row>
    <row r="11" spans="1:2" ht="15.5" thickTop="1" thickBot="1" x14ac:dyDescent="0.4">
      <c r="A11" s="12" t="s">
        <v>41</v>
      </c>
      <c r="B11" s="12" t="s">
        <v>42</v>
      </c>
    </row>
    <row r="12" spans="1:2" ht="15.5" thickTop="1" thickBot="1" x14ac:dyDescent="0.4">
      <c r="A12" s="13" t="s">
        <v>50</v>
      </c>
      <c r="B12" s="13">
        <f>COUNTIF(Sheet1!$C$17:$C$112, 9)</f>
        <v>17</v>
      </c>
    </row>
    <row r="13" spans="1:2" ht="15.5" thickTop="1" thickBot="1" x14ac:dyDescent="0.4">
      <c r="A13" s="13" t="s">
        <v>51</v>
      </c>
      <c r="B13" s="13">
        <f>COUNTIF(Sheet1!$C$17:$C$112, 10)</f>
        <v>26</v>
      </c>
    </row>
    <row r="14" spans="1:2" ht="15.5" thickTop="1" thickBot="1" x14ac:dyDescent="0.4">
      <c r="A14" s="13" t="s">
        <v>52</v>
      </c>
      <c r="B14" s="13">
        <f>COUNTIF(Sheet1!$C$17:$C$112, 11)</f>
        <v>24</v>
      </c>
    </row>
    <row r="15" spans="1:2" ht="15.5" thickTop="1" thickBot="1" x14ac:dyDescent="0.4">
      <c r="A15" s="13" t="s">
        <v>53</v>
      </c>
      <c r="B15" s="13">
        <f>COUNTIF(Sheet1!$C$17:$C$112, 12)</f>
        <v>29</v>
      </c>
    </row>
    <row r="16" spans="1:2" ht="15.5" thickTop="1" thickBot="1" x14ac:dyDescent="0.4">
      <c r="A16" s="13" t="s">
        <v>45</v>
      </c>
      <c r="B16" s="13">
        <f>COUNTA(Sheet1!$C$17:$C$112)</f>
        <v>96</v>
      </c>
    </row>
    <row r="17" spans="1:2" ht="15.5" thickTop="1" thickBot="1" x14ac:dyDescent="0.4">
      <c r="A17" s="13" t="s">
        <v>54</v>
      </c>
      <c r="B17" s="14">
        <f>COUNTIF(Sheet1!$C$17:$C$112, 9)/COUNTA(Sheet1!$C$17:$C$112)</f>
        <v>0.17708333333333334</v>
      </c>
    </row>
    <row r="18" spans="1:2" ht="15.5" thickTop="1" thickBot="1" x14ac:dyDescent="0.4">
      <c r="A18" s="13" t="s">
        <v>55</v>
      </c>
      <c r="B18" s="14">
        <f>COUNTIF(Sheet1!$C$17:$C$112, 10)/COUNTA(Sheet1!$C$17:$C$112)</f>
        <v>0.27083333333333331</v>
      </c>
    </row>
    <row r="19" spans="1:2" ht="15.5" thickTop="1" thickBot="1" x14ac:dyDescent="0.4">
      <c r="A19" s="13" t="s">
        <v>56</v>
      </c>
      <c r="B19" s="14">
        <f>COUNTIF(Sheet1!$C$17:$C$112, 11)/COUNTA(Sheet1!$C$17:$C$112)</f>
        <v>0.25</v>
      </c>
    </row>
    <row r="20" spans="1:2" ht="15.5" thickTop="1" thickBot="1" x14ac:dyDescent="0.4">
      <c r="A20" s="13" t="s">
        <v>57</v>
      </c>
      <c r="B20" s="14">
        <f>COUNTIF(Sheet1!$C$17:$C$112, 12)/COUNTA(Sheet1!$C$17:$C$112)</f>
        <v>0.30208333333333331</v>
      </c>
    </row>
    <row r="21" spans="1:2" ht="15" thickTop="1" x14ac:dyDescent="0.35"/>
    <row r="22" spans="1:2" ht="15" thickBot="1" x14ac:dyDescent="0.4">
      <c r="A22" s="9" t="s">
        <v>58</v>
      </c>
    </row>
    <row r="23" spans="1:2" ht="15.5" thickTop="1" thickBot="1" x14ac:dyDescent="0.4">
      <c r="A23" s="12" t="s">
        <v>41</v>
      </c>
      <c r="B23" s="12" t="s">
        <v>42</v>
      </c>
    </row>
    <row r="24" spans="1:2" ht="15.5" thickTop="1" thickBot="1" x14ac:dyDescent="0.4">
      <c r="A24" s="13" t="s">
        <v>59</v>
      </c>
      <c r="B24" s="13">
        <f>COUNTIF(Sheet1!$D$17:$D$112, 1)</f>
        <v>25</v>
      </c>
    </row>
    <row r="25" spans="1:2" ht="15.5" thickTop="1" thickBot="1" x14ac:dyDescent="0.4">
      <c r="A25" s="13" t="s">
        <v>60</v>
      </c>
      <c r="B25" s="13">
        <f>COUNTIF(Sheet1!$D$17:$D$112, 2)</f>
        <v>25</v>
      </c>
    </row>
    <row r="26" spans="1:2" ht="15.5" thickTop="1" thickBot="1" x14ac:dyDescent="0.4">
      <c r="A26" s="13" t="s">
        <v>61</v>
      </c>
      <c r="B26" s="13">
        <f>COUNTIF(Sheet1!$D$17:$D$112, 3)</f>
        <v>26</v>
      </c>
    </row>
    <row r="27" spans="1:2" ht="15.5" thickTop="1" thickBot="1" x14ac:dyDescent="0.4">
      <c r="A27" s="13" t="s">
        <v>62</v>
      </c>
      <c r="B27" s="13">
        <f>COUNTIF(Sheet1!$D$17:$D$112, 4)</f>
        <v>20</v>
      </c>
    </row>
    <row r="28" spans="1:2" ht="15.5" thickTop="1" thickBot="1" x14ac:dyDescent="0.4">
      <c r="A28" s="13" t="s">
        <v>45</v>
      </c>
      <c r="B28" s="13">
        <f>COUNTA(Sheet1!$D$17:$D$112)</f>
        <v>96</v>
      </c>
    </row>
    <row r="29" spans="1:2" ht="15.5" thickTop="1" thickBot="1" x14ac:dyDescent="0.4">
      <c r="A29" s="13" t="s">
        <v>63</v>
      </c>
      <c r="B29" s="14">
        <f>COUNTIF(Sheet1!$D$17:$D$112, 1)/COUNTA(Sheet1!$D$17:$D$112)</f>
        <v>0.26041666666666669</v>
      </c>
    </row>
    <row r="30" spans="1:2" ht="15.5" thickTop="1" thickBot="1" x14ac:dyDescent="0.4">
      <c r="A30" s="13" t="s">
        <v>64</v>
      </c>
      <c r="B30" s="14">
        <f>COUNTIF(Sheet1!$D$17:$D$112, 2)/COUNTA(Sheet1!$D$17:$D$112)</f>
        <v>0.26041666666666669</v>
      </c>
    </row>
    <row r="31" spans="1:2" ht="15.5" thickTop="1" thickBot="1" x14ac:dyDescent="0.4">
      <c r="A31" s="13" t="s">
        <v>65</v>
      </c>
      <c r="B31" s="14">
        <f>COUNTIF(Sheet1!$D$17:$D$112, 3)/COUNTA(Sheet1!$D$17:$D$112)</f>
        <v>0.27083333333333331</v>
      </c>
    </row>
    <row r="32" spans="1:2" ht="15.5" thickTop="1" thickBot="1" x14ac:dyDescent="0.4">
      <c r="A32" s="13" t="s">
        <v>66</v>
      </c>
      <c r="B32" s="14">
        <f>COUNTIF(Sheet1!$D$17:$D$112, 4)/COUNTA(Sheet1!$D$17:$D$112)</f>
        <v>0.20833333333333334</v>
      </c>
    </row>
    <row r="33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83C3-C886-4BF0-BDD7-103DA8F36CB1}">
  <dimension ref="A1:H97"/>
  <sheetViews>
    <sheetView workbookViewId="0">
      <selection activeCell="D1" sqref="D1:H6"/>
    </sheetView>
  </sheetViews>
  <sheetFormatPr defaultRowHeight="14.5" x14ac:dyDescent="0.35"/>
  <cols>
    <col min="1" max="1" width="14.36328125" bestFit="1" customWidth="1"/>
    <col min="2" max="2" width="17.36328125" bestFit="1" customWidth="1"/>
    <col min="4" max="4" width="17.36328125" bestFit="1" customWidth="1"/>
    <col min="5" max="5" width="14.90625" bestFit="1" customWidth="1"/>
    <col min="6" max="6" width="17.90625" bestFit="1" customWidth="1"/>
    <col min="7" max="7" width="15.1796875" bestFit="1" customWidth="1"/>
    <col min="8" max="8" width="12.453125" bestFit="1" customWidth="1"/>
  </cols>
  <sheetData>
    <row r="1" spans="1:8" x14ac:dyDescent="0.35">
      <c r="A1" t="s">
        <v>67</v>
      </c>
      <c r="B1" t="s">
        <v>68</v>
      </c>
      <c r="D1" s="16"/>
      <c r="E1" s="16" t="s">
        <v>67</v>
      </c>
      <c r="F1" s="16" t="s">
        <v>68</v>
      </c>
      <c r="G1" t="s">
        <v>69</v>
      </c>
      <c r="H1">
        <f>CORREL(Sheet3_Correlation!$A$2:$A$97, Sheet3_Correlation!$B$2:$B$97)</f>
        <v>-0.83467788329671588</v>
      </c>
    </row>
    <row r="2" spans="1:8" x14ac:dyDescent="0.35">
      <c r="A2">
        <f>Sheet1!E17</f>
        <v>4</v>
      </c>
      <c r="B2">
        <f>Sheet1!N17</f>
        <v>2</v>
      </c>
      <c r="D2" t="s">
        <v>67</v>
      </c>
      <c r="E2">
        <v>1</v>
      </c>
    </row>
    <row r="3" spans="1:8" ht="15" thickBot="1" x14ac:dyDescent="0.4">
      <c r="A3">
        <f>Sheet1!E18</f>
        <v>3</v>
      </c>
      <c r="B3">
        <f>Sheet1!N18</f>
        <v>3</v>
      </c>
      <c r="D3" s="15" t="s">
        <v>68</v>
      </c>
      <c r="E3" s="15">
        <v>-0.83467788329671588</v>
      </c>
      <c r="F3" s="15">
        <v>1</v>
      </c>
    </row>
    <row r="4" spans="1:8" x14ac:dyDescent="0.35">
      <c r="A4">
        <f>Sheet1!E19</f>
        <v>5</v>
      </c>
      <c r="B4">
        <f>Sheet1!N19</f>
        <v>1</v>
      </c>
    </row>
    <row r="5" spans="1:8" x14ac:dyDescent="0.35">
      <c r="A5">
        <f>Sheet1!E20</f>
        <v>3</v>
      </c>
      <c r="B5">
        <f>Sheet1!N20</f>
        <v>4</v>
      </c>
      <c r="D5" t="s">
        <v>70</v>
      </c>
      <c r="E5">
        <f>(H1*SQRT(96-2))/SQRT(1-H1^2)</f>
        <v>-14.693912231745445</v>
      </c>
    </row>
    <row r="6" spans="1:8" x14ac:dyDescent="0.35">
      <c r="A6">
        <f>Sheet1!E21</f>
        <v>4</v>
      </c>
      <c r="B6">
        <f>Sheet1!N21</f>
        <v>2</v>
      </c>
      <c r="D6" t="s">
        <v>71</v>
      </c>
      <c r="E6">
        <f>_xlfn.T.DIST.2T(ABS(E5), 94)</f>
        <v>4.3613484736385479E-26</v>
      </c>
    </row>
    <row r="7" spans="1:8" x14ac:dyDescent="0.35">
      <c r="A7">
        <f>Sheet1!E22</f>
        <v>2</v>
      </c>
      <c r="B7">
        <f>Sheet1!N22</f>
        <v>4</v>
      </c>
    </row>
    <row r="8" spans="1:8" x14ac:dyDescent="0.35">
      <c r="A8">
        <f>Sheet1!E23</f>
        <v>5</v>
      </c>
      <c r="B8">
        <f>Sheet1!N23</f>
        <v>1</v>
      </c>
    </row>
    <row r="9" spans="1:8" x14ac:dyDescent="0.35">
      <c r="A9">
        <f>Sheet1!E24</f>
        <v>3</v>
      </c>
      <c r="B9">
        <f>Sheet1!N24</f>
        <v>3</v>
      </c>
    </row>
    <row r="10" spans="1:8" x14ac:dyDescent="0.35">
      <c r="A10">
        <f>Sheet1!E25</f>
        <v>4</v>
      </c>
      <c r="B10">
        <f>Sheet1!N25</f>
        <v>2</v>
      </c>
    </row>
    <row r="11" spans="1:8" x14ac:dyDescent="0.35">
      <c r="A11">
        <f>Sheet1!E26</f>
        <v>2</v>
      </c>
      <c r="B11">
        <f>Sheet1!N26</f>
        <v>4</v>
      </c>
    </row>
    <row r="12" spans="1:8" x14ac:dyDescent="0.35">
      <c r="A12">
        <f>Sheet1!E27</f>
        <v>2</v>
      </c>
      <c r="B12">
        <f>Sheet1!N27</f>
        <v>4</v>
      </c>
    </row>
    <row r="13" spans="1:8" x14ac:dyDescent="0.35">
      <c r="A13">
        <f>Sheet1!E28</f>
        <v>3</v>
      </c>
      <c r="B13">
        <f>Sheet1!N28</f>
        <v>4</v>
      </c>
    </row>
    <row r="14" spans="1:8" x14ac:dyDescent="0.35">
      <c r="A14">
        <f>Sheet1!E29</f>
        <v>2</v>
      </c>
      <c r="B14">
        <f>Sheet1!N29</f>
        <v>3</v>
      </c>
    </row>
    <row r="15" spans="1:8" x14ac:dyDescent="0.35">
      <c r="A15">
        <f>Sheet1!E30</f>
        <v>2</v>
      </c>
      <c r="B15">
        <f>Sheet1!N30</f>
        <v>5</v>
      </c>
    </row>
    <row r="16" spans="1:8" x14ac:dyDescent="0.35">
      <c r="A16">
        <f>Sheet1!E31</f>
        <v>2</v>
      </c>
      <c r="B16">
        <f>Sheet1!N31</f>
        <v>3</v>
      </c>
    </row>
    <row r="17" spans="1:2" x14ac:dyDescent="0.35">
      <c r="A17">
        <f>Sheet1!E32</f>
        <v>2</v>
      </c>
      <c r="B17">
        <f>Sheet1!N32</f>
        <v>4</v>
      </c>
    </row>
    <row r="18" spans="1:2" x14ac:dyDescent="0.35">
      <c r="A18">
        <f>Sheet1!E33</f>
        <v>5</v>
      </c>
      <c r="B18">
        <f>Sheet1!N33</f>
        <v>2</v>
      </c>
    </row>
    <row r="19" spans="1:2" x14ac:dyDescent="0.35">
      <c r="A19">
        <f>Sheet1!E34</f>
        <v>3</v>
      </c>
      <c r="B19">
        <f>Sheet1!N34</f>
        <v>4</v>
      </c>
    </row>
    <row r="20" spans="1:2" x14ac:dyDescent="0.35">
      <c r="A20">
        <f>Sheet1!E35</f>
        <v>3</v>
      </c>
      <c r="B20">
        <f>Sheet1!N35</f>
        <v>2</v>
      </c>
    </row>
    <row r="21" spans="1:2" x14ac:dyDescent="0.35">
      <c r="A21">
        <f>Sheet1!E36</f>
        <v>5</v>
      </c>
      <c r="B21">
        <f>Sheet1!N36</f>
        <v>1</v>
      </c>
    </row>
    <row r="22" spans="1:2" x14ac:dyDescent="0.35">
      <c r="A22">
        <f>Sheet1!E37</f>
        <v>2</v>
      </c>
      <c r="B22">
        <f>Sheet1!N37</f>
        <v>3</v>
      </c>
    </row>
    <row r="23" spans="1:2" x14ac:dyDescent="0.35">
      <c r="A23">
        <f>Sheet1!E38</f>
        <v>4</v>
      </c>
      <c r="B23">
        <f>Sheet1!N38</f>
        <v>1</v>
      </c>
    </row>
    <row r="24" spans="1:2" x14ac:dyDescent="0.35">
      <c r="A24">
        <f>Sheet1!E39</f>
        <v>3</v>
      </c>
      <c r="B24">
        <f>Sheet1!N39</f>
        <v>4</v>
      </c>
    </row>
    <row r="25" spans="1:2" x14ac:dyDescent="0.35">
      <c r="A25">
        <f>Sheet1!E40</f>
        <v>2</v>
      </c>
      <c r="B25">
        <f>Sheet1!N40</f>
        <v>4</v>
      </c>
    </row>
    <row r="26" spans="1:2" x14ac:dyDescent="0.35">
      <c r="A26">
        <f>Sheet1!E41</f>
        <v>1</v>
      </c>
      <c r="B26">
        <f>Sheet1!N41</f>
        <v>5</v>
      </c>
    </row>
    <row r="27" spans="1:2" x14ac:dyDescent="0.35">
      <c r="A27">
        <f>Sheet1!E42</f>
        <v>5</v>
      </c>
      <c r="B27">
        <f>Sheet1!N42</f>
        <v>1</v>
      </c>
    </row>
    <row r="28" spans="1:2" x14ac:dyDescent="0.35">
      <c r="A28">
        <f>Sheet1!E43</f>
        <v>4</v>
      </c>
      <c r="B28">
        <f>Sheet1!N43</f>
        <v>3</v>
      </c>
    </row>
    <row r="29" spans="1:2" x14ac:dyDescent="0.35">
      <c r="A29">
        <f>Sheet1!E44</f>
        <v>4</v>
      </c>
      <c r="B29">
        <f>Sheet1!N44</f>
        <v>1</v>
      </c>
    </row>
    <row r="30" spans="1:2" x14ac:dyDescent="0.35">
      <c r="A30">
        <f>Sheet1!E45</f>
        <v>4</v>
      </c>
      <c r="B30">
        <f>Sheet1!N45</f>
        <v>2</v>
      </c>
    </row>
    <row r="31" spans="1:2" x14ac:dyDescent="0.35">
      <c r="A31">
        <f>Sheet1!E46</f>
        <v>2</v>
      </c>
      <c r="B31">
        <f>Sheet1!N46</f>
        <v>4</v>
      </c>
    </row>
    <row r="32" spans="1:2" x14ac:dyDescent="0.35">
      <c r="A32">
        <f>Sheet1!E47</f>
        <v>4</v>
      </c>
      <c r="B32">
        <f>Sheet1!N47</f>
        <v>2</v>
      </c>
    </row>
    <row r="33" spans="1:2" x14ac:dyDescent="0.35">
      <c r="A33">
        <f>Sheet1!E48</f>
        <v>4</v>
      </c>
      <c r="B33">
        <f>Sheet1!N48</f>
        <v>3</v>
      </c>
    </row>
    <row r="34" spans="1:2" x14ac:dyDescent="0.35">
      <c r="A34">
        <f>Sheet1!E49</f>
        <v>1</v>
      </c>
      <c r="B34">
        <f>Sheet1!N49</f>
        <v>5</v>
      </c>
    </row>
    <row r="35" spans="1:2" x14ac:dyDescent="0.35">
      <c r="A35">
        <f>Sheet1!E50</f>
        <v>3</v>
      </c>
      <c r="B35">
        <f>Sheet1!N50</f>
        <v>2</v>
      </c>
    </row>
    <row r="36" spans="1:2" x14ac:dyDescent="0.35">
      <c r="A36">
        <f>Sheet1!E51</f>
        <v>2</v>
      </c>
      <c r="B36">
        <f>Sheet1!N51</f>
        <v>5</v>
      </c>
    </row>
    <row r="37" spans="1:2" x14ac:dyDescent="0.35">
      <c r="A37">
        <f>Sheet1!E52</f>
        <v>4</v>
      </c>
      <c r="B37">
        <f>Sheet1!N52</f>
        <v>1</v>
      </c>
    </row>
    <row r="38" spans="1:2" x14ac:dyDescent="0.35">
      <c r="A38">
        <f>Sheet1!E53</f>
        <v>4</v>
      </c>
      <c r="B38">
        <f>Sheet1!N53</f>
        <v>2</v>
      </c>
    </row>
    <row r="39" spans="1:2" x14ac:dyDescent="0.35">
      <c r="A39">
        <f>Sheet1!E54</f>
        <v>3</v>
      </c>
      <c r="B39">
        <f>Sheet1!N54</f>
        <v>3</v>
      </c>
    </row>
    <row r="40" spans="1:2" x14ac:dyDescent="0.35">
      <c r="A40">
        <f>Sheet1!E55</f>
        <v>4</v>
      </c>
      <c r="B40">
        <f>Sheet1!N55</f>
        <v>1</v>
      </c>
    </row>
    <row r="41" spans="1:2" x14ac:dyDescent="0.35">
      <c r="A41">
        <f>Sheet1!E56</f>
        <v>3</v>
      </c>
      <c r="B41">
        <f>Sheet1!N56</f>
        <v>4</v>
      </c>
    </row>
    <row r="42" spans="1:2" x14ac:dyDescent="0.35">
      <c r="A42">
        <f>Sheet1!E57</f>
        <v>3</v>
      </c>
      <c r="B42">
        <f>Sheet1!N57</f>
        <v>4</v>
      </c>
    </row>
    <row r="43" spans="1:2" x14ac:dyDescent="0.35">
      <c r="A43">
        <f>Sheet1!E58</f>
        <v>3</v>
      </c>
      <c r="B43">
        <f>Sheet1!N58</f>
        <v>4</v>
      </c>
    </row>
    <row r="44" spans="1:2" x14ac:dyDescent="0.35">
      <c r="A44">
        <f>Sheet1!E59</f>
        <v>5</v>
      </c>
      <c r="B44">
        <f>Sheet1!N59</f>
        <v>2</v>
      </c>
    </row>
    <row r="45" spans="1:2" x14ac:dyDescent="0.35">
      <c r="A45">
        <f>Sheet1!E60</f>
        <v>4</v>
      </c>
      <c r="B45">
        <f>Sheet1!N60</f>
        <v>1</v>
      </c>
    </row>
    <row r="46" spans="1:2" x14ac:dyDescent="0.35">
      <c r="A46">
        <f>Sheet1!E61</f>
        <v>2</v>
      </c>
      <c r="B46">
        <f>Sheet1!N61</f>
        <v>5</v>
      </c>
    </row>
    <row r="47" spans="1:2" x14ac:dyDescent="0.35">
      <c r="A47">
        <f>Sheet1!E62</f>
        <v>5</v>
      </c>
      <c r="B47">
        <f>Sheet1!N62</f>
        <v>2</v>
      </c>
    </row>
    <row r="48" spans="1:2" x14ac:dyDescent="0.35">
      <c r="A48">
        <f>Sheet1!E63</f>
        <v>4</v>
      </c>
      <c r="B48">
        <f>Sheet1!N63</f>
        <v>3</v>
      </c>
    </row>
    <row r="49" spans="1:2" x14ac:dyDescent="0.35">
      <c r="A49">
        <f>Sheet1!E64</f>
        <v>5</v>
      </c>
      <c r="B49">
        <f>Sheet1!N64</f>
        <v>1</v>
      </c>
    </row>
    <row r="50" spans="1:2" x14ac:dyDescent="0.35">
      <c r="A50">
        <f>Sheet1!E65</f>
        <v>5</v>
      </c>
      <c r="B50">
        <f>Sheet1!N65</f>
        <v>2</v>
      </c>
    </row>
    <row r="51" spans="1:2" x14ac:dyDescent="0.35">
      <c r="A51">
        <f>Sheet1!E66</f>
        <v>3</v>
      </c>
      <c r="B51">
        <f>Sheet1!N66</f>
        <v>2</v>
      </c>
    </row>
    <row r="52" spans="1:2" x14ac:dyDescent="0.35">
      <c r="A52">
        <f>Sheet1!E67</f>
        <v>2</v>
      </c>
      <c r="B52">
        <f>Sheet1!N67</f>
        <v>4</v>
      </c>
    </row>
    <row r="53" spans="1:2" x14ac:dyDescent="0.35">
      <c r="A53">
        <f>Sheet1!E68</f>
        <v>4</v>
      </c>
      <c r="B53">
        <f>Sheet1!N68</f>
        <v>2</v>
      </c>
    </row>
    <row r="54" spans="1:2" x14ac:dyDescent="0.35">
      <c r="A54">
        <f>Sheet1!E69</f>
        <v>5</v>
      </c>
      <c r="B54">
        <f>Sheet1!N69</f>
        <v>1</v>
      </c>
    </row>
    <row r="55" spans="1:2" x14ac:dyDescent="0.35">
      <c r="A55">
        <f>Sheet1!E70</f>
        <v>5</v>
      </c>
      <c r="B55">
        <f>Sheet1!N70</f>
        <v>1</v>
      </c>
    </row>
    <row r="56" spans="1:2" x14ac:dyDescent="0.35">
      <c r="A56">
        <f>Sheet1!E71</f>
        <v>4</v>
      </c>
      <c r="B56">
        <f>Sheet1!N71</f>
        <v>2</v>
      </c>
    </row>
    <row r="57" spans="1:2" x14ac:dyDescent="0.35">
      <c r="A57">
        <f>Sheet1!E72</f>
        <v>2</v>
      </c>
      <c r="B57">
        <f>Sheet1!N72</f>
        <v>4</v>
      </c>
    </row>
    <row r="58" spans="1:2" x14ac:dyDescent="0.35">
      <c r="A58">
        <f>Sheet1!E73</f>
        <v>2</v>
      </c>
      <c r="B58">
        <f>Sheet1!N73</f>
        <v>4</v>
      </c>
    </row>
    <row r="59" spans="1:2" x14ac:dyDescent="0.35">
      <c r="A59">
        <f>Sheet1!E74</f>
        <v>1</v>
      </c>
      <c r="B59">
        <f>Sheet1!N74</f>
        <v>5</v>
      </c>
    </row>
    <row r="60" spans="1:2" x14ac:dyDescent="0.35">
      <c r="A60">
        <f>Sheet1!E75</f>
        <v>4</v>
      </c>
      <c r="B60">
        <f>Sheet1!N75</f>
        <v>3</v>
      </c>
    </row>
    <row r="61" spans="1:2" x14ac:dyDescent="0.35">
      <c r="A61">
        <f>Sheet1!E76</f>
        <v>2</v>
      </c>
      <c r="B61">
        <f>Sheet1!N76</f>
        <v>5</v>
      </c>
    </row>
    <row r="62" spans="1:2" x14ac:dyDescent="0.35">
      <c r="A62">
        <f>Sheet1!E77</f>
        <v>3</v>
      </c>
      <c r="B62">
        <f>Sheet1!N77</f>
        <v>3</v>
      </c>
    </row>
    <row r="63" spans="1:2" x14ac:dyDescent="0.35">
      <c r="A63">
        <f>Sheet1!E78</f>
        <v>4</v>
      </c>
      <c r="B63">
        <f>Sheet1!N78</f>
        <v>1</v>
      </c>
    </row>
    <row r="64" spans="1:2" x14ac:dyDescent="0.35">
      <c r="A64">
        <f>Sheet1!E79</f>
        <v>4</v>
      </c>
      <c r="B64">
        <f>Sheet1!N79</f>
        <v>2</v>
      </c>
    </row>
    <row r="65" spans="1:2" x14ac:dyDescent="0.35">
      <c r="A65">
        <f>Sheet1!E80</f>
        <v>3</v>
      </c>
      <c r="B65">
        <f>Sheet1!N80</f>
        <v>2</v>
      </c>
    </row>
    <row r="66" spans="1:2" x14ac:dyDescent="0.35">
      <c r="A66">
        <f>Sheet1!E81</f>
        <v>4</v>
      </c>
      <c r="B66">
        <f>Sheet1!N81</f>
        <v>3</v>
      </c>
    </row>
    <row r="67" spans="1:2" x14ac:dyDescent="0.35">
      <c r="A67">
        <f>Sheet1!E82</f>
        <v>4</v>
      </c>
      <c r="B67">
        <f>Sheet1!N82</f>
        <v>1</v>
      </c>
    </row>
    <row r="68" spans="1:2" x14ac:dyDescent="0.35">
      <c r="A68">
        <f>Sheet1!E83</f>
        <v>2</v>
      </c>
      <c r="B68">
        <f>Sheet1!N83</f>
        <v>4</v>
      </c>
    </row>
    <row r="69" spans="1:2" x14ac:dyDescent="0.35">
      <c r="A69">
        <f>Sheet1!E84</f>
        <v>1</v>
      </c>
      <c r="B69">
        <f>Sheet1!N84</f>
        <v>5</v>
      </c>
    </row>
    <row r="70" spans="1:2" x14ac:dyDescent="0.35">
      <c r="A70">
        <f>Sheet1!E85</f>
        <v>4</v>
      </c>
      <c r="B70">
        <f>Sheet1!N85</f>
        <v>2</v>
      </c>
    </row>
    <row r="71" spans="1:2" x14ac:dyDescent="0.35">
      <c r="A71">
        <f>Sheet1!E86</f>
        <v>2</v>
      </c>
      <c r="B71">
        <f>Sheet1!N86</f>
        <v>5</v>
      </c>
    </row>
    <row r="72" spans="1:2" x14ac:dyDescent="0.35">
      <c r="A72">
        <f>Sheet1!E87</f>
        <v>5</v>
      </c>
      <c r="B72">
        <f>Sheet1!N87</f>
        <v>1</v>
      </c>
    </row>
    <row r="73" spans="1:2" x14ac:dyDescent="0.35">
      <c r="A73">
        <f>Sheet1!E88</f>
        <v>4</v>
      </c>
      <c r="B73">
        <f>Sheet1!N88</f>
        <v>3</v>
      </c>
    </row>
    <row r="74" spans="1:2" x14ac:dyDescent="0.35">
      <c r="A74">
        <f>Sheet1!E89</f>
        <v>2</v>
      </c>
      <c r="B74">
        <f>Sheet1!N89</f>
        <v>4</v>
      </c>
    </row>
    <row r="75" spans="1:2" x14ac:dyDescent="0.35">
      <c r="A75">
        <f>Sheet1!E90</f>
        <v>3</v>
      </c>
      <c r="B75">
        <f>Sheet1!N90</f>
        <v>4</v>
      </c>
    </row>
    <row r="76" spans="1:2" x14ac:dyDescent="0.35">
      <c r="A76">
        <f>Sheet1!E91</f>
        <v>4</v>
      </c>
      <c r="B76">
        <f>Sheet1!N91</f>
        <v>3</v>
      </c>
    </row>
    <row r="77" spans="1:2" x14ac:dyDescent="0.35">
      <c r="A77">
        <f>Sheet1!E92</f>
        <v>1</v>
      </c>
      <c r="B77">
        <f>Sheet1!N92</f>
        <v>5</v>
      </c>
    </row>
    <row r="78" spans="1:2" x14ac:dyDescent="0.35">
      <c r="A78">
        <f>Sheet1!E93</f>
        <v>4</v>
      </c>
      <c r="B78">
        <f>Sheet1!N93</f>
        <v>3</v>
      </c>
    </row>
    <row r="79" spans="1:2" x14ac:dyDescent="0.35">
      <c r="A79">
        <f>Sheet1!E94</f>
        <v>3</v>
      </c>
      <c r="B79">
        <f>Sheet1!N94</f>
        <v>2</v>
      </c>
    </row>
    <row r="80" spans="1:2" x14ac:dyDescent="0.35">
      <c r="A80">
        <f>Sheet1!E95</f>
        <v>5</v>
      </c>
      <c r="B80">
        <f>Sheet1!N95</f>
        <v>2</v>
      </c>
    </row>
    <row r="81" spans="1:2" x14ac:dyDescent="0.35">
      <c r="A81">
        <f>Sheet1!E96</f>
        <v>4</v>
      </c>
      <c r="B81">
        <f>Sheet1!N96</f>
        <v>2</v>
      </c>
    </row>
    <row r="82" spans="1:2" x14ac:dyDescent="0.35">
      <c r="A82">
        <f>Sheet1!E97</f>
        <v>5</v>
      </c>
      <c r="B82">
        <f>Sheet1!N97</f>
        <v>1</v>
      </c>
    </row>
    <row r="83" spans="1:2" x14ac:dyDescent="0.35">
      <c r="A83">
        <f>Sheet1!E98</f>
        <v>2</v>
      </c>
      <c r="B83">
        <f>Sheet1!N98</f>
        <v>4</v>
      </c>
    </row>
    <row r="84" spans="1:2" x14ac:dyDescent="0.35">
      <c r="A84">
        <f>Sheet1!E99</f>
        <v>1</v>
      </c>
      <c r="B84">
        <f>Sheet1!N99</f>
        <v>5</v>
      </c>
    </row>
    <row r="85" spans="1:2" x14ac:dyDescent="0.35">
      <c r="A85">
        <f>Sheet1!E100</f>
        <v>2</v>
      </c>
      <c r="B85">
        <f>Sheet1!N100</f>
        <v>3</v>
      </c>
    </row>
    <row r="86" spans="1:2" x14ac:dyDescent="0.35">
      <c r="A86">
        <f>Sheet1!E101</f>
        <v>3</v>
      </c>
      <c r="B86">
        <f>Sheet1!N101</f>
        <v>3</v>
      </c>
    </row>
    <row r="87" spans="1:2" x14ac:dyDescent="0.35">
      <c r="A87">
        <f>Sheet1!E102</f>
        <v>2</v>
      </c>
      <c r="B87">
        <f>Sheet1!N102</f>
        <v>3</v>
      </c>
    </row>
    <row r="88" spans="1:2" x14ac:dyDescent="0.35">
      <c r="A88">
        <f>Sheet1!E103</f>
        <v>5</v>
      </c>
      <c r="B88">
        <f>Sheet1!N103</f>
        <v>2</v>
      </c>
    </row>
    <row r="89" spans="1:2" x14ac:dyDescent="0.35">
      <c r="A89">
        <f>Sheet1!E104</f>
        <v>4</v>
      </c>
      <c r="B89">
        <f>Sheet1!N104</f>
        <v>3</v>
      </c>
    </row>
    <row r="90" spans="1:2" x14ac:dyDescent="0.35">
      <c r="A90">
        <f>Sheet1!E105</f>
        <v>3</v>
      </c>
      <c r="B90">
        <f>Sheet1!N105</f>
        <v>4</v>
      </c>
    </row>
    <row r="91" spans="1:2" x14ac:dyDescent="0.35">
      <c r="A91">
        <f>Sheet1!E106</f>
        <v>3</v>
      </c>
      <c r="B91">
        <f>Sheet1!N106</f>
        <v>2</v>
      </c>
    </row>
    <row r="92" spans="1:2" x14ac:dyDescent="0.35">
      <c r="A92">
        <f>Sheet1!E107</f>
        <v>2</v>
      </c>
      <c r="B92">
        <f>Sheet1!N107</f>
        <v>3</v>
      </c>
    </row>
    <row r="93" spans="1:2" x14ac:dyDescent="0.35">
      <c r="A93">
        <f>Sheet1!E108</f>
        <v>3</v>
      </c>
      <c r="B93">
        <f>Sheet1!N108</f>
        <v>2</v>
      </c>
    </row>
    <row r="94" spans="1:2" x14ac:dyDescent="0.35">
      <c r="A94">
        <f>Sheet1!E109</f>
        <v>3</v>
      </c>
      <c r="B94">
        <f>Sheet1!N109</f>
        <v>2</v>
      </c>
    </row>
    <row r="95" spans="1:2" x14ac:dyDescent="0.35">
      <c r="A95">
        <f>Sheet1!E110</f>
        <v>5</v>
      </c>
      <c r="B95">
        <f>Sheet1!N110</f>
        <v>1</v>
      </c>
    </row>
    <row r="96" spans="1:2" x14ac:dyDescent="0.35">
      <c r="A96">
        <f>Sheet1!E111</f>
        <v>5</v>
      </c>
      <c r="B96">
        <f>Sheet1!N111</f>
        <v>1</v>
      </c>
    </row>
    <row r="97" spans="1:2" x14ac:dyDescent="0.35">
      <c r="A97">
        <f>Sheet1!E112</f>
        <v>3</v>
      </c>
      <c r="B97">
        <f>Sheet1!N112</f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A9E2-C5CD-4E9C-8D18-B622EDF8BDC9}">
  <dimension ref="A1:N122"/>
  <sheetViews>
    <sheetView topLeftCell="C11" workbookViewId="0">
      <selection activeCell="F1" sqref="F1:N20"/>
    </sheetView>
  </sheetViews>
  <sheetFormatPr defaultRowHeight="14.5" x14ac:dyDescent="0.35"/>
  <cols>
    <col min="6" max="6" width="17.26953125" bestFit="1" customWidth="1"/>
    <col min="7" max="7" width="19.1796875" bestFit="1" customWidth="1"/>
    <col min="8" max="8" width="13.54296875" bestFit="1" customWidth="1"/>
    <col min="9" max="9" width="12.453125" bestFit="1" customWidth="1"/>
    <col min="10" max="10" width="19.08984375" bestFit="1" customWidth="1"/>
    <col min="11" max="14" width="12.453125" bestFit="1" customWidth="1"/>
  </cols>
  <sheetData>
    <row r="1" spans="1:14" x14ac:dyDescent="0.35">
      <c r="A1" t="s">
        <v>72</v>
      </c>
      <c r="B1" t="s">
        <v>73</v>
      </c>
      <c r="C1" t="s">
        <v>74</v>
      </c>
      <c r="D1" t="s">
        <v>75</v>
      </c>
      <c r="F1" t="s">
        <v>76</v>
      </c>
    </row>
    <row r="2" spans="1:14" ht="15" thickBot="1" x14ac:dyDescent="0.4">
      <c r="A2">
        <f>Sheet1!$N17</f>
        <v>2</v>
      </c>
      <c r="B2">
        <f>Sheet1!$E17</f>
        <v>4</v>
      </c>
      <c r="C2">
        <f>Sheet1!$F17</f>
        <v>4</v>
      </c>
      <c r="D2">
        <f>Sheet1!$G17</f>
        <v>4</v>
      </c>
    </row>
    <row r="3" spans="1:14" x14ac:dyDescent="0.35">
      <c r="A3">
        <f>Sheet1!$N18</f>
        <v>3</v>
      </c>
      <c r="B3">
        <f>Sheet1!$E18</f>
        <v>3</v>
      </c>
      <c r="C3">
        <f>Sheet1!$F18</f>
        <v>3</v>
      </c>
      <c r="D3">
        <f>Sheet1!$G18</f>
        <v>3</v>
      </c>
      <c r="F3" s="17" t="s">
        <v>77</v>
      </c>
      <c r="G3" s="17"/>
    </row>
    <row r="4" spans="1:14" x14ac:dyDescent="0.35">
      <c r="A4">
        <f>Sheet1!$N19</f>
        <v>1</v>
      </c>
      <c r="B4">
        <f>Sheet1!$E19</f>
        <v>5</v>
      </c>
      <c r="C4">
        <f>Sheet1!$F19</f>
        <v>5</v>
      </c>
      <c r="D4">
        <f>Sheet1!$G19</f>
        <v>5</v>
      </c>
      <c r="F4" t="s">
        <v>78</v>
      </c>
      <c r="G4">
        <v>0.84974988949919628</v>
      </c>
    </row>
    <row r="5" spans="1:14" x14ac:dyDescent="0.35">
      <c r="A5">
        <f>Sheet1!$N20</f>
        <v>4</v>
      </c>
      <c r="B5">
        <f>Sheet1!$E20</f>
        <v>3</v>
      </c>
      <c r="C5">
        <f>Sheet1!$F20</f>
        <v>3</v>
      </c>
      <c r="D5">
        <f>Sheet1!$G20</f>
        <v>2</v>
      </c>
      <c r="F5" t="s">
        <v>79</v>
      </c>
      <c r="G5">
        <v>0.72207487470389631</v>
      </c>
    </row>
    <row r="6" spans="1:14" x14ac:dyDescent="0.35">
      <c r="A6">
        <f>Sheet1!$N21</f>
        <v>2</v>
      </c>
      <c r="B6">
        <f>Sheet1!$E21</f>
        <v>4</v>
      </c>
      <c r="C6">
        <f>Sheet1!$F21</f>
        <v>4</v>
      </c>
      <c r="D6">
        <f>Sheet1!$G21</f>
        <v>4</v>
      </c>
      <c r="F6" t="s">
        <v>80</v>
      </c>
      <c r="G6">
        <v>0.71301209887902328</v>
      </c>
    </row>
    <row r="7" spans="1:14" x14ac:dyDescent="0.35">
      <c r="A7">
        <f>Sheet1!$N22</f>
        <v>4</v>
      </c>
      <c r="B7">
        <f>Sheet1!$E22</f>
        <v>2</v>
      </c>
      <c r="C7">
        <f>Sheet1!$F22</f>
        <v>2</v>
      </c>
      <c r="D7">
        <f>Sheet1!$G22</f>
        <v>2</v>
      </c>
      <c r="F7" t="s">
        <v>81</v>
      </c>
      <c r="G7">
        <v>0.69223859451792857</v>
      </c>
    </row>
    <row r="8" spans="1:14" ht="15" thickBot="1" x14ac:dyDescent="0.4">
      <c r="A8">
        <f>Sheet1!$N23</f>
        <v>1</v>
      </c>
      <c r="B8">
        <f>Sheet1!$E23</f>
        <v>5</v>
      </c>
      <c r="C8">
        <f>Sheet1!$F23</f>
        <v>5</v>
      </c>
      <c r="D8">
        <f>Sheet1!$G23</f>
        <v>5</v>
      </c>
      <c r="F8" s="15" t="s">
        <v>82</v>
      </c>
      <c r="G8" s="15">
        <v>96</v>
      </c>
    </row>
    <row r="9" spans="1:14" x14ac:dyDescent="0.35">
      <c r="A9">
        <f>Sheet1!$N24</f>
        <v>3</v>
      </c>
      <c r="B9">
        <f>Sheet1!$E24</f>
        <v>3</v>
      </c>
      <c r="C9">
        <f>Sheet1!$F24</f>
        <v>3</v>
      </c>
      <c r="D9">
        <f>Sheet1!$G24</f>
        <v>3</v>
      </c>
    </row>
    <row r="10" spans="1:14" ht="15" thickBot="1" x14ac:dyDescent="0.4">
      <c r="A10">
        <f>Sheet1!$N25</f>
        <v>2</v>
      </c>
      <c r="B10">
        <f>Sheet1!$E25</f>
        <v>4</v>
      </c>
      <c r="C10">
        <f>Sheet1!$F25</f>
        <v>4</v>
      </c>
      <c r="D10">
        <f>Sheet1!$G25</f>
        <v>4</v>
      </c>
      <c r="F10" t="s">
        <v>83</v>
      </c>
    </row>
    <row r="11" spans="1:14" x14ac:dyDescent="0.35">
      <c r="A11">
        <f>Sheet1!$N26</f>
        <v>4</v>
      </c>
      <c r="B11">
        <f>Sheet1!$E26</f>
        <v>2</v>
      </c>
      <c r="C11">
        <f>Sheet1!$F26</f>
        <v>2</v>
      </c>
      <c r="D11">
        <f>Sheet1!$G26</f>
        <v>2</v>
      </c>
      <c r="F11" s="16"/>
      <c r="G11" s="16" t="s">
        <v>88</v>
      </c>
      <c r="H11" s="16" t="s">
        <v>89</v>
      </c>
      <c r="I11" s="16" t="s">
        <v>90</v>
      </c>
      <c r="J11" s="16" t="s">
        <v>91</v>
      </c>
      <c r="K11" s="16" t="s">
        <v>92</v>
      </c>
    </row>
    <row r="12" spans="1:14" x14ac:dyDescent="0.35">
      <c r="A12">
        <f>Sheet1!$N27</f>
        <v>4</v>
      </c>
      <c r="B12">
        <f>Sheet1!$E27</f>
        <v>2</v>
      </c>
      <c r="C12">
        <f>Sheet1!$F27</f>
        <v>1</v>
      </c>
      <c r="D12">
        <f>Sheet1!$G27</f>
        <v>1</v>
      </c>
      <c r="F12" t="s">
        <v>84</v>
      </c>
      <c r="G12">
        <v>3</v>
      </c>
      <c r="H12">
        <v>114.53912699990555</v>
      </c>
      <c r="I12">
        <v>38.179708999968518</v>
      </c>
      <c r="J12">
        <v>79.674802583348594</v>
      </c>
      <c r="K12">
        <v>1.7341513259303816E-25</v>
      </c>
    </row>
    <row r="13" spans="1:14" x14ac:dyDescent="0.35">
      <c r="A13">
        <f>Sheet1!$N28</f>
        <v>4</v>
      </c>
      <c r="B13">
        <f>Sheet1!$E28</f>
        <v>3</v>
      </c>
      <c r="C13">
        <f>Sheet1!$F28</f>
        <v>3</v>
      </c>
      <c r="D13">
        <f>Sheet1!$G28</f>
        <v>4</v>
      </c>
      <c r="F13" t="s">
        <v>85</v>
      </c>
      <c r="G13">
        <v>92</v>
      </c>
      <c r="H13">
        <v>44.085873000094452</v>
      </c>
      <c r="I13">
        <v>0.47919427174015711</v>
      </c>
    </row>
    <row r="14" spans="1:14" ht="15" thickBot="1" x14ac:dyDescent="0.4">
      <c r="A14">
        <f>Sheet1!$N29</f>
        <v>3</v>
      </c>
      <c r="B14">
        <f>Sheet1!$E29</f>
        <v>2</v>
      </c>
      <c r="C14">
        <f>Sheet1!$F29</f>
        <v>3</v>
      </c>
      <c r="D14">
        <f>Sheet1!$G29</f>
        <v>2</v>
      </c>
      <c r="F14" s="15" t="s">
        <v>86</v>
      </c>
      <c r="G14" s="15">
        <v>95</v>
      </c>
      <c r="H14" s="15">
        <v>158.625</v>
      </c>
      <c r="I14" s="15"/>
      <c r="J14" s="15"/>
      <c r="K14" s="15"/>
    </row>
    <row r="15" spans="1:14" ht="15" thickBot="1" x14ac:dyDescent="0.4">
      <c r="A15">
        <f>Sheet1!$N30</f>
        <v>5</v>
      </c>
      <c r="B15">
        <f>Sheet1!$E30</f>
        <v>2</v>
      </c>
      <c r="C15">
        <f>Sheet1!$F30</f>
        <v>1</v>
      </c>
      <c r="D15">
        <f>Sheet1!$G30</f>
        <v>2</v>
      </c>
    </row>
    <row r="16" spans="1:14" x14ac:dyDescent="0.35">
      <c r="A16">
        <f>Sheet1!$N31</f>
        <v>3</v>
      </c>
      <c r="B16">
        <f>Sheet1!$E31</f>
        <v>2</v>
      </c>
      <c r="C16">
        <f>Sheet1!$F31</f>
        <v>3</v>
      </c>
      <c r="D16">
        <f>Sheet1!$G31</f>
        <v>1</v>
      </c>
      <c r="F16" s="16"/>
      <c r="G16" s="16" t="s">
        <v>93</v>
      </c>
      <c r="H16" s="16" t="s">
        <v>81</v>
      </c>
      <c r="I16" s="16" t="s">
        <v>94</v>
      </c>
      <c r="J16" s="16" t="s">
        <v>95</v>
      </c>
      <c r="K16" s="16" t="s">
        <v>96</v>
      </c>
      <c r="L16" s="16" t="s">
        <v>97</v>
      </c>
      <c r="M16" s="16" t="s">
        <v>98</v>
      </c>
      <c r="N16" s="16" t="s">
        <v>99</v>
      </c>
    </row>
    <row r="17" spans="1:14" x14ac:dyDescent="0.35">
      <c r="A17">
        <f>Sheet1!$N32</f>
        <v>4</v>
      </c>
      <c r="B17">
        <f>Sheet1!$E32</f>
        <v>2</v>
      </c>
      <c r="C17">
        <f>Sheet1!$F32</f>
        <v>2</v>
      </c>
      <c r="D17">
        <f>Sheet1!$G32</f>
        <v>2</v>
      </c>
      <c r="F17" t="s">
        <v>87</v>
      </c>
      <c r="G17">
        <v>5.9012105340370402</v>
      </c>
      <c r="H17">
        <v>0.21396740977491421</v>
      </c>
      <c r="I17">
        <v>27.579950330963463</v>
      </c>
      <c r="J17">
        <v>2.8960061432028233E-46</v>
      </c>
      <c r="K17">
        <v>5.4762527892096076</v>
      </c>
      <c r="L17">
        <v>6.3261682788644729</v>
      </c>
      <c r="M17">
        <v>5.4762527892096076</v>
      </c>
      <c r="N17">
        <v>6.3261682788644729</v>
      </c>
    </row>
    <row r="18" spans="1:14" x14ac:dyDescent="0.35">
      <c r="A18">
        <f>Sheet1!$N33</f>
        <v>2</v>
      </c>
      <c r="B18">
        <f>Sheet1!$E33</f>
        <v>5</v>
      </c>
      <c r="C18">
        <f>Sheet1!$F33</f>
        <v>5</v>
      </c>
      <c r="D18">
        <f>Sheet1!$G33</f>
        <v>4</v>
      </c>
      <c r="F18" t="s">
        <v>73</v>
      </c>
      <c r="G18">
        <v>-0.62622859877891024</v>
      </c>
      <c r="H18">
        <v>0.14131596709203562</v>
      </c>
      <c r="I18">
        <v>-4.4314072334873735</v>
      </c>
      <c r="J18">
        <v>2.5807265520253244E-5</v>
      </c>
      <c r="K18">
        <v>-0.90689430738711829</v>
      </c>
      <c r="L18">
        <v>-0.34556289017070219</v>
      </c>
      <c r="M18">
        <v>-0.90689430738711829</v>
      </c>
      <c r="N18">
        <v>-0.34556289017070219</v>
      </c>
    </row>
    <row r="19" spans="1:14" x14ac:dyDescent="0.35">
      <c r="A19">
        <f>Sheet1!$N34</f>
        <v>4</v>
      </c>
      <c r="B19">
        <f>Sheet1!$E34</f>
        <v>3</v>
      </c>
      <c r="C19">
        <f>Sheet1!$F34</f>
        <v>2</v>
      </c>
      <c r="D19">
        <f>Sheet1!$G34</f>
        <v>4</v>
      </c>
      <c r="F19" t="s">
        <v>74</v>
      </c>
      <c r="G19">
        <v>-0.29503794185534482</v>
      </c>
      <c r="H19">
        <v>0.10177541061741596</v>
      </c>
      <c r="I19">
        <v>-2.8989118301317616</v>
      </c>
      <c r="J19">
        <v>4.6816439306326249E-3</v>
      </c>
      <c r="K19">
        <v>-0.49717269228467742</v>
      </c>
      <c r="L19">
        <v>-9.2903191426012249E-2</v>
      </c>
      <c r="M19">
        <v>-0.49717269228467742</v>
      </c>
      <c r="N19">
        <v>-9.2903191426012249E-2</v>
      </c>
    </row>
    <row r="20" spans="1:14" ht="15" thickBot="1" x14ac:dyDescent="0.4">
      <c r="A20">
        <f>Sheet1!$N35</f>
        <v>2</v>
      </c>
      <c r="B20">
        <f>Sheet1!$E35</f>
        <v>3</v>
      </c>
      <c r="C20">
        <f>Sheet1!$F35</f>
        <v>3</v>
      </c>
      <c r="D20">
        <f>Sheet1!$G35</f>
        <v>3</v>
      </c>
      <c r="F20" s="15" t="s">
        <v>75</v>
      </c>
      <c r="G20" s="15">
        <v>-2.8599190982640521E-2</v>
      </c>
      <c r="H20" s="15">
        <v>9.3188640268665912E-2</v>
      </c>
      <c r="I20" s="15">
        <v>-0.30689567848815169</v>
      </c>
      <c r="J20" s="15">
        <v>0.7596163308289936</v>
      </c>
      <c r="K20" s="15">
        <v>-0.21367987431551894</v>
      </c>
      <c r="L20" s="15">
        <v>0.15648149235023789</v>
      </c>
      <c r="M20" s="15">
        <v>-0.21367987431551894</v>
      </c>
      <c r="N20" s="15">
        <v>0.15648149235023789</v>
      </c>
    </row>
    <row r="21" spans="1:14" x14ac:dyDescent="0.35">
      <c r="A21">
        <f>Sheet1!$N36</f>
        <v>1</v>
      </c>
      <c r="B21">
        <f>Sheet1!$E36</f>
        <v>5</v>
      </c>
      <c r="C21">
        <f>Sheet1!$F36</f>
        <v>4</v>
      </c>
      <c r="D21">
        <f>Sheet1!$G36</f>
        <v>4</v>
      </c>
    </row>
    <row r="22" spans="1:14" x14ac:dyDescent="0.35">
      <c r="A22">
        <f>Sheet1!$N37</f>
        <v>3</v>
      </c>
      <c r="B22">
        <f>Sheet1!$E37</f>
        <v>2</v>
      </c>
      <c r="C22">
        <f>Sheet1!$F37</f>
        <v>2</v>
      </c>
      <c r="D22">
        <f>Sheet1!$G37</f>
        <v>1</v>
      </c>
    </row>
    <row r="23" spans="1:14" x14ac:dyDescent="0.35">
      <c r="A23">
        <f>Sheet1!$N38</f>
        <v>1</v>
      </c>
      <c r="B23">
        <f>Sheet1!$E38</f>
        <v>4</v>
      </c>
      <c r="C23">
        <f>Sheet1!$F38</f>
        <v>5</v>
      </c>
      <c r="D23">
        <f>Sheet1!$G38</f>
        <v>3</v>
      </c>
    </row>
    <row r="24" spans="1:14" x14ac:dyDescent="0.35">
      <c r="A24">
        <f>Sheet1!$N39</f>
        <v>4</v>
      </c>
      <c r="B24">
        <f>Sheet1!$E39</f>
        <v>3</v>
      </c>
      <c r="C24">
        <f>Sheet1!$F39</f>
        <v>2</v>
      </c>
      <c r="D24">
        <f>Sheet1!$G39</f>
        <v>2</v>
      </c>
      <c r="F24" t="s">
        <v>100</v>
      </c>
      <c r="J24" t="s">
        <v>104</v>
      </c>
    </row>
    <row r="25" spans="1:14" ht="15" thickBot="1" x14ac:dyDescent="0.4">
      <c r="A25">
        <f>Sheet1!$N40</f>
        <v>4</v>
      </c>
      <c r="B25">
        <f>Sheet1!$E40</f>
        <v>2</v>
      </c>
      <c r="C25">
        <f>Sheet1!$F40</f>
        <v>2</v>
      </c>
      <c r="D25">
        <f>Sheet1!$G40</f>
        <v>1</v>
      </c>
    </row>
    <row r="26" spans="1:14" x14ac:dyDescent="0.35">
      <c r="A26">
        <f>Sheet1!$N41</f>
        <v>5</v>
      </c>
      <c r="B26">
        <f>Sheet1!$E41</f>
        <v>1</v>
      </c>
      <c r="C26">
        <f>Sheet1!$F41</f>
        <v>2</v>
      </c>
      <c r="D26">
        <f>Sheet1!$G41</f>
        <v>2</v>
      </c>
      <c r="F26" s="16" t="s">
        <v>101</v>
      </c>
      <c r="G26" s="16" t="s">
        <v>102</v>
      </c>
      <c r="H26" s="16" t="s">
        <v>103</v>
      </c>
      <c r="J26" s="16" t="s">
        <v>105</v>
      </c>
      <c r="K26" s="16" t="s">
        <v>72</v>
      </c>
    </row>
    <row r="27" spans="1:14" x14ac:dyDescent="0.35">
      <c r="A27">
        <f>Sheet1!$N42</f>
        <v>1</v>
      </c>
      <c r="B27">
        <f>Sheet1!$E42</f>
        <v>5</v>
      </c>
      <c r="C27">
        <f>Sheet1!$F42</f>
        <v>4</v>
      </c>
      <c r="D27">
        <f>Sheet1!$G42</f>
        <v>4</v>
      </c>
      <c r="F27">
        <v>1</v>
      </c>
      <c r="G27">
        <v>2.1017476075694579</v>
      </c>
      <c r="H27">
        <v>-0.10174760756945789</v>
      </c>
      <c r="J27">
        <v>0.52083333333333337</v>
      </c>
      <c r="K27">
        <v>1</v>
      </c>
    </row>
    <row r="28" spans="1:14" x14ac:dyDescent="0.35">
      <c r="A28">
        <f>Sheet1!$N43</f>
        <v>3</v>
      </c>
      <c r="B28">
        <f>Sheet1!$E43</f>
        <v>4</v>
      </c>
      <c r="C28">
        <f>Sheet1!$F43</f>
        <v>3</v>
      </c>
      <c r="D28">
        <f>Sheet1!$G43</f>
        <v>5</v>
      </c>
      <c r="F28">
        <v>2</v>
      </c>
      <c r="G28">
        <v>3.0516133391863534</v>
      </c>
      <c r="H28">
        <v>-5.1613339186353357E-2</v>
      </c>
      <c r="J28">
        <v>1.5625</v>
      </c>
      <c r="K28">
        <v>1</v>
      </c>
    </row>
    <row r="29" spans="1:14" x14ac:dyDescent="0.35">
      <c r="A29">
        <f>Sheet1!$N44</f>
        <v>1</v>
      </c>
      <c r="B29">
        <f>Sheet1!$E44</f>
        <v>4</v>
      </c>
      <c r="C29">
        <f>Sheet1!$F44</f>
        <v>3</v>
      </c>
      <c r="D29">
        <f>Sheet1!$G44</f>
        <v>5</v>
      </c>
      <c r="F29">
        <v>3</v>
      </c>
      <c r="G29">
        <v>1.1518818759525624</v>
      </c>
      <c r="H29">
        <v>-0.15188187595256242</v>
      </c>
      <c r="J29">
        <v>2.604166666666667</v>
      </c>
      <c r="K29">
        <v>1</v>
      </c>
    </row>
    <row r="30" spans="1:14" x14ac:dyDescent="0.35">
      <c r="A30">
        <f>Sheet1!$N45</f>
        <v>2</v>
      </c>
      <c r="B30">
        <f>Sheet1!$E45</f>
        <v>4</v>
      </c>
      <c r="C30">
        <f>Sheet1!$F45</f>
        <v>4</v>
      </c>
      <c r="D30">
        <f>Sheet1!$G45</f>
        <v>3</v>
      </c>
      <c r="F30">
        <v>4</v>
      </c>
      <c r="G30">
        <v>3.0802125301689935</v>
      </c>
      <c r="H30">
        <v>0.91978746983100645</v>
      </c>
      <c r="J30">
        <v>3.6458333333333335</v>
      </c>
      <c r="K30">
        <v>1</v>
      </c>
    </row>
    <row r="31" spans="1:14" x14ac:dyDescent="0.35">
      <c r="A31">
        <f>Sheet1!$N46</f>
        <v>4</v>
      </c>
      <c r="B31">
        <f>Sheet1!$E46</f>
        <v>2</v>
      </c>
      <c r="C31">
        <f>Sheet1!$F46</f>
        <v>2</v>
      </c>
      <c r="D31">
        <f>Sheet1!$G46</f>
        <v>2</v>
      </c>
      <c r="F31">
        <v>5</v>
      </c>
      <c r="G31">
        <v>2.1017476075694579</v>
      </c>
      <c r="H31">
        <v>-0.10174760756945789</v>
      </c>
      <c r="J31">
        <v>4.6875</v>
      </c>
      <c r="K31">
        <v>1</v>
      </c>
    </row>
    <row r="32" spans="1:14" x14ac:dyDescent="0.35">
      <c r="A32">
        <f>Sheet1!$N47</f>
        <v>2</v>
      </c>
      <c r="B32">
        <f>Sheet1!$E47</f>
        <v>4</v>
      </c>
      <c r="C32">
        <f>Sheet1!$F47</f>
        <v>5</v>
      </c>
      <c r="D32">
        <f>Sheet1!$G47</f>
        <v>5</v>
      </c>
      <c r="F32">
        <v>6</v>
      </c>
      <c r="G32">
        <v>4.0014790708032484</v>
      </c>
      <c r="H32">
        <v>-1.4790708032483835E-3</v>
      </c>
      <c r="J32">
        <v>5.729166666666667</v>
      </c>
      <c r="K32">
        <v>1</v>
      </c>
    </row>
    <row r="33" spans="1:11" x14ac:dyDescent="0.35">
      <c r="A33">
        <f>Sheet1!$N48</f>
        <v>3</v>
      </c>
      <c r="B33">
        <f>Sheet1!$E48</f>
        <v>4</v>
      </c>
      <c r="C33">
        <f>Sheet1!$F48</f>
        <v>3</v>
      </c>
      <c r="D33">
        <f>Sheet1!$G48</f>
        <v>4</v>
      </c>
      <c r="F33">
        <v>7</v>
      </c>
      <c r="G33">
        <v>1.1518818759525624</v>
      </c>
      <c r="H33">
        <v>-0.15188187595256242</v>
      </c>
      <c r="J33">
        <v>6.770833333333333</v>
      </c>
      <c r="K33">
        <v>1</v>
      </c>
    </row>
    <row r="34" spans="1:11" x14ac:dyDescent="0.35">
      <c r="A34">
        <f>Sheet1!$N49</f>
        <v>5</v>
      </c>
      <c r="B34">
        <f>Sheet1!$E49</f>
        <v>1</v>
      </c>
      <c r="C34">
        <f>Sheet1!$F49</f>
        <v>2</v>
      </c>
      <c r="D34">
        <f>Sheet1!$G49</f>
        <v>1</v>
      </c>
      <c r="F34">
        <v>8</v>
      </c>
      <c r="G34">
        <v>3.0516133391863534</v>
      </c>
      <c r="H34">
        <v>-5.1613339186353357E-2</v>
      </c>
      <c r="J34">
        <v>7.8125</v>
      </c>
      <c r="K34">
        <v>1</v>
      </c>
    </row>
    <row r="35" spans="1:11" x14ac:dyDescent="0.35">
      <c r="A35">
        <f>Sheet1!$N50</f>
        <v>2</v>
      </c>
      <c r="B35">
        <f>Sheet1!$E50</f>
        <v>3</v>
      </c>
      <c r="C35">
        <f>Sheet1!$F50</f>
        <v>4</v>
      </c>
      <c r="D35">
        <f>Sheet1!$G50</f>
        <v>4</v>
      </c>
      <c r="F35">
        <v>9</v>
      </c>
      <c r="G35">
        <v>2.1017476075694579</v>
      </c>
      <c r="H35">
        <v>-0.10174760756945789</v>
      </c>
      <c r="J35">
        <v>8.8541666666666679</v>
      </c>
      <c r="K35">
        <v>1</v>
      </c>
    </row>
    <row r="36" spans="1:11" x14ac:dyDescent="0.35">
      <c r="A36">
        <f>Sheet1!$N51</f>
        <v>5</v>
      </c>
      <c r="B36">
        <f>Sheet1!$E51</f>
        <v>2</v>
      </c>
      <c r="C36">
        <f>Sheet1!$F51</f>
        <v>1</v>
      </c>
      <c r="D36">
        <f>Sheet1!$G51</f>
        <v>2</v>
      </c>
      <c r="F36">
        <v>10</v>
      </c>
      <c r="G36">
        <v>4.0014790708032484</v>
      </c>
      <c r="H36">
        <v>-1.4790708032483835E-3</v>
      </c>
      <c r="J36">
        <v>9.8958333333333339</v>
      </c>
      <c r="K36">
        <v>1</v>
      </c>
    </row>
    <row r="37" spans="1:11" x14ac:dyDescent="0.35">
      <c r="A37">
        <f>Sheet1!$N52</f>
        <v>1</v>
      </c>
      <c r="B37">
        <f>Sheet1!$E52</f>
        <v>4</v>
      </c>
      <c r="C37">
        <f>Sheet1!$F52</f>
        <v>5</v>
      </c>
      <c r="D37">
        <f>Sheet1!$G52</f>
        <v>3</v>
      </c>
      <c r="F37">
        <v>11</v>
      </c>
      <c r="G37">
        <v>4.3251162036412349</v>
      </c>
      <c r="H37">
        <v>-0.32511620364123495</v>
      </c>
      <c r="J37">
        <v>10.937500000000002</v>
      </c>
      <c r="K37">
        <v>1</v>
      </c>
    </row>
    <row r="38" spans="1:11" x14ac:dyDescent="0.35">
      <c r="A38">
        <f>Sheet1!$N53</f>
        <v>2</v>
      </c>
      <c r="B38">
        <f>Sheet1!$E53</f>
        <v>4</v>
      </c>
      <c r="C38">
        <f>Sheet1!$F53</f>
        <v>3</v>
      </c>
      <c r="D38">
        <f>Sheet1!$G53</f>
        <v>5</v>
      </c>
      <c r="F38">
        <v>12</v>
      </c>
      <c r="G38">
        <v>3.0230141482037127</v>
      </c>
      <c r="H38">
        <v>0.97698585179628727</v>
      </c>
      <c r="J38">
        <v>11.979166666666668</v>
      </c>
      <c r="K38">
        <v>1</v>
      </c>
    </row>
    <row r="39" spans="1:11" x14ac:dyDescent="0.35">
      <c r="A39">
        <f>Sheet1!$N54</f>
        <v>3</v>
      </c>
      <c r="B39">
        <f>Sheet1!$E54</f>
        <v>3</v>
      </c>
      <c r="C39">
        <f>Sheet1!$F54</f>
        <v>2</v>
      </c>
      <c r="D39">
        <f>Sheet1!$G54</f>
        <v>2</v>
      </c>
      <c r="F39">
        <v>13</v>
      </c>
      <c r="G39">
        <v>3.7064411289479038</v>
      </c>
      <c r="H39">
        <v>-0.70644112894790378</v>
      </c>
      <c r="J39">
        <v>13.020833333333334</v>
      </c>
      <c r="K39">
        <v>1</v>
      </c>
    </row>
    <row r="40" spans="1:11" x14ac:dyDescent="0.35">
      <c r="A40">
        <f>Sheet1!$N55</f>
        <v>1</v>
      </c>
      <c r="B40">
        <f>Sheet1!$E55</f>
        <v>4</v>
      </c>
      <c r="C40">
        <f>Sheet1!$F55</f>
        <v>3</v>
      </c>
      <c r="D40">
        <f>Sheet1!$G55</f>
        <v>4</v>
      </c>
      <c r="F40">
        <v>14</v>
      </c>
      <c r="G40">
        <v>4.2965170126585939</v>
      </c>
      <c r="H40">
        <v>0.70348298734140613</v>
      </c>
      <c r="J40">
        <v>14.062500000000002</v>
      </c>
      <c r="K40">
        <v>1</v>
      </c>
    </row>
    <row r="41" spans="1:11" x14ac:dyDescent="0.35">
      <c r="A41">
        <f>Sheet1!$N56</f>
        <v>4</v>
      </c>
      <c r="B41">
        <f>Sheet1!$E56</f>
        <v>3</v>
      </c>
      <c r="C41">
        <f>Sheet1!$F56</f>
        <v>2</v>
      </c>
      <c r="D41">
        <f>Sheet1!$G56</f>
        <v>4</v>
      </c>
      <c r="F41">
        <v>15</v>
      </c>
      <c r="G41">
        <v>3.7350403199305444</v>
      </c>
      <c r="H41">
        <v>-0.73504031993054442</v>
      </c>
      <c r="J41">
        <v>15.104166666666668</v>
      </c>
      <c r="K41">
        <v>1</v>
      </c>
    </row>
    <row r="42" spans="1:11" x14ac:dyDescent="0.35">
      <c r="A42">
        <f>Sheet1!$N57</f>
        <v>4</v>
      </c>
      <c r="B42">
        <f>Sheet1!$E57</f>
        <v>3</v>
      </c>
      <c r="C42">
        <f>Sheet1!$F57</f>
        <v>2</v>
      </c>
      <c r="D42">
        <f>Sheet1!$G57</f>
        <v>2</v>
      </c>
      <c r="F42">
        <v>16</v>
      </c>
      <c r="G42">
        <v>4.0014790708032484</v>
      </c>
      <c r="H42">
        <v>-1.4790708032483835E-3</v>
      </c>
      <c r="J42">
        <v>16.145833333333336</v>
      </c>
      <c r="K42">
        <v>1</v>
      </c>
    </row>
    <row r="43" spans="1:11" x14ac:dyDescent="0.35">
      <c r="A43">
        <f>Sheet1!$N58</f>
        <v>4</v>
      </c>
      <c r="B43">
        <f>Sheet1!$E58</f>
        <v>3</v>
      </c>
      <c r="C43">
        <f>Sheet1!$F58</f>
        <v>2</v>
      </c>
      <c r="D43">
        <f>Sheet1!$G58</f>
        <v>4</v>
      </c>
      <c r="F43">
        <v>17</v>
      </c>
      <c r="G43">
        <v>1.1804810669352028</v>
      </c>
      <c r="H43">
        <v>0.81951893306479717</v>
      </c>
      <c r="J43">
        <v>17.1875</v>
      </c>
      <c r="K43">
        <v>1</v>
      </c>
    </row>
    <row r="44" spans="1:11" x14ac:dyDescent="0.35">
      <c r="A44">
        <f>Sheet1!$N59</f>
        <v>2</v>
      </c>
      <c r="B44">
        <f>Sheet1!$E59</f>
        <v>5</v>
      </c>
      <c r="C44">
        <f>Sheet1!$F59</f>
        <v>5</v>
      </c>
      <c r="D44">
        <f>Sheet1!$G59</f>
        <v>5</v>
      </c>
      <c r="F44">
        <v>18</v>
      </c>
      <c r="G44">
        <v>3.3180520900590578</v>
      </c>
      <c r="H44">
        <v>0.68194790994094223</v>
      </c>
      <c r="J44">
        <v>18.229166666666668</v>
      </c>
      <c r="K44">
        <v>1</v>
      </c>
    </row>
    <row r="45" spans="1:11" x14ac:dyDescent="0.35">
      <c r="A45">
        <f>Sheet1!$N60</f>
        <v>1</v>
      </c>
      <c r="B45">
        <f>Sheet1!$E60</f>
        <v>4</v>
      </c>
      <c r="C45">
        <f>Sheet1!$F60</f>
        <v>4</v>
      </c>
      <c r="D45">
        <f>Sheet1!$G60</f>
        <v>5</v>
      </c>
      <c r="F45">
        <v>19</v>
      </c>
      <c r="G45">
        <v>3.0516133391863534</v>
      </c>
      <c r="H45">
        <v>-1.0516133391863534</v>
      </c>
      <c r="J45">
        <v>19.270833333333332</v>
      </c>
      <c r="K45">
        <v>2</v>
      </c>
    </row>
    <row r="46" spans="1:11" x14ac:dyDescent="0.35">
      <c r="A46">
        <f>Sheet1!$N61</f>
        <v>5</v>
      </c>
      <c r="B46">
        <f>Sheet1!$E61</f>
        <v>2</v>
      </c>
      <c r="C46">
        <f>Sheet1!$F61</f>
        <v>1</v>
      </c>
      <c r="D46">
        <f>Sheet1!$G61</f>
        <v>3</v>
      </c>
      <c r="F46">
        <v>20</v>
      </c>
      <c r="G46">
        <v>1.4755190087905476</v>
      </c>
      <c r="H46">
        <v>-0.47551900879054765</v>
      </c>
      <c r="J46">
        <v>20.3125</v>
      </c>
      <c r="K46">
        <v>2</v>
      </c>
    </row>
    <row r="47" spans="1:11" x14ac:dyDescent="0.35">
      <c r="A47">
        <f>Sheet1!$N62</f>
        <v>2</v>
      </c>
      <c r="B47">
        <f>Sheet1!$E62</f>
        <v>5</v>
      </c>
      <c r="C47">
        <f>Sheet1!$F62</f>
        <v>5</v>
      </c>
      <c r="D47">
        <f>Sheet1!$G62</f>
        <v>5</v>
      </c>
      <c r="F47">
        <v>21</v>
      </c>
      <c r="G47">
        <v>4.0300782617858895</v>
      </c>
      <c r="H47">
        <v>-1.0300782617858895</v>
      </c>
      <c r="J47">
        <v>21.354166666666668</v>
      </c>
      <c r="K47">
        <v>2</v>
      </c>
    </row>
    <row r="48" spans="1:11" x14ac:dyDescent="0.35">
      <c r="A48">
        <f>Sheet1!$N63</f>
        <v>3</v>
      </c>
      <c r="B48">
        <f>Sheet1!$E63</f>
        <v>4</v>
      </c>
      <c r="C48">
        <f>Sheet1!$F63</f>
        <v>3</v>
      </c>
      <c r="D48">
        <f>Sheet1!$G63</f>
        <v>5</v>
      </c>
      <c r="F48">
        <v>22</v>
      </c>
      <c r="G48">
        <v>1.8353088566967535</v>
      </c>
      <c r="H48">
        <v>-0.83530885669675348</v>
      </c>
      <c r="J48">
        <v>22.395833333333332</v>
      </c>
      <c r="K48">
        <v>2</v>
      </c>
    </row>
    <row r="49" spans="1:11" x14ac:dyDescent="0.35">
      <c r="A49">
        <f>Sheet1!$N64</f>
        <v>1</v>
      </c>
      <c r="B49">
        <f>Sheet1!$E64</f>
        <v>5</v>
      </c>
      <c r="C49">
        <f>Sheet1!$F64</f>
        <v>4</v>
      </c>
      <c r="D49">
        <f>Sheet1!$G64</f>
        <v>5</v>
      </c>
      <c r="F49">
        <v>23</v>
      </c>
      <c r="G49">
        <v>3.375250472024339</v>
      </c>
      <c r="H49">
        <v>0.62474952797566097</v>
      </c>
      <c r="J49">
        <v>23.4375</v>
      </c>
      <c r="K49">
        <v>2</v>
      </c>
    </row>
    <row r="50" spans="1:11" x14ac:dyDescent="0.35">
      <c r="A50">
        <f>Sheet1!$N65</f>
        <v>2</v>
      </c>
      <c r="B50">
        <f>Sheet1!$E65</f>
        <v>5</v>
      </c>
      <c r="C50">
        <f>Sheet1!$F65</f>
        <v>4</v>
      </c>
      <c r="D50">
        <f>Sheet1!$G65</f>
        <v>4</v>
      </c>
      <c r="F50">
        <v>24</v>
      </c>
      <c r="G50">
        <v>4.0300782617858895</v>
      </c>
      <c r="H50">
        <v>-3.007826178588946E-2</v>
      </c>
      <c r="J50">
        <v>24.479166666666668</v>
      </c>
      <c r="K50">
        <v>2</v>
      </c>
    </row>
    <row r="51" spans="1:11" x14ac:dyDescent="0.35">
      <c r="A51">
        <f>Sheet1!$N66</f>
        <v>2</v>
      </c>
      <c r="B51">
        <f>Sheet1!$E66</f>
        <v>3</v>
      </c>
      <c r="C51">
        <f>Sheet1!$F66</f>
        <v>2</v>
      </c>
      <c r="D51">
        <f>Sheet1!$G66</f>
        <v>4</v>
      </c>
      <c r="F51">
        <v>25</v>
      </c>
      <c r="G51">
        <v>4.6277076695821586</v>
      </c>
      <c r="H51">
        <v>0.37229233041784138</v>
      </c>
      <c r="J51">
        <v>25.520833333333332</v>
      </c>
      <c r="K51">
        <v>2</v>
      </c>
    </row>
    <row r="52" spans="1:11" x14ac:dyDescent="0.35">
      <c r="A52">
        <f>Sheet1!$N67</f>
        <v>4</v>
      </c>
      <c r="B52">
        <f>Sheet1!$E67</f>
        <v>2</v>
      </c>
      <c r="C52">
        <f>Sheet1!$F67</f>
        <v>2</v>
      </c>
      <c r="D52">
        <f>Sheet1!$G67</f>
        <v>3</v>
      </c>
      <c r="F52">
        <v>26</v>
      </c>
      <c r="G52">
        <v>1.4755190087905476</v>
      </c>
      <c r="H52">
        <v>-0.47551900879054765</v>
      </c>
      <c r="J52">
        <v>26.5625</v>
      </c>
      <c r="K52">
        <v>2</v>
      </c>
    </row>
    <row r="53" spans="1:11" x14ac:dyDescent="0.35">
      <c r="A53">
        <f>Sheet1!$N68</f>
        <v>2</v>
      </c>
      <c r="B53">
        <f>Sheet1!$E68</f>
        <v>4</v>
      </c>
      <c r="C53">
        <f>Sheet1!$F68</f>
        <v>3</v>
      </c>
      <c r="D53">
        <f>Sheet1!$G68</f>
        <v>5</v>
      </c>
      <c r="F53">
        <v>27</v>
      </c>
      <c r="G53">
        <v>2.3681863584421619</v>
      </c>
      <c r="H53">
        <v>0.63181364155783815</v>
      </c>
      <c r="J53">
        <v>27.604166666666668</v>
      </c>
      <c r="K53">
        <v>2</v>
      </c>
    </row>
    <row r="54" spans="1:11" x14ac:dyDescent="0.35">
      <c r="A54">
        <f>Sheet1!$N69</f>
        <v>1</v>
      </c>
      <c r="B54">
        <f>Sheet1!$E69</f>
        <v>5</v>
      </c>
      <c r="C54">
        <f>Sheet1!$F69</f>
        <v>4</v>
      </c>
      <c r="D54">
        <f>Sheet1!$G69</f>
        <v>5</v>
      </c>
      <c r="F54">
        <v>28</v>
      </c>
      <c r="G54">
        <v>2.3681863584421619</v>
      </c>
      <c r="H54">
        <v>-1.3681863584421619</v>
      </c>
      <c r="J54">
        <v>28.645833333333336</v>
      </c>
      <c r="K54">
        <v>2</v>
      </c>
    </row>
    <row r="55" spans="1:11" x14ac:dyDescent="0.35">
      <c r="A55">
        <f>Sheet1!$N70</f>
        <v>1</v>
      </c>
      <c r="B55">
        <f>Sheet1!$E70</f>
        <v>5</v>
      </c>
      <c r="C55">
        <f>Sheet1!$F70</f>
        <v>4</v>
      </c>
      <c r="D55">
        <f>Sheet1!$G70</f>
        <v>5</v>
      </c>
      <c r="F55">
        <v>29</v>
      </c>
      <c r="G55">
        <v>2.1303467985520985</v>
      </c>
      <c r="H55">
        <v>-0.13034679855209852</v>
      </c>
      <c r="J55">
        <v>29.6875</v>
      </c>
      <c r="K55">
        <v>2</v>
      </c>
    </row>
    <row r="56" spans="1:11" x14ac:dyDescent="0.35">
      <c r="A56">
        <f>Sheet1!$N71</f>
        <v>2</v>
      </c>
      <c r="B56">
        <f>Sheet1!$E71</f>
        <v>4</v>
      </c>
      <c r="C56">
        <f>Sheet1!$F71</f>
        <v>5</v>
      </c>
      <c r="D56">
        <f>Sheet1!$G71</f>
        <v>3</v>
      </c>
      <c r="F56">
        <v>30</v>
      </c>
      <c r="G56">
        <v>4.0014790708032484</v>
      </c>
      <c r="H56">
        <v>-1.4790708032483835E-3</v>
      </c>
      <c r="J56">
        <v>30.729166666666668</v>
      </c>
      <c r="K56">
        <v>2</v>
      </c>
    </row>
    <row r="57" spans="1:11" x14ac:dyDescent="0.35">
      <c r="A57">
        <f>Sheet1!$N72</f>
        <v>4</v>
      </c>
      <c r="B57">
        <f>Sheet1!$E72</f>
        <v>2</v>
      </c>
      <c r="C57">
        <f>Sheet1!$F72</f>
        <v>2</v>
      </c>
      <c r="D57">
        <f>Sheet1!$G72</f>
        <v>2</v>
      </c>
      <c r="F57">
        <v>31</v>
      </c>
      <c r="G57">
        <v>1.7781104747314727</v>
      </c>
      <c r="H57">
        <v>0.22188952526852734</v>
      </c>
      <c r="J57">
        <v>31.770833333333336</v>
      </c>
      <c r="K57">
        <v>2</v>
      </c>
    </row>
    <row r="58" spans="1:11" x14ac:dyDescent="0.35">
      <c r="A58">
        <f>Sheet1!$N73</f>
        <v>4</v>
      </c>
      <c r="B58">
        <f>Sheet1!$E73</f>
        <v>2</v>
      </c>
      <c r="C58">
        <f>Sheet1!$F73</f>
        <v>3</v>
      </c>
      <c r="D58">
        <f>Sheet1!$G73</f>
        <v>3</v>
      </c>
      <c r="F58">
        <v>32</v>
      </c>
      <c r="G58">
        <v>2.3967855494248025</v>
      </c>
      <c r="H58">
        <v>0.60321445057519751</v>
      </c>
      <c r="J58">
        <v>32.812500000000007</v>
      </c>
      <c r="K58">
        <v>2</v>
      </c>
    </row>
    <row r="59" spans="1:11" x14ac:dyDescent="0.35">
      <c r="A59">
        <f>Sheet1!$N74</f>
        <v>5</v>
      </c>
      <c r="B59">
        <f>Sheet1!$E74</f>
        <v>1</v>
      </c>
      <c r="C59">
        <f>Sheet1!$F74</f>
        <v>1</v>
      </c>
      <c r="D59">
        <f>Sheet1!$G74</f>
        <v>2</v>
      </c>
      <c r="F59">
        <v>33</v>
      </c>
      <c r="G59">
        <v>4.6563068605647997</v>
      </c>
      <c r="H59">
        <v>0.3436931394352003</v>
      </c>
      <c r="J59">
        <v>33.854166666666671</v>
      </c>
      <c r="K59">
        <v>2</v>
      </c>
    </row>
    <row r="60" spans="1:11" x14ac:dyDescent="0.35">
      <c r="A60">
        <f>Sheet1!$N75</f>
        <v>3</v>
      </c>
      <c r="B60">
        <f>Sheet1!$E75</f>
        <v>4</v>
      </c>
      <c r="C60">
        <f>Sheet1!$F75</f>
        <v>4</v>
      </c>
      <c r="D60">
        <f>Sheet1!$G75</f>
        <v>3</v>
      </c>
      <c r="F60">
        <v>34</v>
      </c>
      <c r="G60">
        <v>2.7279762063483681</v>
      </c>
      <c r="H60">
        <v>-0.72797620634836813</v>
      </c>
      <c r="J60">
        <v>34.895833333333336</v>
      </c>
      <c r="K60">
        <v>2</v>
      </c>
    </row>
    <row r="61" spans="1:11" x14ac:dyDescent="0.35">
      <c r="A61">
        <f>Sheet1!$N76</f>
        <v>5</v>
      </c>
      <c r="B61">
        <f>Sheet1!$E76</f>
        <v>2</v>
      </c>
      <c r="C61">
        <f>Sheet1!$F76</f>
        <v>1</v>
      </c>
      <c r="D61">
        <f>Sheet1!$G76</f>
        <v>2</v>
      </c>
      <c r="F61">
        <v>35</v>
      </c>
      <c r="G61">
        <v>4.2965170126585939</v>
      </c>
      <c r="H61">
        <v>0.70348298734140613</v>
      </c>
      <c r="J61">
        <v>35.937500000000007</v>
      </c>
      <c r="K61">
        <v>2</v>
      </c>
    </row>
    <row r="62" spans="1:11" x14ac:dyDescent="0.35">
      <c r="A62">
        <f>Sheet1!$N77</f>
        <v>3</v>
      </c>
      <c r="B62">
        <f>Sheet1!$E77</f>
        <v>3</v>
      </c>
      <c r="C62">
        <f>Sheet1!$F77</f>
        <v>3</v>
      </c>
      <c r="D62">
        <f>Sheet1!$G77</f>
        <v>3</v>
      </c>
      <c r="F62">
        <v>36</v>
      </c>
      <c r="G62">
        <v>1.8353088566967535</v>
      </c>
      <c r="H62">
        <v>-0.83530885669675348</v>
      </c>
      <c r="J62">
        <v>36.979166666666671</v>
      </c>
      <c r="K62">
        <v>2</v>
      </c>
    </row>
    <row r="63" spans="1:11" x14ac:dyDescent="0.35">
      <c r="A63">
        <f>Sheet1!$N78</f>
        <v>1</v>
      </c>
      <c r="B63">
        <f>Sheet1!$E78</f>
        <v>4</v>
      </c>
      <c r="C63">
        <f>Sheet1!$F78</f>
        <v>5</v>
      </c>
      <c r="D63">
        <f>Sheet1!$G78</f>
        <v>5</v>
      </c>
      <c r="F63">
        <v>37</v>
      </c>
      <c r="G63">
        <v>2.3681863584421619</v>
      </c>
      <c r="H63">
        <v>-0.36818635844216185</v>
      </c>
      <c r="J63">
        <v>38.020833333333336</v>
      </c>
      <c r="K63">
        <v>2</v>
      </c>
    </row>
    <row r="64" spans="1:11" x14ac:dyDescent="0.35">
      <c r="A64">
        <f>Sheet1!$N79</f>
        <v>2</v>
      </c>
      <c r="B64">
        <f>Sheet1!$E79</f>
        <v>4</v>
      </c>
      <c r="C64">
        <f>Sheet1!$F79</f>
        <v>4</v>
      </c>
      <c r="D64">
        <f>Sheet1!$G79</f>
        <v>5</v>
      </c>
      <c r="F64">
        <v>38</v>
      </c>
      <c r="G64">
        <v>3.375250472024339</v>
      </c>
      <c r="H64">
        <v>-0.37525047202433903</v>
      </c>
      <c r="J64">
        <v>39.062500000000007</v>
      </c>
      <c r="K64">
        <v>2</v>
      </c>
    </row>
    <row r="65" spans="1:11" x14ac:dyDescent="0.35">
      <c r="A65">
        <f>Sheet1!$N80</f>
        <v>2</v>
      </c>
      <c r="B65">
        <f>Sheet1!$E80</f>
        <v>3</v>
      </c>
      <c r="C65">
        <f>Sheet1!$F80</f>
        <v>4</v>
      </c>
      <c r="D65">
        <f>Sheet1!$G80</f>
        <v>4</v>
      </c>
      <c r="F65">
        <v>39</v>
      </c>
      <c r="G65">
        <v>2.3967855494248025</v>
      </c>
      <c r="H65">
        <v>-1.3967855494248025</v>
      </c>
      <c r="J65">
        <v>40.104166666666671</v>
      </c>
      <c r="K65">
        <v>2</v>
      </c>
    </row>
    <row r="66" spans="1:11" x14ac:dyDescent="0.35">
      <c r="A66">
        <f>Sheet1!$N81</f>
        <v>3</v>
      </c>
      <c r="B66">
        <f>Sheet1!$E81</f>
        <v>4</v>
      </c>
      <c r="C66">
        <f>Sheet1!$F81</f>
        <v>5</v>
      </c>
      <c r="D66">
        <f>Sheet1!$G81</f>
        <v>5</v>
      </c>
      <c r="F66">
        <v>40</v>
      </c>
      <c r="G66">
        <v>3.3180520900590578</v>
      </c>
      <c r="H66">
        <v>0.68194790994094223</v>
      </c>
      <c r="J66">
        <v>41.145833333333336</v>
      </c>
      <c r="K66">
        <v>2</v>
      </c>
    </row>
    <row r="67" spans="1:11" x14ac:dyDescent="0.35">
      <c r="A67">
        <f>Sheet1!$N82</f>
        <v>1</v>
      </c>
      <c r="B67">
        <f>Sheet1!$E82</f>
        <v>4</v>
      </c>
      <c r="C67">
        <f>Sheet1!$F82</f>
        <v>4</v>
      </c>
      <c r="D67">
        <f>Sheet1!$G82</f>
        <v>3</v>
      </c>
      <c r="F67">
        <v>41</v>
      </c>
      <c r="G67">
        <v>3.375250472024339</v>
      </c>
      <c r="H67">
        <v>0.62474952797566097</v>
      </c>
      <c r="J67">
        <v>42.187500000000007</v>
      </c>
      <c r="K67">
        <v>2</v>
      </c>
    </row>
    <row r="68" spans="1:11" x14ac:dyDescent="0.35">
      <c r="A68">
        <f>Sheet1!$N83</f>
        <v>4</v>
      </c>
      <c r="B68">
        <f>Sheet1!$E83</f>
        <v>2</v>
      </c>
      <c r="C68">
        <f>Sheet1!$F83</f>
        <v>3</v>
      </c>
      <c r="D68">
        <f>Sheet1!$G83</f>
        <v>2</v>
      </c>
      <c r="F68">
        <v>42</v>
      </c>
      <c r="G68">
        <v>3.3180520900590578</v>
      </c>
      <c r="H68">
        <v>0.68194790994094223</v>
      </c>
      <c r="J68">
        <v>43.229166666666671</v>
      </c>
      <c r="K68">
        <v>2</v>
      </c>
    </row>
    <row r="69" spans="1:11" x14ac:dyDescent="0.35">
      <c r="A69">
        <f>Sheet1!$N84</f>
        <v>5</v>
      </c>
      <c r="B69">
        <f>Sheet1!$E84</f>
        <v>1</v>
      </c>
      <c r="C69">
        <f>Sheet1!$F84</f>
        <v>1</v>
      </c>
      <c r="D69">
        <f>Sheet1!$G84</f>
        <v>2</v>
      </c>
      <c r="F69">
        <v>43</v>
      </c>
      <c r="G69">
        <v>1.1518818759525624</v>
      </c>
      <c r="H69">
        <v>0.84811812404743758</v>
      </c>
      <c r="J69">
        <v>44.270833333333336</v>
      </c>
      <c r="K69">
        <v>2</v>
      </c>
    </row>
    <row r="70" spans="1:11" x14ac:dyDescent="0.35">
      <c r="A70">
        <f>Sheet1!$N85</f>
        <v>2</v>
      </c>
      <c r="B70">
        <f>Sheet1!$E85</f>
        <v>4</v>
      </c>
      <c r="C70">
        <f>Sheet1!$F85</f>
        <v>4</v>
      </c>
      <c r="D70">
        <f>Sheet1!$G85</f>
        <v>3</v>
      </c>
      <c r="F70">
        <v>44</v>
      </c>
      <c r="G70">
        <v>2.0731484165868173</v>
      </c>
      <c r="H70">
        <v>-1.0731484165868173</v>
      </c>
      <c r="J70">
        <v>45.312500000000007</v>
      </c>
      <c r="K70">
        <v>3</v>
      </c>
    </row>
    <row r="71" spans="1:11" x14ac:dyDescent="0.35">
      <c r="A71">
        <f>Sheet1!$N86</f>
        <v>5</v>
      </c>
      <c r="B71">
        <f>Sheet1!$E86</f>
        <v>2</v>
      </c>
      <c r="C71">
        <f>Sheet1!$F86</f>
        <v>3</v>
      </c>
      <c r="D71">
        <f>Sheet1!$G86</f>
        <v>2</v>
      </c>
      <c r="F71">
        <v>45</v>
      </c>
      <c r="G71">
        <v>4.2679178216759537</v>
      </c>
      <c r="H71">
        <v>0.73208217832404632</v>
      </c>
      <c r="J71">
        <v>46.354166666666671</v>
      </c>
      <c r="K71">
        <v>3</v>
      </c>
    </row>
    <row r="72" spans="1:11" x14ac:dyDescent="0.35">
      <c r="A72">
        <f>Sheet1!$N87</f>
        <v>1</v>
      </c>
      <c r="B72">
        <f>Sheet1!$E87</f>
        <v>5</v>
      </c>
      <c r="C72">
        <f>Sheet1!$F87</f>
        <v>5</v>
      </c>
      <c r="D72">
        <f>Sheet1!$G87</f>
        <v>5</v>
      </c>
      <c r="F72">
        <v>46</v>
      </c>
      <c r="G72">
        <v>1.1518818759525624</v>
      </c>
      <c r="H72">
        <v>0.84811812404743758</v>
      </c>
      <c r="J72">
        <v>47.395833333333336</v>
      </c>
      <c r="K72">
        <v>3</v>
      </c>
    </row>
    <row r="73" spans="1:11" x14ac:dyDescent="0.35">
      <c r="A73">
        <f>Sheet1!$N88</f>
        <v>3</v>
      </c>
      <c r="B73">
        <f>Sheet1!$E88</f>
        <v>4</v>
      </c>
      <c r="C73">
        <f>Sheet1!$F88</f>
        <v>5</v>
      </c>
      <c r="D73">
        <f>Sheet1!$G88</f>
        <v>5</v>
      </c>
      <c r="F73">
        <v>47</v>
      </c>
      <c r="G73">
        <v>2.3681863584421619</v>
      </c>
      <c r="H73">
        <v>0.63181364155783815</v>
      </c>
      <c r="J73">
        <v>48.437500000000007</v>
      </c>
      <c r="K73">
        <v>3</v>
      </c>
    </row>
    <row r="74" spans="1:11" x14ac:dyDescent="0.35">
      <c r="A74">
        <f>Sheet1!$N89</f>
        <v>4</v>
      </c>
      <c r="B74">
        <f>Sheet1!$E89</f>
        <v>2</v>
      </c>
      <c r="C74">
        <f>Sheet1!$F89</f>
        <v>3</v>
      </c>
      <c r="D74">
        <f>Sheet1!$G89</f>
        <v>1</v>
      </c>
      <c r="F74">
        <v>48</v>
      </c>
      <c r="G74">
        <v>1.446919817807907</v>
      </c>
      <c r="H74">
        <v>-0.44691981780790702</v>
      </c>
      <c r="J74">
        <v>49.479166666666671</v>
      </c>
      <c r="K74">
        <v>3</v>
      </c>
    </row>
    <row r="75" spans="1:11" x14ac:dyDescent="0.35">
      <c r="A75">
        <f>Sheet1!$N90</f>
        <v>4</v>
      </c>
      <c r="B75">
        <f>Sheet1!$E90</f>
        <v>3</v>
      </c>
      <c r="C75">
        <f>Sheet1!$F90</f>
        <v>3</v>
      </c>
      <c r="D75">
        <f>Sheet1!$G90</f>
        <v>3</v>
      </c>
      <c r="F75">
        <v>49</v>
      </c>
      <c r="G75">
        <v>1.4755190087905476</v>
      </c>
      <c r="H75">
        <v>0.52448099120945235</v>
      </c>
      <c r="J75">
        <v>50.520833333333336</v>
      </c>
      <c r="K75">
        <v>3</v>
      </c>
    </row>
    <row r="76" spans="1:11" x14ac:dyDescent="0.35">
      <c r="A76">
        <f>Sheet1!$N91</f>
        <v>3</v>
      </c>
      <c r="B76">
        <f>Sheet1!$E91</f>
        <v>4</v>
      </c>
      <c r="C76">
        <f>Sheet1!$F91</f>
        <v>5</v>
      </c>
      <c r="D76">
        <f>Sheet1!$G91</f>
        <v>3</v>
      </c>
      <c r="F76">
        <v>50</v>
      </c>
      <c r="G76">
        <v>3.3180520900590578</v>
      </c>
      <c r="H76">
        <v>-1.3180520900590578</v>
      </c>
      <c r="J76">
        <v>51.562500000000007</v>
      </c>
      <c r="K76">
        <v>3</v>
      </c>
    </row>
    <row r="77" spans="1:11" x14ac:dyDescent="0.35">
      <c r="A77">
        <f>Sheet1!$N92</f>
        <v>5</v>
      </c>
      <c r="B77">
        <f>Sheet1!$E92</f>
        <v>1</v>
      </c>
      <c r="C77">
        <f>Sheet1!$F92</f>
        <v>1</v>
      </c>
      <c r="D77">
        <f>Sheet1!$G92</f>
        <v>2</v>
      </c>
      <c r="F77">
        <v>51</v>
      </c>
      <c r="G77">
        <v>3.9728798798206082</v>
      </c>
      <c r="H77">
        <v>2.7120120179391805E-2</v>
      </c>
      <c r="J77">
        <v>52.604166666666671</v>
      </c>
      <c r="K77">
        <v>3</v>
      </c>
    </row>
    <row r="78" spans="1:11" x14ac:dyDescent="0.35">
      <c r="A78">
        <f>Sheet1!$N93</f>
        <v>3</v>
      </c>
      <c r="B78">
        <f>Sheet1!$E93</f>
        <v>4</v>
      </c>
      <c r="C78">
        <f>Sheet1!$F93</f>
        <v>4</v>
      </c>
      <c r="D78">
        <f>Sheet1!$G93</f>
        <v>3</v>
      </c>
      <c r="F78">
        <v>52</v>
      </c>
      <c r="G78">
        <v>2.3681863584421619</v>
      </c>
      <c r="H78">
        <v>-0.36818635844216185</v>
      </c>
      <c r="J78">
        <v>53.645833333333343</v>
      </c>
      <c r="K78">
        <v>3</v>
      </c>
    </row>
    <row r="79" spans="1:11" x14ac:dyDescent="0.35">
      <c r="A79">
        <f>Sheet1!$N94</f>
        <v>2</v>
      </c>
      <c r="B79">
        <f>Sheet1!$E94</f>
        <v>3</v>
      </c>
      <c r="C79">
        <f>Sheet1!$F94</f>
        <v>3</v>
      </c>
      <c r="D79">
        <f>Sheet1!$G94</f>
        <v>3</v>
      </c>
      <c r="F79">
        <v>53</v>
      </c>
      <c r="G79">
        <v>1.446919817807907</v>
      </c>
      <c r="H79">
        <v>-0.44691981780790702</v>
      </c>
      <c r="J79">
        <v>54.687500000000007</v>
      </c>
      <c r="K79">
        <v>3</v>
      </c>
    </row>
    <row r="80" spans="1:11" x14ac:dyDescent="0.35">
      <c r="A80">
        <f>Sheet1!$N95</f>
        <v>2</v>
      </c>
      <c r="B80">
        <f>Sheet1!$E95</f>
        <v>5</v>
      </c>
      <c r="C80">
        <f>Sheet1!$F95</f>
        <v>5</v>
      </c>
      <c r="D80">
        <f>Sheet1!$G95</f>
        <v>4</v>
      </c>
      <c r="F80">
        <v>54</v>
      </c>
      <c r="G80">
        <v>1.446919817807907</v>
      </c>
      <c r="H80">
        <v>-0.44691981780790702</v>
      </c>
      <c r="J80">
        <v>55.729166666666671</v>
      </c>
      <c r="K80">
        <v>3</v>
      </c>
    </row>
    <row r="81" spans="1:11" x14ac:dyDescent="0.35">
      <c r="A81">
        <f>Sheet1!$N96</f>
        <v>2</v>
      </c>
      <c r="B81">
        <f>Sheet1!$E96</f>
        <v>4</v>
      </c>
      <c r="C81">
        <f>Sheet1!$F96</f>
        <v>4</v>
      </c>
      <c r="D81">
        <f>Sheet1!$G96</f>
        <v>4</v>
      </c>
      <c r="F81">
        <v>55</v>
      </c>
      <c r="G81">
        <v>1.8353088566967535</v>
      </c>
      <c r="H81">
        <v>0.16469114330324652</v>
      </c>
      <c r="J81">
        <v>56.770833333333343</v>
      </c>
      <c r="K81">
        <v>3</v>
      </c>
    </row>
    <row r="82" spans="1:11" x14ac:dyDescent="0.35">
      <c r="A82">
        <f>Sheet1!$N97</f>
        <v>1</v>
      </c>
      <c r="B82">
        <f>Sheet1!$E97</f>
        <v>5</v>
      </c>
      <c r="C82">
        <f>Sheet1!$F97</f>
        <v>5</v>
      </c>
      <c r="D82">
        <f>Sheet1!$G97</f>
        <v>5</v>
      </c>
      <c r="F82">
        <v>56</v>
      </c>
      <c r="G82">
        <v>4.0014790708032484</v>
      </c>
      <c r="H82">
        <v>-1.4790708032483835E-3</v>
      </c>
      <c r="J82">
        <v>57.812500000000007</v>
      </c>
      <c r="K82">
        <v>3</v>
      </c>
    </row>
    <row r="83" spans="1:11" x14ac:dyDescent="0.35">
      <c r="A83">
        <f>Sheet1!$N98</f>
        <v>4</v>
      </c>
      <c r="B83">
        <f>Sheet1!$E98</f>
        <v>2</v>
      </c>
      <c r="C83">
        <f>Sheet1!$F98</f>
        <v>3</v>
      </c>
      <c r="D83">
        <f>Sheet1!$G98</f>
        <v>1</v>
      </c>
      <c r="F83">
        <v>57</v>
      </c>
      <c r="G83">
        <v>3.6778419379652636</v>
      </c>
      <c r="H83">
        <v>0.3221580620347364</v>
      </c>
      <c r="J83">
        <v>58.854166666666671</v>
      </c>
      <c r="K83">
        <v>3</v>
      </c>
    </row>
    <row r="84" spans="1:11" x14ac:dyDescent="0.35">
      <c r="A84">
        <f>Sheet1!$N99</f>
        <v>5</v>
      </c>
      <c r="B84">
        <f>Sheet1!$E99</f>
        <v>1</v>
      </c>
      <c r="C84">
        <f>Sheet1!$F99</f>
        <v>1</v>
      </c>
      <c r="D84">
        <f>Sheet1!$G99</f>
        <v>1</v>
      </c>
      <c r="F84">
        <v>58</v>
      </c>
      <c r="G84">
        <v>4.9227456114375041</v>
      </c>
      <c r="H84">
        <v>7.725438856249589E-2</v>
      </c>
      <c r="J84">
        <v>59.895833333333343</v>
      </c>
      <c r="K84">
        <v>3</v>
      </c>
    </row>
    <row r="85" spans="1:11" x14ac:dyDescent="0.35">
      <c r="A85">
        <f>Sheet1!$N100</f>
        <v>3</v>
      </c>
      <c r="B85">
        <f>Sheet1!$E100</f>
        <v>2</v>
      </c>
      <c r="C85">
        <f>Sheet1!$F100</f>
        <v>2</v>
      </c>
      <c r="D85">
        <f>Sheet1!$G100</f>
        <v>2</v>
      </c>
      <c r="F85">
        <v>59</v>
      </c>
      <c r="G85">
        <v>2.1303467985520985</v>
      </c>
      <c r="H85">
        <v>0.86965320144790148</v>
      </c>
      <c r="J85">
        <v>60.937500000000007</v>
      </c>
      <c r="K85">
        <v>3</v>
      </c>
    </row>
    <row r="86" spans="1:11" x14ac:dyDescent="0.35">
      <c r="A86">
        <f>Sheet1!$N101</f>
        <v>3</v>
      </c>
      <c r="B86">
        <f>Sheet1!$E101</f>
        <v>3</v>
      </c>
      <c r="C86">
        <f>Sheet1!$F101</f>
        <v>2</v>
      </c>
      <c r="D86">
        <f>Sheet1!$G101</f>
        <v>4</v>
      </c>
      <c r="F86">
        <v>60</v>
      </c>
      <c r="G86">
        <v>4.2965170126585939</v>
      </c>
      <c r="H86">
        <v>0.70348298734140613</v>
      </c>
      <c r="J86">
        <v>61.979166666666671</v>
      </c>
      <c r="K86">
        <v>3</v>
      </c>
    </row>
    <row r="87" spans="1:11" x14ac:dyDescent="0.35">
      <c r="A87">
        <f>Sheet1!$N102</f>
        <v>3</v>
      </c>
      <c r="B87">
        <f>Sheet1!$E102</f>
        <v>2</v>
      </c>
      <c r="C87">
        <f>Sheet1!$F102</f>
        <v>3</v>
      </c>
      <c r="D87">
        <f>Sheet1!$G102</f>
        <v>3</v>
      </c>
      <c r="F87">
        <v>61</v>
      </c>
      <c r="G87">
        <v>3.0516133391863534</v>
      </c>
      <c r="H87">
        <v>-5.1613339186353357E-2</v>
      </c>
      <c r="J87">
        <v>63.020833333333343</v>
      </c>
      <c r="K87">
        <v>3</v>
      </c>
    </row>
    <row r="88" spans="1:11" x14ac:dyDescent="0.35">
      <c r="A88">
        <f>Sheet1!$N103</f>
        <v>2</v>
      </c>
      <c r="B88">
        <f>Sheet1!$E103</f>
        <v>5</v>
      </c>
      <c r="C88">
        <f>Sheet1!$F103</f>
        <v>4</v>
      </c>
      <c r="D88">
        <f>Sheet1!$G103</f>
        <v>5</v>
      </c>
      <c r="F88">
        <v>62</v>
      </c>
      <c r="G88">
        <v>1.7781104747314727</v>
      </c>
      <c r="H88">
        <v>-0.77811047473147266</v>
      </c>
      <c r="J88">
        <v>64.0625</v>
      </c>
      <c r="K88">
        <v>3</v>
      </c>
    </row>
    <row r="89" spans="1:11" x14ac:dyDescent="0.35">
      <c r="A89">
        <f>Sheet1!$N104</f>
        <v>3</v>
      </c>
      <c r="B89">
        <f>Sheet1!$E104</f>
        <v>4</v>
      </c>
      <c r="C89">
        <f>Sheet1!$F104</f>
        <v>4</v>
      </c>
      <c r="D89">
        <f>Sheet1!$G104</f>
        <v>5</v>
      </c>
      <c r="F89">
        <v>63</v>
      </c>
      <c r="G89">
        <v>2.0731484165868173</v>
      </c>
      <c r="H89">
        <v>-7.3148416586817255E-2</v>
      </c>
      <c r="J89">
        <v>65.104166666666671</v>
      </c>
      <c r="K89">
        <v>3</v>
      </c>
    </row>
    <row r="90" spans="1:11" x14ac:dyDescent="0.35">
      <c r="A90">
        <f>Sheet1!$N105</f>
        <v>4</v>
      </c>
      <c r="B90">
        <f>Sheet1!$E105</f>
        <v>3</v>
      </c>
      <c r="C90">
        <f>Sheet1!$F105</f>
        <v>3</v>
      </c>
      <c r="D90">
        <f>Sheet1!$G105</f>
        <v>2</v>
      </c>
      <c r="F90">
        <v>64</v>
      </c>
      <c r="G90">
        <v>2.7279762063483681</v>
      </c>
      <c r="H90">
        <v>-0.72797620634836813</v>
      </c>
      <c r="J90">
        <v>66.145833333333329</v>
      </c>
      <c r="K90">
        <v>3</v>
      </c>
    </row>
    <row r="91" spans="1:11" x14ac:dyDescent="0.35">
      <c r="A91">
        <f>Sheet1!$N106</f>
        <v>2</v>
      </c>
      <c r="B91">
        <f>Sheet1!$E106</f>
        <v>3</v>
      </c>
      <c r="C91">
        <f>Sheet1!$F106</f>
        <v>3</v>
      </c>
      <c r="D91">
        <f>Sheet1!$G106</f>
        <v>2</v>
      </c>
      <c r="F91">
        <v>65</v>
      </c>
      <c r="G91">
        <v>1.7781104747314727</v>
      </c>
      <c r="H91">
        <v>1.2218895252685273</v>
      </c>
      <c r="J91">
        <v>67.1875</v>
      </c>
      <c r="K91">
        <v>4</v>
      </c>
    </row>
    <row r="92" spans="1:11" x14ac:dyDescent="0.35">
      <c r="A92">
        <f>Sheet1!$N107</f>
        <v>3</v>
      </c>
      <c r="B92">
        <f>Sheet1!$E107</f>
        <v>2</v>
      </c>
      <c r="C92">
        <f>Sheet1!$F107</f>
        <v>3</v>
      </c>
      <c r="D92">
        <f>Sheet1!$G107</f>
        <v>1</v>
      </c>
      <c r="F92">
        <v>66</v>
      </c>
      <c r="G92">
        <v>2.1303467985520985</v>
      </c>
      <c r="H92">
        <v>-1.1303467985520985</v>
      </c>
      <c r="J92">
        <v>68.229166666666671</v>
      </c>
      <c r="K92">
        <v>4</v>
      </c>
    </row>
    <row r="93" spans="1:11" x14ac:dyDescent="0.35">
      <c r="A93">
        <f>Sheet1!$N108</f>
        <v>2</v>
      </c>
      <c r="B93">
        <f>Sheet1!$E108</f>
        <v>3</v>
      </c>
      <c r="C93">
        <f>Sheet1!$F108</f>
        <v>2</v>
      </c>
      <c r="D93">
        <f>Sheet1!$G108</f>
        <v>4</v>
      </c>
      <c r="F93">
        <v>67</v>
      </c>
      <c r="G93">
        <v>3.7064411289479038</v>
      </c>
      <c r="H93">
        <v>0.29355887105209622</v>
      </c>
      <c r="J93">
        <v>69.270833333333329</v>
      </c>
      <c r="K93">
        <v>4</v>
      </c>
    </row>
    <row r="94" spans="1:11" x14ac:dyDescent="0.35">
      <c r="A94">
        <f>Sheet1!$N109</f>
        <v>2</v>
      </c>
      <c r="B94">
        <f>Sheet1!$E109</f>
        <v>3</v>
      </c>
      <c r="C94">
        <f>Sheet1!$F109</f>
        <v>4</v>
      </c>
      <c r="D94">
        <f>Sheet1!$G109</f>
        <v>3</v>
      </c>
      <c r="F94">
        <v>68</v>
      </c>
      <c r="G94">
        <v>4.9227456114375041</v>
      </c>
      <c r="H94">
        <v>7.725438856249589E-2</v>
      </c>
      <c r="J94">
        <v>70.3125</v>
      </c>
      <c r="K94">
        <v>4</v>
      </c>
    </row>
    <row r="95" spans="1:11" x14ac:dyDescent="0.35">
      <c r="A95">
        <f>Sheet1!$N110</f>
        <v>1</v>
      </c>
      <c r="B95">
        <f>Sheet1!$E110</f>
        <v>5</v>
      </c>
      <c r="C95">
        <f>Sheet1!$F110</f>
        <v>5</v>
      </c>
      <c r="D95">
        <f>Sheet1!$G110</f>
        <v>5</v>
      </c>
      <c r="F95">
        <v>69</v>
      </c>
      <c r="G95">
        <v>2.1303467985520985</v>
      </c>
      <c r="H95">
        <v>-0.13034679855209852</v>
      </c>
      <c r="J95">
        <v>71.354166666666671</v>
      </c>
      <c r="K95">
        <v>4</v>
      </c>
    </row>
    <row r="96" spans="1:11" x14ac:dyDescent="0.35">
      <c r="A96">
        <f>Sheet1!$N111</f>
        <v>1</v>
      </c>
      <c r="B96">
        <f>Sheet1!$E111</f>
        <v>5</v>
      </c>
      <c r="C96">
        <f>Sheet1!$F111</f>
        <v>5</v>
      </c>
      <c r="D96">
        <f>Sheet1!$G111</f>
        <v>5</v>
      </c>
      <c r="F96">
        <v>70</v>
      </c>
      <c r="G96">
        <v>3.7064411289479038</v>
      </c>
      <c r="H96">
        <v>1.2935588710520962</v>
      </c>
      <c r="J96">
        <v>72.395833333333329</v>
      </c>
      <c r="K96">
        <v>4</v>
      </c>
    </row>
    <row r="97" spans="1:11" x14ac:dyDescent="0.35">
      <c r="A97">
        <f>Sheet1!$N112</f>
        <v>3</v>
      </c>
      <c r="B97">
        <f>Sheet1!$E112</f>
        <v>3</v>
      </c>
      <c r="C97">
        <f>Sheet1!$F112</f>
        <v>3</v>
      </c>
      <c r="D97">
        <f>Sheet1!$G112</f>
        <v>2</v>
      </c>
      <c r="F97">
        <v>71</v>
      </c>
      <c r="G97">
        <v>1.1518818759525624</v>
      </c>
      <c r="H97">
        <v>-0.15188187595256242</v>
      </c>
      <c r="J97">
        <v>73.4375</v>
      </c>
      <c r="K97">
        <v>4</v>
      </c>
    </row>
    <row r="98" spans="1:11" x14ac:dyDescent="0.35">
      <c r="F98">
        <v>72</v>
      </c>
      <c r="G98">
        <v>1.7781104747314727</v>
      </c>
      <c r="H98">
        <v>1.2218895252685273</v>
      </c>
      <c r="J98">
        <v>74.479166666666671</v>
      </c>
      <c r="K98">
        <v>4</v>
      </c>
    </row>
    <row r="99" spans="1:11" x14ac:dyDescent="0.35">
      <c r="F99">
        <v>73</v>
      </c>
      <c r="G99">
        <v>3.7350403199305444</v>
      </c>
      <c r="H99">
        <v>0.26495968006945558</v>
      </c>
      <c r="J99">
        <v>75.520833333333329</v>
      </c>
      <c r="K99">
        <v>4</v>
      </c>
    </row>
    <row r="100" spans="1:11" x14ac:dyDescent="0.35">
      <c r="F100">
        <v>74</v>
      </c>
      <c r="G100">
        <v>3.0516133391863534</v>
      </c>
      <c r="H100">
        <v>0.94838666081364664</v>
      </c>
      <c r="J100">
        <v>76.5625</v>
      </c>
      <c r="K100">
        <v>4</v>
      </c>
    </row>
    <row r="101" spans="1:11" x14ac:dyDescent="0.35">
      <c r="F101">
        <v>75</v>
      </c>
      <c r="G101">
        <v>1.8353088566967535</v>
      </c>
      <c r="H101">
        <v>1.1646911433032465</v>
      </c>
      <c r="J101">
        <v>77.604166666666671</v>
      </c>
      <c r="K101">
        <v>4</v>
      </c>
    </row>
    <row r="102" spans="1:11" x14ac:dyDescent="0.35">
      <c r="F102">
        <v>76</v>
      </c>
      <c r="G102">
        <v>4.9227456114375041</v>
      </c>
      <c r="H102">
        <v>7.725438856249589E-2</v>
      </c>
      <c r="J102">
        <v>78.645833333333329</v>
      </c>
      <c r="K102">
        <v>4</v>
      </c>
    </row>
    <row r="103" spans="1:11" x14ac:dyDescent="0.35">
      <c r="F103">
        <v>77</v>
      </c>
      <c r="G103">
        <v>2.1303467985520985</v>
      </c>
      <c r="H103">
        <v>0.86965320144790148</v>
      </c>
      <c r="J103">
        <v>79.6875</v>
      </c>
      <c r="K103">
        <v>4</v>
      </c>
    </row>
    <row r="104" spans="1:11" x14ac:dyDescent="0.35">
      <c r="F104">
        <v>78</v>
      </c>
      <c r="G104">
        <v>3.0516133391863534</v>
      </c>
      <c r="H104">
        <v>-1.0516133391863534</v>
      </c>
      <c r="J104">
        <v>80.729166666666671</v>
      </c>
      <c r="K104">
        <v>4</v>
      </c>
    </row>
    <row r="105" spans="1:11" x14ac:dyDescent="0.35">
      <c r="F105">
        <v>79</v>
      </c>
      <c r="G105">
        <v>1.1804810669352028</v>
      </c>
      <c r="H105">
        <v>0.81951893306479717</v>
      </c>
      <c r="J105">
        <v>81.770833333333329</v>
      </c>
      <c r="K105">
        <v>4</v>
      </c>
    </row>
    <row r="106" spans="1:11" x14ac:dyDescent="0.35">
      <c r="F106">
        <v>80</v>
      </c>
      <c r="G106">
        <v>2.1017476075694579</v>
      </c>
      <c r="H106">
        <v>-0.10174760756945789</v>
      </c>
      <c r="J106">
        <v>82.8125</v>
      </c>
      <c r="K106">
        <v>4</v>
      </c>
    </row>
    <row r="107" spans="1:11" x14ac:dyDescent="0.35">
      <c r="F107">
        <v>81</v>
      </c>
      <c r="G107">
        <v>1.1518818759525624</v>
      </c>
      <c r="H107">
        <v>-0.15188187595256242</v>
      </c>
      <c r="J107">
        <v>83.854166666666671</v>
      </c>
      <c r="K107">
        <v>4</v>
      </c>
    </row>
    <row r="108" spans="1:11" x14ac:dyDescent="0.35">
      <c r="F108">
        <v>82</v>
      </c>
      <c r="G108">
        <v>3.7350403199305444</v>
      </c>
      <c r="H108">
        <v>0.26495968006945558</v>
      </c>
      <c r="J108">
        <v>84.895833333333329</v>
      </c>
      <c r="K108">
        <v>4</v>
      </c>
    </row>
    <row r="109" spans="1:11" x14ac:dyDescent="0.35">
      <c r="F109">
        <v>83</v>
      </c>
      <c r="G109">
        <v>4.9513448024201452</v>
      </c>
      <c r="H109">
        <v>4.8655197579854814E-2</v>
      </c>
      <c r="J109">
        <v>85.9375</v>
      </c>
      <c r="K109">
        <v>4</v>
      </c>
    </row>
    <row r="110" spans="1:11" x14ac:dyDescent="0.35">
      <c r="F110">
        <v>84</v>
      </c>
      <c r="G110">
        <v>4.0014790708032484</v>
      </c>
      <c r="H110">
        <v>-1.0014790708032484</v>
      </c>
      <c r="J110">
        <v>86.979166666666671</v>
      </c>
      <c r="K110">
        <v>4</v>
      </c>
    </row>
    <row r="111" spans="1:11" x14ac:dyDescent="0.35">
      <c r="F111">
        <v>85</v>
      </c>
      <c r="G111">
        <v>3.3180520900590578</v>
      </c>
      <c r="H111">
        <v>-0.31805209005905777</v>
      </c>
      <c r="J111">
        <v>88.020833333333329</v>
      </c>
      <c r="K111">
        <v>4</v>
      </c>
    </row>
    <row r="112" spans="1:11" x14ac:dyDescent="0.35">
      <c r="F112">
        <v>86</v>
      </c>
      <c r="G112">
        <v>3.6778419379652636</v>
      </c>
      <c r="H112">
        <v>-0.6778419379652636</v>
      </c>
      <c r="J112">
        <v>89.0625</v>
      </c>
      <c r="K112">
        <v>5</v>
      </c>
    </row>
    <row r="113" spans="6:11" x14ac:dyDescent="0.35">
      <c r="F113">
        <v>87</v>
      </c>
      <c r="G113">
        <v>1.446919817807907</v>
      </c>
      <c r="H113">
        <v>0.55308018219209298</v>
      </c>
      <c r="J113">
        <v>90.104166666666671</v>
      </c>
      <c r="K113">
        <v>5</v>
      </c>
    </row>
    <row r="114" spans="6:11" x14ac:dyDescent="0.35">
      <c r="F114">
        <v>88</v>
      </c>
      <c r="G114">
        <v>2.0731484165868173</v>
      </c>
      <c r="H114">
        <v>0.92685158341318274</v>
      </c>
      <c r="J114">
        <v>91.145833333333329</v>
      </c>
      <c r="K114">
        <v>5</v>
      </c>
    </row>
    <row r="115" spans="6:11" x14ac:dyDescent="0.35">
      <c r="F115">
        <v>89</v>
      </c>
      <c r="G115">
        <v>3.0802125301689935</v>
      </c>
      <c r="H115">
        <v>0.91978746983100645</v>
      </c>
      <c r="J115">
        <v>92.1875</v>
      </c>
      <c r="K115">
        <v>5</v>
      </c>
    </row>
    <row r="116" spans="6:11" x14ac:dyDescent="0.35">
      <c r="F116">
        <v>90</v>
      </c>
      <c r="G116">
        <v>3.0802125301689935</v>
      </c>
      <c r="H116">
        <v>-1.0802125301689935</v>
      </c>
      <c r="J116">
        <v>93.229166666666671</v>
      </c>
      <c r="K116">
        <v>5</v>
      </c>
    </row>
    <row r="117" spans="6:11" x14ac:dyDescent="0.35">
      <c r="F117">
        <v>91</v>
      </c>
      <c r="G117">
        <v>3.7350403199305444</v>
      </c>
      <c r="H117">
        <v>-0.73504031993054442</v>
      </c>
      <c r="J117">
        <v>94.270833333333329</v>
      </c>
      <c r="K117">
        <v>5</v>
      </c>
    </row>
    <row r="118" spans="6:11" x14ac:dyDescent="0.35">
      <c r="F118">
        <v>92</v>
      </c>
      <c r="G118">
        <v>3.3180520900590578</v>
      </c>
      <c r="H118">
        <v>-1.3180520900590578</v>
      </c>
      <c r="J118">
        <v>95.3125</v>
      </c>
      <c r="K118">
        <v>5</v>
      </c>
    </row>
    <row r="119" spans="6:11" x14ac:dyDescent="0.35">
      <c r="F119">
        <v>93</v>
      </c>
      <c r="G119">
        <v>2.7565753973310088</v>
      </c>
      <c r="H119">
        <v>-0.75657539733100876</v>
      </c>
      <c r="J119">
        <v>96.354166666666671</v>
      </c>
      <c r="K119">
        <v>5</v>
      </c>
    </row>
    <row r="120" spans="6:11" x14ac:dyDescent="0.35">
      <c r="F120">
        <v>94</v>
      </c>
      <c r="G120">
        <v>1.1518818759525624</v>
      </c>
      <c r="H120">
        <v>-0.15188187595256242</v>
      </c>
      <c r="J120">
        <v>97.395833333333329</v>
      </c>
      <c r="K120">
        <v>5</v>
      </c>
    </row>
    <row r="121" spans="6:11" x14ac:dyDescent="0.35">
      <c r="F121">
        <v>95</v>
      </c>
      <c r="G121">
        <v>1.1518818759525624</v>
      </c>
      <c r="H121">
        <v>-0.15188187595256242</v>
      </c>
      <c r="J121">
        <v>98.4375</v>
      </c>
      <c r="K121">
        <v>5</v>
      </c>
    </row>
    <row r="122" spans="6:11" ht="15" thickBot="1" x14ac:dyDescent="0.4">
      <c r="F122" s="15">
        <v>96</v>
      </c>
      <c r="G122" s="15">
        <v>3.0802125301689935</v>
      </c>
      <c r="H122" s="15">
        <v>-8.0212530168993545E-2</v>
      </c>
      <c r="J122" s="15">
        <v>99.479166666666671</v>
      </c>
      <c r="K122" s="15">
        <v>5</v>
      </c>
    </row>
  </sheetData>
  <sortState xmlns:xlrd2="http://schemas.microsoft.com/office/spreadsheetml/2017/richdata2" ref="K27:K122">
    <sortCondition ref="K2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56A6-6C86-4BA4-8CF2-3A05EF7338EE}">
  <dimension ref="A1:F50"/>
  <sheetViews>
    <sheetView workbookViewId="0">
      <selection activeCell="G8" sqref="G8"/>
    </sheetView>
  </sheetViews>
  <sheetFormatPr defaultRowHeight="14.5" x14ac:dyDescent="0.35"/>
  <cols>
    <col min="4" max="4" width="41.90625" bestFit="1" customWidth="1"/>
    <col min="5" max="5" width="18.26953125" bestFit="1" customWidth="1"/>
    <col min="6" max="6" width="20" bestFit="1" customWidth="1"/>
  </cols>
  <sheetData>
    <row r="1" spans="1:6" x14ac:dyDescent="0.35">
      <c r="A1" t="s">
        <v>106</v>
      </c>
      <c r="B1" t="s">
        <v>107</v>
      </c>
      <c r="D1" t="s">
        <v>108</v>
      </c>
    </row>
    <row r="2" spans="1:6" ht="15" thickBot="1" x14ac:dyDescent="0.4">
      <c r="A2" cm="1">
        <f t="array" ref="A2:A50">_xlfn._xlws.FILTER(Sheet1!$V$17:$V$112, Sheet1!$B$17:$B$112=1)</f>
        <v>4.2</v>
      </c>
      <c r="B2" cm="1">
        <f t="array" ref="B2">IFERROR(INDEX(Sheet1!$V$17:$V$112, SMALL(IF(Sheet1!$B$17:$B$112=2, ROW(Sheet1!$V$17:$V$112)-ROW(Sheet1!$V$17)+1), ROW(1:1))), "")</f>
        <v>3.4</v>
      </c>
    </row>
    <row r="3" spans="1:6" x14ac:dyDescent="0.35">
      <c r="A3">
        <v>5</v>
      </c>
      <c r="B3" cm="1">
        <f t="array" ref="B3">IFERROR(INDEX(Sheet1!$V$17:$V$112, SMALL(IF(Sheet1!$B$17:$B$112=2, ROW(Sheet1!$V$17:$V$112)-ROW(Sheet1!$V$17)+1), ROW(2:2))), "")</f>
        <v>3.2</v>
      </c>
      <c r="D3" s="16"/>
      <c r="E3" s="16" t="s">
        <v>106</v>
      </c>
      <c r="F3" s="16" t="s">
        <v>107</v>
      </c>
    </row>
    <row r="4" spans="1:6" x14ac:dyDescent="0.35">
      <c r="A4">
        <v>4</v>
      </c>
      <c r="B4" cm="1">
        <f t="array" ref="B4">IFERROR(INDEX(Sheet1!$V$17:$V$112, SMALL(IF(Sheet1!$B$17:$B$112=2, ROW(Sheet1!$V$17:$V$112)-ROW(Sheet1!$V$17)+1), ROW(3:3))), "")</f>
        <v>2.2000000000000002</v>
      </c>
      <c r="D4" t="s">
        <v>109</v>
      </c>
      <c r="E4">
        <v>3.538775510204081</v>
      </c>
      <c r="F4">
        <v>2.9957446808510646</v>
      </c>
    </row>
    <row r="5" spans="1:6" x14ac:dyDescent="0.35">
      <c r="A5">
        <v>5</v>
      </c>
      <c r="B5" cm="1">
        <f t="array" ref="B5">IFERROR(INDEX(Sheet1!$V$17:$V$112, SMALL(IF(Sheet1!$B$17:$B$112=2, ROW(Sheet1!$V$17:$V$112)-ROW(Sheet1!$V$17)+1), ROW(4:4))), "")</f>
        <v>3</v>
      </c>
      <c r="D5" t="s">
        <v>110</v>
      </c>
      <c r="E5">
        <v>1.2136734693877596</v>
      </c>
      <c r="F5">
        <v>1.2165032377428258</v>
      </c>
    </row>
    <row r="6" spans="1:6" x14ac:dyDescent="0.35">
      <c r="A6">
        <v>4.2</v>
      </c>
      <c r="B6" cm="1">
        <f t="array" ref="B6">IFERROR(INDEX(Sheet1!$V$17:$V$112, SMALL(IF(Sheet1!$B$17:$B$112=2, ROW(Sheet1!$V$17:$V$112)-ROW(Sheet1!$V$17)+1), ROW(5:5))), "")</f>
        <v>2.2000000000000002</v>
      </c>
      <c r="D6" t="s">
        <v>82</v>
      </c>
      <c r="E6">
        <v>49</v>
      </c>
      <c r="F6">
        <v>47</v>
      </c>
    </row>
    <row r="7" spans="1:6" x14ac:dyDescent="0.35">
      <c r="A7">
        <v>2.2000000000000002</v>
      </c>
      <c r="B7" cm="1">
        <f t="array" ref="B7">IFERROR(INDEX(Sheet1!$V$17:$V$112, SMALL(IF(Sheet1!$B$17:$B$112=2, ROW(Sheet1!$V$17:$V$112)-ROW(Sheet1!$V$17)+1), ROW(6:6))), "")</f>
        <v>1.8</v>
      </c>
      <c r="D7" t="s">
        <v>111</v>
      </c>
      <c r="E7">
        <v>0</v>
      </c>
    </row>
    <row r="8" spans="1:6" x14ac:dyDescent="0.35">
      <c r="A8">
        <v>2.8</v>
      </c>
      <c r="B8" cm="1">
        <f t="array" ref="B8">IFERROR(INDEX(Sheet1!$V$17:$V$112, SMALL(IF(Sheet1!$B$17:$B$112=2, ROW(Sheet1!$V$17:$V$112)-ROW(Sheet1!$V$17)+1), ROW(7:7))), "")</f>
        <v>2.4</v>
      </c>
      <c r="D8" t="s">
        <v>88</v>
      </c>
      <c r="E8">
        <v>94</v>
      </c>
    </row>
    <row r="9" spans="1:6" x14ac:dyDescent="0.35">
      <c r="A9">
        <v>1.4</v>
      </c>
      <c r="B9" cm="1">
        <f t="array" ref="B9">IFERROR(INDEX(Sheet1!$V$17:$V$112, SMALL(IF(Sheet1!$B$17:$B$112=2, ROW(Sheet1!$V$17:$V$112)-ROW(Sheet1!$V$17)+1), ROW(8:8))), "")</f>
        <v>2.8</v>
      </c>
      <c r="D9" t="s">
        <v>94</v>
      </c>
      <c r="E9">
        <v>2.4128295443597301</v>
      </c>
    </row>
    <row r="10" spans="1:6" x14ac:dyDescent="0.35">
      <c r="A10">
        <v>2.6</v>
      </c>
      <c r="B10" cm="1">
        <f t="array" ref="B10">IFERROR(INDEX(Sheet1!$V$17:$V$112, SMALL(IF(Sheet1!$B$17:$B$112=2, ROW(Sheet1!$V$17:$V$112)-ROW(Sheet1!$V$17)+1), ROW(9:9))), "")</f>
        <v>1.6</v>
      </c>
      <c r="D10" t="s">
        <v>112</v>
      </c>
      <c r="E10">
        <v>8.8845819641309876E-3</v>
      </c>
    </row>
    <row r="11" spans="1:6" x14ac:dyDescent="0.35">
      <c r="A11">
        <v>4.5999999999999996</v>
      </c>
      <c r="B11" cm="1">
        <f t="array" ref="B11">IFERROR(INDEX(Sheet1!$V$17:$V$112, SMALL(IF(Sheet1!$B$17:$B$112=2, ROW(Sheet1!$V$17:$V$112)-ROW(Sheet1!$V$17)+1), ROW(10:10))), "")</f>
        <v>2.2000000000000002</v>
      </c>
      <c r="D11" t="s">
        <v>113</v>
      </c>
      <c r="E11">
        <v>1.6612258552965111</v>
      </c>
    </row>
    <row r="12" spans="1:6" x14ac:dyDescent="0.35">
      <c r="A12">
        <v>3.4</v>
      </c>
      <c r="B12" cm="1">
        <f t="array" ref="B12">IFERROR(INDEX(Sheet1!$V$17:$V$112, SMALL(IF(Sheet1!$B$17:$B$112=2, ROW(Sheet1!$V$17:$V$112)-ROW(Sheet1!$V$17)+1), ROW(11:11))), "")</f>
        <v>1.4</v>
      </c>
      <c r="D12" t="s">
        <v>114</v>
      </c>
      <c r="E12">
        <v>1.7769163928261975E-2</v>
      </c>
    </row>
    <row r="13" spans="1:6" ht="15" thickBot="1" x14ac:dyDescent="0.4">
      <c r="A13">
        <v>4.4000000000000004</v>
      </c>
      <c r="B13" cm="1">
        <f t="array" ref="B13">IFERROR(INDEX(Sheet1!$V$17:$V$112, SMALL(IF(Sheet1!$B$17:$B$112=2, ROW(Sheet1!$V$17:$V$112)-ROW(Sheet1!$V$17)+1), ROW(12:12))), "")</f>
        <v>4.8</v>
      </c>
      <c r="D13" s="15" t="s">
        <v>115</v>
      </c>
      <c r="E13" s="15">
        <v>1.9855234418666059</v>
      </c>
      <c r="F13" s="15"/>
    </row>
    <row r="14" spans="1:6" x14ac:dyDescent="0.35">
      <c r="A14">
        <v>4.2</v>
      </c>
      <c r="B14" cm="1">
        <f t="array" ref="B14">IFERROR(INDEX(Sheet1!$V$17:$V$112, SMALL(IF(Sheet1!$B$17:$B$112=2, ROW(Sheet1!$V$17:$V$112)-ROW(Sheet1!$V$17)+1), ROW(13:13))), "")</f>
        <v>4.4000000000000004</v>
      </c>
    </row>
    <row r="15" spans="1:6" x14ac:dyDescent="0.35">
      <c r="A15">
        <v>3.4</v>
      </c>
      <c r="B15" cm="1">
        <f t="array" ref="B15">IFERROR(INDEX(Sheet1!$V$17:$V$112, SMALL(IF(Sheet1!$B$17:$B$112=2, ROW(Sheet1!$V$17:$V$112)-ROW(Sheet1!$V$17)+1), ROW(14:14))), "")</f>
        <v>3.6</v>
      </c>
    </row>
    <row r="16" spans="1:6" x14ac:dyDescent="0.35">
      <c r="A16">
        <v>4.5999999999999996</v>
      </c>
      <c r="B16" cm="1">
        <f t="array" ref="B16">IFERROR(INDEX(Sheet1!$V$17:$V$112, SMALL(IF(Sheet1!$B$17:$B$112=2, ROW(Sheet1!$V$17:$V$112)-ROW(Sheet1!$V$17)+1), ROW(15:15))), "")</f>
        <v>1.2</v>
      </c>
    </row>
    <row r="17" spans="1:2" x14ac:dyDescent="0.35">
      <c r="A17">
        <v>4</v>
      </c>
      <c r="B17" cm="1">
        <f t="array" ref="B17">IFERROR(INDEX(Sheet1!$V$17:$V$112, SMALL(IF(Sheet1!$B$17:$B$112=2, ROW(Sheet1!$V$17:$V$112)-ROW(Sheet1!$V$17)+1), ROW(16:16))), "")</f>
        <v>1.6</v>
      </c>
    </row>
    <row r="18" spans="1:2" x14ac:dyDescent="0.35">
      <c r="A18">
        <v>3</v>
      </c>
      <c r="B18" cm="1">
        <f t="array" ref="B18">IFERROR(INDEX(Sheet1!$V$17:$V$112, SMALL(IF(Sheet1!$B$17:$B$112=2, ROW(Sheet1!$V$17:$V$112)-ROW(Sheet1!$V$17)+1), ROW(17:17))), "")</f>
        <v>4.4000000000000004</v>
      </c>
    </row>
    <row r="19" spans="1:2" x14ac:dyDescent="0.35">
      <c r="A19">
        <v>4.2</v>
      </c>
      <c r="B19" cm="1">
        <f t="array" ref="B19">IFERROR(INDEX(Sheet1!$V$17:$V$112, SMALL(IF(Sheet1!$B$17:$B$112=2, ROW(Sheet1!$V$17:$V$112)-ROW(Sheet1!$V$17)+1), ROW(18:18))), "")</f>
        <v>4.5999999999999996</v>
      </c>
    </row>
    <row r="20" spans="1:2" x14ac:dyDescent="0.35">
      <c r="A20">
        <v>3</v>
      </c>
      <c r="B20" cm="1">
        <f t="array" ref="B20">IFERROR(INDEX(Sheet1!$V$17:$V$112, SMALL(IF(Sheet1!$B$17:$B$112=2, ROW(Sheet1!$V$17:$V$112)-ROW(Sheet1!$V$17)+1), ROW(19:19))), "")</f>
        <v>2.4</v>
      </c>
    </row>
    <row r="21" spans="1:2" x14ac:dyDescent="0.35">
      <c r="A21">
        <v>3.6</v>
      </c>
      <c r="B21" cm="1">
        <f t="array" ref="B21">IFERROR(INDEX(Sheet1!$V$17:$V$112, SMALL(IF(Sheet1!$B$17:$B$112=2, ROW(Sheet1!$V$17:$V$112)-ROW(Sheet1!$V$17)+1), ROW(20:20))), "")</f>
        <v>2.2000000000000002</v>
      </c>
    </row>
    <row r="22" spans="1:2" x14ac:dyDescent="0.35">
      <c r="A22">
        <v>4.4000000000000004</v>
      </c>
      <c r="B22" cm="1">
        <f t="array" ref="B22">IFERROR(INDEX(Sheet1!$V$17:$V$112, SMALL(IF(Sheet1!$B$17:$B$112=2, ROW(Sheet1!$V$17:$V$112)-ROW(Sheet1!$V$17)+1), ROW(21:21))), "")</f>
        <v>4.5999999999999996</v>
      </c>
    </row>
    <row r="23" spans="1:2" x14ac:dyDescent="0.35">
      <c r="A23">
        <v>2.4</v>
      </c>
      <c r="B23" cm="1">
        <f t="array" ref="B23">IFERROR(INDEX(Sheet1!$V$17:$V$112, SMALL(IF(Sheet1!$B$17:$B$112=2, ROW(Sheet1!$V$17:$V$112)-ROW(Sheet1!$V$17)+1), ROW(22:22))), "")</f>
        <v>4.8</v>
      </c>
    </row>
    <row r="24" spans="1:2" x14ac:dyDescent="0.35">
      <c r="A24">
        <v>3</v>
      </c>
      <c r="B24" cm="1">
        <f t="array" ref="B24">IFERROR(INDEX(Sheet1!$V$17:$V$112, SMALL(IF(Sheet1!$B$17:$B$112=2, ROW(Sheet1!$V$17:$V$112)-ROW(Sheet1!$V$17)+1), ROW(23:23))), "")</f>
        <v>2</v>
      </c>
    </row>
    <row r="25" spans="1:2" x14ac:dyDescent="0.35">
      <c r="A25">
        <v>2.4</v>
      </c>
      <c r="B25" cm="1">
        <f t="array" ref="B25">IFERROR(INDEX(Sheet1!$V$17:$V$112, SMALL(IF(Sheet1!$B$17:$B$112=2, ROW(Sheet1!$V$17:$V$112)-ROW(Sheet1!$V$17)+1), ROW(24:24))), "")</f>
        <v>1.4</v>
      </c>
    </row>
    <row r="26" spans="1:2" x14ac:dyDescent="0.35">
      <c r="A26">
        <v>3</v>
      </c>
      <c r="B26" cm="1">
        <f t="array" ref="B26">IFERROR(INDEX(Sheet1!$V$17:$V$112, SMALL(IF(Sheet1!$B$17:$B$112=2, ROW(Sheet1!$V$17:$V$112)-ROW(Sheet1!$V$17)+1), ROW(25:25))), "")</f>
        <v>3.2</v>
      </c>
    </row>
    <row r="27" spans="1:2" x14ac:dyDescent="0.35">
      <c r="A27">
        <v>4.5999999999999996</v>
      </c>
      <c r="B27" cm="1">
        <f t="array" ref="B27">IFERROR(INDEX(Sheet1!$V$17:$V$112, SMALL(IF(Sheet1!$B$17:$B$112=2, ROW(Sheet1!$V$17:$V$112)-ROW(Sheet1!$V$17)+1), ROW(26:26))), "")</f>
        <v>2.2000000000000002</v>
      </c>
    </row>
    <row r="28" spans="1:2" x14ac:dyDescent="0.35">
      <c r="A28">
        <v>4.4000000000000004</v>
      </c>
      <c r="B28" cm="1">
        <f t="array" ref="B28">IFERROR(INDEX(Sheet1!$V$17:$V$112, SMALL(IF(Sheet1!$B$17:$B$112=2, ROW(Sheet1!$V$17:$V$112)-ROW(Sheet1!$V$17)+1), ROW(27:27))), "")</f>
        <v>3.2</v>
      </c>
    </row>
    <row r="29" spans="1:2" x14ac:dyDescent="0.35">
      <c r="A29">
        <v>1.6</v>
      </c>
      <c r="B29" cm="1">
        <f t="array" ref="B29">IFERROR(INDEX(Sheet1!$V$17:$V$112, SMALL(IF(Sheet1!$B$17:$B$112=2, ROW(Sheet1!$V$17:$V$112)-ROW(Sheet1!$V$17)+1), ROW(28:28))), "")</f>
        <v>4.2</v>
      </c>
    </row>
    <row r="30" spans="1:2" x14ac:dyDescent="0.35">
      <c r="A30">
        <v>4.2</v>
      </c>
      <c r="B30" cm="1">
        <f t="array" ref="B30">IFERROR(INDEX(Sheet1!$V$17:$V$112, SMALL(IF(Sheet1!$B$17:$B$112=2, ROW(Sheet1!$V$17:$V$112)-ROW(Sheet1!$V$17)+1), ROW(29:29))), "")</f>
        <v>3.8</v>
      </c>
    </row>
    <row r="31" spans="1:2" x14ac:dyDescent="0.35">
      <c r="A31">
        <v>4.8</v>
      </c>
      <c r="B31" cm="1">
        <f t="array" ref="B31">IFERROR(INDEX(Sheet1!$V$17:$V$112, SMALL(IF(Sheet1!$B$17:$B$112=2, ROW(Sheet1!$V$17:$V$112)-ROW(Sheet1!$V$17)+1), ROW(30:30))), "")</f>
        <v>3.2</v>
      </c>
    </row>
    <row r="32" spans="1:2" x14ac:dyDescent="0.35">
      <c r="A32">
        <v>4.5999999999999996</v>
      </c>
      <c r="B32" cm="1">
        <f t="array" ref="B32">IFERROR(INDEX(Sheet1!$V$17:$V$112, SMALL(IF(Sheet1!$B$17:$B$112=2, ROW(Sheet1!$V$17:$V$112)-ROW(Sheet1!$V$17)+1), ROW(31:31))), "")</f>
        <v>1.8</v>
      </c>
    </row>
    <row r="33" spans="1:2" x14ac:dyDescent="0.35">
      <c r="A33">
        <v>3.6</v>
      </c>
      <c r="B33" cm="1">
        <f t="array" ref="B33">IFERROR(INDEX(Sheet1!$V$17:$V$112, SMALL(IF(Sheet1!$B$17:$B$112=2, ROW(Sheet1!$V$17:$V$112)-ROW(Sheet1!$V$17)+1), ROW(32:32))), "")</f>
        <v>1.4</v>
      </c>
    </row>
    <row r="34" spans="1:2" x14ac:dyDescent="0.35">
      <c r="A34">
        <v>3.2</v>
      </c>
      <c r="B34" cm="1">
        <f t="array" ref="B34">IFERROR(INDEX(Sheet1!$V$17:$V$112, SMALL(IF(Sheet1!$B$17:$B$112=2, ROW(Sheet1!$V$17:$V$112)-ROW(Sheet1!$V$17)+1), ROW(33:33))), "")</f>
        <v>1.8</v>
      </c>
    </row>
    <row r="35" spans="1:2" x14ac:dyDescent="0.35">
      <c r="A35">
        <v>2.2000000000000002</v>
      </c>
      <c r="B35" cm="1">
        <f t="array" ref="B35">IFERROR(INDEX(Sheet1!$V$17:$V$112, SMALL(IF(Sheet1!$B$17:$B$112=2, ROW(Sheet1!$V$17:$V$112)-ROW(Sheet1!$V$17)+1), ROW(34:34))), "")</f>
        <v>3.8</v>
      </c>
    </row>
    <row r="36" spans="1:2" x14ac:dyDescent="0.35">
      <c r="A36">
        <v>4.2</v>
      </c>
      <c r="B36" cm="1">
        <f t="array" ref="B36">IFERROR(INDEX(Sheet1!$V$17:$V$112, SMALL(IF(Sheet1!$B$17:$B$112=2, ROW(Sheet1!$V$17:$V$112)-ROW(Sheet1!$V$17)+1), ROW(35:35))), "")</f>
        <v>2.8</v>
      </c>
    </row>
    <row r="37" spans="1:2" x14ac:dyDescent="0.35">
      <c r="A37">
        <v>4.8</v>
      </c>
      <c r="B37" cm="1">
        <f t="array" ref="B37">IFERROR(INDEX(Sheet1!$V$17:$V$112, SMALL(IF(Sheet1!$B$17:$B$112=2, ROW(Sheet1!$V$17:$V$112)-ROW(Sheet1!$V$17)+1), ROW(36:36))), "")</f>
        <v>3</v>
      </c>
    </row>
    <row r="38" spans="1:2" x14ac:dyDescent="0.35">
      <c r="A38">
        <v>4.2</v>
      </c>
      <c r="B38" cm="1">
        <f t="array" ref="B38">IFERROR(INDEX(Sheet1!$V$17:$V$112, SMALL(IF(Sheet1!$B$17:$B$112=2, ROW(Sheet1!$V$17:$V$112)-ROW(Sheet1!$V$17)+1), ROW(37:37))), "")</f>
        <v>4.5999999999999996</v>
      </c>
    </row>
    <row r="39" spans="1:2" x14ac:dyDescent="0.35">
      <c r="A39">
        <v>4.8</v>
      </c>
      <c r="B39" cm="1">
        <f t="array" ref="B39">IFERROR(INDEX(Sheet1!$V$17:$V$112, SMALL(IF(Sheet1!$B$17:$B$112=2, ROW(Sheet1!$V$17:$V$112)-ROW(Sheet1!$V$17)+1), ROW(38:38))), "")</f>
        <v>2.6</v>
      </c>
    </row>
    <row r="40" spans="1:2" x14ac:dyDescent="0.35">
      <c r="A40">
        <v>1.4</v>
      </c>
      <c r="B40" cm="1">
        <f t="array" ref="B40">IFERROR(INDEX(Sheet1!$V$17:$V$112, SMALL(IF(Sheet1!$B$17:$B$112=2, ROW(Sheet1!$V$17:$V$112)-ROW(Sheet1!$V$17)+1), ROW(39:39))), "")</f>
        <v>5</v>
      </c>
    </row>
    <row r="41" spans="1:2" x14ac:dyDescent="0.35">
      <c r="A41">
        <v>4.2</v>
      </c>
      <c r="B41" cm="1">
        <f t="array" ref="B41">IFERROR(INDEX(Sheet1!$V$17:$V$112, SMALL(IF(Sheet1!$B$17:$B$112=2, ROW(Sheet1!$V$17:$V$112)-ROW(Sheet1!$V$17)+1), ROW(40:40))), "")</f>
        <v>2.6</v>
      </c>
    </row>
    <row r="42" spans="1:2" x14ac:dyDescent="0.35">
      <c r="A42">
        <v>4.5999999999999996</v>
      </c>
      <c r="B42" cm="1">
        <f t="array" ref="B42">IFERROR(INDEX(Sheet1!$V$17:$V$112, SMALL(IF(Sheet1!$B$17:$B$112=2, ROW(Sheet1!$V$17:$V$112)-ROW(Sheet1!$V$17)+1), ROW(41:41))), "")</f>
        <v>4.4000000000000004</v>
      </c>
    </row>
    <row r="43" spans="1:2" x14ac:dyDescent="0.35">
      <c r="A43">
        <v>3.8</v>
      </c>
      <c r="B43" cm="1">
        <f t="array" ref="B43">IFERROR(INDEX(Sheet1!$V$17:$V$112, SMALL(IF(Sheet1!$B$17:$B$112=2, ROW(Sheet1!$V$17:$V$112)-ROW(Sheet1!$V$17)+1), ROW(42:42))), "")</f>
        <v>4</v>
      </c>
    </row>
    <row r="44" spans="1:2" x14ac:dyDescent="0.35">
      <c r="A44">
        <v>1.2</v>
      </c>
      <c r="B44" cm="1">
        <f t="array" ref="B44">IFERROR(INDEX(Sheet1!$V$17:$V$112, SMALL(IF(Sheet1!$B$17:$B$112=2, ROW(Sheet1!$V$17:$V$112)-ROW(Sheet1!$V$17)+1), ROW(43:43))), "")</f>
        <v>2.8</v>
      </c>
    </row>
    <row r="45" spans="1:2" x14ac:dyDescent="0.35">
      <c r="A45">
        <v>1</v>
      </c>
      <c r="B45" cm="1">
        <f t="array" ref="B45">IFERROR(INDEX(Sheet1!$V$17:$V$112, SMALL(IF(Sheet1!$B$17:$B$112=2, ROW(Sheet1!$V$17:$V$112)-ROW(Sheet1!$V$17)+1), ROW(44:44))), "")</f>
        <v>2</v>
      </c>
    </row>
    <row r="46" spans="1:2" x14ac:dyDescent="0.35">
      <c r="A46">
        <v>3.6</v>
      </c>
      <c r="B46" cm="1">
        <f t="array" ref="B46">IFERROR(INDEX(Sheet1!$V$17:$V$112, SMALL(IF(Sheet1!$B$17:$B$112=2, ROW(Sheet1!$V$17:$V$112)-ROW(Sheet1!$V$17)+1), ROW(45:45))), "")</f>
        <v>3</v>
      </c>
    </row>
    <row r="47" spans="1:2" x14ac:dyDescent="0.35">
      <c r="A47">
        <v>2</v>
      </c>
      <c r="B47" cm="1">
        <f t="array" ref="B47">IFERROR(INDEX(Sheet1!$V$17:$V$112, SMALL(IF(Sheet1!$B$17:$B$112=2, ROW(Sheet1!$V$17:$V$112)-ROW(Sheet1!$V$17)+1), ROW(46:46))), "")</f>
        <v>4.4000000000000004</v>
      </c>
    </row>
    <row r="48" spans="1:2" x14ac:dyDescent="0.35">
      <c r="A48">
        <v>3.2</v>
      </c>
      <c r="B48" cm="1">
        <f t="array" ref="B48">IFERROR(INDEX(Sheet1!$V$17:$V$112, SMALL(IF(Sheet1!$B$17:$B$112=2, ROW(Sheet1!$V$17:$V$112)-ROW(Sheet1!$V$17)+1), ROW(47:47))), "")</f>
        <v>2.8</v>
      </c>
    </row>
    <row r="49" spans="1:2" x14ac:dyDescent="0.35">
      <c r="A49">
        <v>3.6</v>
      </c>
      <c r="B49" t="str" cm="1">
        <f t="array" ref="B49">IFERROR(INDEX(Sheet1!$V$17:$V$112, SMALL(IF(Sheet1!$B$17:$B$112=2, ROW(Sheet1!$V$17:$V$112)-ROW(Sheet1!$V$17)+1), ROW(48:48))), "")</f>
        <v/>
      </c>
    </row>
    <row r="50" spans="1:2" x14ac:dyDescent="0.35">
      <c r="A50">
        <v>4.5999999999999996</v>
      </c>
      <c r="B50" t="str" cm="1">
        <f t="array" ref="B50">IFERROR(INDEX(Sheet1!$V$17:$V$112, SMALL(IF(Sheet1!$B$17:$B$112=2, ROW(Sheet1!$V$17:$V$112)-ROW(Sheet1!$V$17)+1), ROW(49:49))), 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A5D8-B1C0-4DFE-A6CD-B021739C32C5}">
  <dimension ref="A1:M28"/>
  <sheetViews>
    <sheetView tabSelected="1" topLeftCell="B1" workbookViewId="0">
      <selection activeCell="Q10" sqref="Q10"/>
    </sheetView>
  </sheetViews>
  <sheetFormatPr defaultRowHeight="14.5" x14ac:dyDescent="0.35"/>
  <cols>
    <col min="7" max="7" width="17.7265625" bestFit="1" customWidth="1"/>
    <col min="10" max="13" width="11.81640625" bestFit="1" customWidth="1"/>
  </cols>
  <sheetData>
    <row r="1" spans="1:13" x14ac:dyDescent="0.3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G1" t="s">
        <v>121</v>
      </c>
    </row>
    <row r="2" spans="1:13" x14ac:dyDescent="0.35">
      <c r="A2" cm="1">
        <f t="array" ref="A2:A7">_xlfn._xlws.FILTER(Sheet1!$N$17:$N$112, Sheet1!$E$17:$E$112=1)</f>
        <v>5</v>
      </c>
      <c r="B2" cm="1">
        <f t="array" ref="B2:B24">_xlfn._xlws.FILTER(Sheet1!$N$17:$N$112, Sheet1!$E$17:$E$112=2)</f>
        <v>4</v>
      </c>
      <c r="C2" cm="1">
        <f t="array" ref="C2:C24">_xlfn._xlws.FILTER(Sheet1!$N$17:$N$112, Sheet1!$E$17:$E$112=3)</f>
        <v>3</v>
      </c>
      <c r="D2" cm="1">
        <f t="array" ref="D2:D28">_xlfn._xlws.FILTER(Sheet1!$N$17:$N$112, Sheet1!$E$17:$E$112=4)</f>
        <v>2</v>
      </c>
      <c r="E2" cm="1">
        <f t="array" ref="E2:E18">_xlfn._xlws.FILTER(Sheet1!$N$17:$N$112, Sheet1!$E$17:$E$112=5)</f>
        <v>1</v>
      </c>
    </row>
    <row r="3" spans="1:13" ht="15" thickBot="1" x14ac:dyDescent="0.4">
      <c r="A3">
        <v>5</v>
      </c>
      <c r="B3">
        <v>4</v>
      </c>
      <c r="C3">
        <v>4</v>
      </c>
      <c r="D3">
        <v>2</v>
      </c>
      <c r="E3">
        <v>1</v>
      </c>
      <c r="G3" t="s">
        <v>122</v>
      </c>
    </row>
    <row r="4" spans="1:13" x14ac:dyDescent="0.35">
      <c r="A4">
        <v>5</v>
      </c>
      <c r="B4">
        <v>4</v>
      </c>
      <c r="C4">
        <v>3</v>
      </c>
      <c r="D4">
        <v>2</v>
      </c>
      <c r="E4">
        <v>2</v>
      </c>
      <c r="G4" s="16" t="s">
        <v>123</v>
      </c>
      <c r="H4" s="16" t="s">
        <v>124</v>
      </c>
      <c r="I4" s="16" t="s">
        <v>125</v>
      </c>
      <c r="J4" s="16" t="s">
        <v>126</v>
      </c>
      <c r="K4" s="16" t="s">
        <v>110</v>
      </c>
    </row>
    <row r="5" spans="1:13" x14ac:dyDescent="0.35">
      <c r="A5">
        <v>5</v>
      </c>
      <c r="B5">
        <v>3</v>
      </c>
      <c r="C5">
        <v>4</v>
      </c>
      <c r="D5">
        <v>1</v>
      </c>
      <c r="E5">
        <v>1</v>
      </c>
      <c r="G5" t="s">
        <v>116</v>
      </c>
      <c r="H5">
        <v>6</v>
      </c>
      <c r="I5">
        <v>30</v>
      </c>
      <c r="J5">
        <v>5</v>
      </c>
      <c r="K5">
        <v>0</v>
      </c>
    </row>
    <row r="6" spans="1:13" x14ac:dyDescent="0.35">
      <c r="A6">
        <v>5</v>
      </c>
      <c r="B6">
        <v>5</v>
      </c>
      <c r="C6">
        <v>4</v>
      </c>
      <c r="D6">
        <v>3</v>
      </c>
      <c r="E6">
        <v>1</v>
      </c>
      <c r="G6" t="s">
        <v>117</v>
      </c>
      <c r="H6">
        <v>23</v>
      </c>
      <c r="I6">
        <v>91</v>
      </c>
      <c r="J6">
        <v>3.9565217391304346</v>
      </c>
      <c r="K6">
        <v>0.49802371541501989</v>
      </c>
    </row>
    <row r="7" spans="1:13" x14ac:dyDescent="0.35">
      <c r="A7">
        <v>5</v>
      </c>
      <c r="B7">
        <v>3</v>
      </c>
      <c r="C7">
        <v>2</v>
      </c>
      <c r="D7">
        <v>1</v>
      </c>
      <c r="E7">
        <v>2</v>
      </c>
      <c r="G7" t="s">
        <v>118</v>
      </c>
      <c r="H7">
        <v>23</v>
      </c>
      <c r="I7">
        <v>70</v>
      </c>
      <c r="J7">
        <v>3.0434782608695654</v>
      </c>
      <c r="K7">
        <v>0.77075098814229259</v>
      </c>
    </row>
    <row r="8" spans="1:13" x14ac:dyDescent="0.35">
      <c r="B8">
        <v>4</v>
      </c>
      <c r="C8">
        <v>4</v>
      </c>
      <c r="D8">
        <v>2</v>
      </c>
      <c r="E8">
        <v>2</v>
      </c>
      <c r="G8" t="s">
        <v>119</v>
      </c>
      <c r="H8">
        <v>27</v>
      </c>
      <c r="I8">
        <v>56</v>
      </c>
      <c r="J8">
        <v>2.074074074074074</v>
      </c>
      <c r="K8">
        <v>0.60968660968660948</v>
      </c>
    </row>
    <row r="9" spans="1:13" ht="15" thickBot="1" x14ac:dyDescent="0.4">
      <c r="B9">
        <v>3</v>
      </c>
      <c r="C9">
        <v>2</v>
      </c>
      <c r="D9">
        <v>2</v>
      </c>
      <c r="E9">
        <v>1</v>
      </c>
      <c r="G9" s="15" t="s">
        <v>120</v>
      </c>
      <c r="H9" s="15">
        <v>17</v>
      </c>
      <c r="I9" s="15">
        <v>23</v>
      </c>
      <c r="J9" s="15">
        <v>1.3529411764705883</v>
      </c>
      <c r="K9" s="15">
        <v>0.24264705882352944</v>
      </c>
    </row>
    <row r="10" spans="1:13" x14ac:dyDescent="0.35">
      <c r="B10">
        <v>4</v>
      </c>
      <c r="C10">
        <v>3</v>
      </c>
      <c r="D10">
        <v>3</v>
      </c>
      <c r="E10">
        <v>2</v>
      </c>
    </row>
    <row r="11" spans="1:13" x14ac:dyDescent="0.35">
      <c r="B11">
        <v>4</v>
      </c>
      <c r="C11">
        <v>4</v>
      </c>
      <c r="D11">
        <v>1</v>
      </c>
      <c r="E11">
        <v>1</v>
      </c>
    </row>
    <row r="12" spans="1:13" ht="15" thickBot="1" x14ac:dyDescent="0.4">
      <c r="B12">
        <v>5</v>
      </c>
      <c r="C12">
        <v>4</v>
      </c>
      <c r="D12">
        <v>2</v>
      </c>
      <c r="E12">
        <v>1</v>
      </c>
      <c r="G12" t="s">
        <v>83</v>
      </c>
    </row>
    <row r="13" spans="1:13" x14ac:dyDescent="0.35">
      <c r="B13">
        <v>5</v>
      </c>
      <c r="C13">
        <v>4</v>
      </c>
      <c r="D13">
        <v>1</v>
      </c>
      <c r="E13">
        <v>1</v>
      </c>
      <c r="G13" s="16" t="s">
        <v>127</v>
      </c>
      <c r="H13" s="16" t="s">
        <v>89</v>
      </c>
      <c r="I13" s="16" t="s">
        <v>88</v>
      </c>
      <c r="J13" s="16" t="s">
        <v>90</v>
      </c>
      <c r="K13" s="16" t="s">
        <v>91</v>
      </c>
      <c r="L13" s="16" t="s">
        <v>95</v>
      </c>
      <c r="M13" s="16" t="s">
        <v>128</v>
      </c>
    </row>
    <row r="14" spans="1:13" x14ac:dyDescent="0.35">
      <c r="B14">
        <v>4</v>
      </c>
      <c r="C14">
        <v>2</v>
      </c>
      <c r="D14">
        <v>1</v>
      </c>
      <c r="E14">
        <v>2</v>
      </c>
      <c r="G14" t="s">
        <v>129</v>
      </c>
      <c r="H14">
        <v>110.97775172871081</v>
      </c>
      <c r="I14">
        <v>4</v>
      </c>
      <c r="J14">
        <v>27.744437932177703</v>
      </c>
      <c r="K14">
        <v>52.988240526567957</v>
      </c>
      <c r="L14">
        <v>5.6249717576828344E-23</v>
      </c>
      <c r="M14">
        <v>2.4717914888768804</v>
      </c>
    </row>
    <row r="15" spans="1:13" x14ac:dyDescent="0.35">
      <c r="B15">
        <v>4</v>
      </c>
      <c r="C15">
        <v>3</v>
      </c>
      <c r="D15">
        <v>3</v>
      </c>
      <c r="E15">
        <v>1</v>
      </c>
      <c r="G15" t="s">
        <v>130</v>
      </c>
      <c r="H15">
        <v>47.647248271289186</v>
      </c>
      <c r="I15">
        <v>91</v>
      </c>
      <c r="J15">
        <v>0.52359613484933176</v>
      </c>
    </row>
    <row r="16" spans="1:13" x14ac:dyDescent="0.35">
      <c r="B16">
        <v>4</v>
      </c>
      <c r="C16">
        <v>2</v>
      </c>
      <c r="D16">
        <v>2</v>
      </c>
      <c r="E16">
        <v>2</v>
      </c>
    </row>
    <row r="17" spans="2:13" ht="15" thickBot="1" x14ac:dyDescent="0.4">
      <c r="B17">
        <v>5</v>
      </c>
      <c r="C17">
        <v>4</v>
      </c>
      <c r="D17">
        <v>2</v>
      </c>
      <c r="E17">
        <v>1</v>
      </c>
      <c r="G17" s="15" t="s">
        <v>86</v>
      </c>
      <c r="H17" s="15">
        <v>158.625</v>
      </c>
      <c r="I17" s="15">
        <v>95</v>
      </c>
      <c r="J17" s="15"/>
      <c r="K17" s="15"/>
      <c r="L17" s="15"/>
      <c r="M17" s="15"/>
    </row>
    <row r="18" spans="2:13" x14ac:dyDescent="0.35">
      <c r="B18">
        <v>4</v>
      </c>
      <c r="C18">
        <v>2</v>
      </c>
      <c r="D18">
        <v>3</v>
      </c>
      <c r="E18">
        <v>1</v>
      </c>
    </row>
    <row r="19" spans="2:13" x14ac:dyDescent="0.35">
      <c r="B19">
        <v>5</v>
      </c>
      <c r="C19">
        <v>3</v>
      </c>
      <c r="D19">
        <v>1</v>
      </c>
    </row>
    <row r="20" spans="2:13" x14ac:dyDescent="0.35">
      <c r="B20">
        <v>4</v>
      </c>
      <c r="C20">
        <v>4</v>
      </c>
      <c r="D20">
        <v>2</v>
      </c>
    </row>
    <row r="21" spans="2:13" x14ac:dyDescent="0.35">
      <c r="B21">
        <v>4</v>
      </c>
      <c r="C21">
        <v>2</v>
      </c>
      <c r="D21">
        <v>3</v>
      </c>
    </row>
    <row r="22" spans="2:13" x14ac:dyDescent="0.35">
      <c r="B22">
        <v>3</v>
      </c>
      <c r="C22">
        <v>2</v>
      </c>
      <c r="D22">
        <v>1</v>
      </c>
    </row>
    <row r="23" spans="2:13" x14ac:dyDescent="0.35">
      <c r="B23">
        <v>3</v>
      </c>
      <c r="C23">
        <v>2</v>
      </c>
      <c r="D23">
        <v>2</v>
      </c>
    </row>
    <row r="24" spans="2:13" x14ac:dyDescent="0.35">
      <c r="B24">
        <v>3</v>
      </c>
      <c r="C24">
        <v>3</v>
      </c>
      <c r="D24">
        <v>3</v>
      </c>
    </row>
    <row r="25" spans="2:13" x14ac:dyDescent="0.35">
      <c r="D25">
        <v>3</v>
      </c>
    </row>
    <row r="26" spans="2:13" x14ac:dyDescent="0.35">
      <c r="D26">
        <v>3</v>
      </c>
    </row>
    <row r="27" spans="2:13" x14ac:dyDescent="0.35">
      <c r="D27">
        <v>2</v>
      </c>
    </row>
    <row r="28" spans="2:13" x14ac:dyDescent="0.35">
      <c r="D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Sheet2_Descriptives</vt:lpstr>
      <vt:lpstr>Sheet3_Correlation</vt:lpstr>
      <vt:lpstr>Sheet4_Regression</vt:lpstr>
      <vt:lpstr>Sheet5_TTest</vt:lpstr>
      <vt:lpstr>ANOVA_Data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2026-06-07T18:30:47Z</dcterms:created>
  <dcterms:modified xsi:type="dcterms:W3CDTF">2026-10-23T17:28:13Z</dcterms:modified>
</cp:coreProperties>
</file>