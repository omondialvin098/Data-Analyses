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EE52D8-2997-4B44-89D4-A099922B4403}" xr6:coauthVersionLast="47" xr6:coauthVersionMax="47" xr10:uidLastSave="{00000000-0000-0000-0000-000000000000}"/>
  <bookViews>
    <workbookView xWindow="-110" yWindow="-110" windowWidth="19420" windowHeight="11020" xr2:uid="{8075AC31-4D70-4964-8D21-DE7F2CFC2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1" l="1"/>
  <c r="B38" i="1"/>
  <c r="B28" i="1"/>
  <c r="B18" i="1"/>
  <c r="B8" i="1"/>
</calcChain>
</file>

<file path=xl/sharedStrings.xml><?xml version="1.0" encoding="utf-8"?>
<sst xmlns="http://schemas.openxmlformats.org/spreadsheetml/2006/main" count="50" uniqueCount="14">
  <si>
    <t>Argument</t>
  </si>
  <si>
    <t>Value</t>
  </si>
  <si>
    <t>RATE</t>
  </si>
  <si>
    <t>NPER</t>
  </si>
  <si>
    <t>PMT</t>
  </si>
  <si>
    <t>PV</t>
  </si>
  <si>
    <t>TYPE</t>
  </si>
  <si>
    <t>0 (omitted)</t>
  </si>
  <si>
    <t>FV</t>
  </si>
  <si>
    <t>Scenario 1: Present Value of a Bond (PV)</t>
  </si>
  <si>
    <t>Scenario 2: Number of Years to Maturity (NPER)</t>
  </si>
  <si>
    <t>Scenario 3: Annual Coupon Payment (PMT)</t>
  </si>
  <si>
    <t>Scenario 4: Par Value (FV)</t>
  </si>
  <si>
    <t>Scenario 5: Yield to Maturity (RATE)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</si>
</sst>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0" fontId="2" fillId="0" borderId="5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8" fontId="2" fillId="0" borderId="5" xfId="0" applyNumberFormat="1" applyFont="1" applyBorder="1" applyAlignment="1">
      <alignment vertical="center" wrapText="1"/>
    </xf>
    <xf numFmtId="9" fontId="2" fillId="0" borderId="5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0EE9A-C074-408C-838D-21EE1C39DC03}">
  <dimension ref="A1:B48"/>
  <sheetViews>
    <sheetView tabSelected="1" topLeftCell="A37" workbookViewId="0">
      <selection activeCell="I46" sqref="I46"/>
    </sheetView>
  </sheetViews>
  <sheetFormatPr defaultRowHeight="14.5" x14ac:dyDescent="0.35"/>
  <cols>
    <col min="1" max="1" width="9.54296875" bestFit="1" customWidth="1"/>
    <col min="2" max="2" width="54.1796875" customWidth="1"/>
  </cols>
  <sheetData>
    <row r="1" spans="1:2" ht="16" thickBot="1" x14ac:dyDescent="0.4">
      <c r="A1" s="8" t="s">
        <v>9</v>
      </c>
      <c r="B1" s="8"/>
    </row>
    <row r="2" spans="1:2" ht="16" thickBot="1" x14ac:dyDescent="0.4">
      <c r="A2" s="1" t="s">
        <v>0</v>
      </c>
      <c r="B2" s="2" t="s">
        <v>1</v>
      </c>
    </row>
    <row r="3" spans="1:2" ht="16" thickBot="1" x14ac:dyDescent="0.4">
      <c r="A3" s="3" t="s">
        <v>2</v>
      </c>
      <c r="B3" s="4">
        <v>7.4999999999999997E-2</v>
      </c>
    </row>
    <row r="4" spans="1:2" ht="16" thickBot="1" x14ac:dyDescent="0.4">
      <c r="A4" s="3" t="s">
        <v>3</v>
      </c>
      <c r="B4" s="5">
        <v>15</v>
      </c>
    </row>
    <row r="5" spans="1:2" ht="16" thickBot="1" x14ac:dyDescent="0.4">
      <c r="A5" s="3" t="s">
        <v>4</v>
      </c>
      <c r="B5" s="5">
        <v>150</v>
      </c>
    </row>
    <row r="6" spans="1:2" ht="16" thickBot="1" x14ac:dyDescent="0.4">
      <c r="A6" s="3" t="s">
        <v>8</v>
      </c>
      <c r="B6" s="5">
        <v>1500</v>
      </c>
    </row>
    <row r="7" spans="1:2" ht="16" thickBot="1" x14ac:dyDescent="0.4">
      <c r="A7" s="3" t="s">
        <v>6</v>
      </c>
      <c r="B7" s="5" t="s">
        <v>7</v>
      </c>
    </row>
    <row r="8" spans="1:2" ht="16" thickBot="1" x14ac:dyDescent="0.4">
      <c r="A8" s="3" t="s">
        <v>5</v>
      </c>
      <c r="B8" s="6">
        <f>PV(B3,B4,B5,B6,0)</f>
        <v>-1831.0169904388758</v>
      </c>
    </row>
    <row r="11" spans="1:2" ht="16" thickBot="1" x14ac:dyDescent="0.4">
      <c r="A11" s="8" t="s">
        <v>10</v>
      </c>
      <c r="B11" s="8"/>
    </row>
    <row r="12" spans="1:2" ht="16" thickBot="1" x14ac:dyDescent="0.4">
      <c r="A12" s="1" t="s">
        <v>0</v>
      </c>
      <c r="B12" s="2" t="s">
        <v>1</v>
      </c>
    </row>
    <row r="13" spans="1:2" ht="16" thickBot="1" x14ac:dyDescent="0.4">
      <c r="A13" s="3" t="s">
        <v>2</v>
      </c>
      <c r="B13" s="4">
        <v>0.08</v>
      </c>
    </row>
    <row r="14" spans="1:2" ht="16" thickBot="1" x14ac:dyDescent="0.4">
      <c r="A14" s="3" t="s">
        <v>4</v>
      </c>
      <c r="B14" s="5">
        <v>150</v>
      </c>
    </row>
    <row r="15" spans="1:2" ht="16" thickBot="1" x14ac:dyDescent="0.4">
      <c r="A15" s="3" t="s">
        <v>5</v>
      </c>
      <c r="B15" s="5">
        <v>-1701.5</v>
      </c>
    </row>
    <row r="16" spans="1:2" ht="16" thickBot="1" x14ac:dyDescent="0.4">
      <c r="A16" s="3" t="s">
        <v>8</v>
      </c>
      <c r="B16" s="5">
        <v>1500</v>
      </c>
    </row>
    <row r="17" spans="1:2" ht="16" thickBot="1" x14ac:dyDescent="0.4">
      <c r="A17" s="3" t="s">
        <v>6</v>
      </c>
      <c r="B17" s="5" t="s">
        <v>7</v>
      </c>
    </row>
    <row r="18" spans="1:2" ht="16" thickBot="1" x14ac:dyDescent="0.4">
      <c r="A18" s="3" t="s">
        <v>3</v>
      </c>
      <c r="B18" s="6">
        <f>NPER(B13,B14,B15,B16)</f>
        <v>10.014786900039468</v>
      </c>
    </row>
    <row r="21" spans="1:2" ht="16" thickBot="1" x14ac:dyDescent="0.4">
      <c r="A21" s="8" t="s">
        <v>11</v>
      </c>
      <c r="B21" s="8"/>
    </row>
    <row r="22" spans="1:2" ht="16" thickBot="1" x14ac:dyDescent="0.4">
      <c r="A22" s="1" t="s">
        <v>0</v>
      </c>
      <c r="B22" s="2" t="s">
        <v>1</v>
      </c>
    </row>
    <row r="23" spans="1:2" ht="16" thickBot="1" x14ac:dyDescent="0.4">
      <c r="A23" s="3" t="s">
        <v>2</v>
      </c>
      <c r="B23" s="4">
        <v>8.5000000000000006E-2</v>
      </c>
    </row>
    <row r="24" spans="1:2" ht="16" thickBot="1" x14ac:dyDescent="0.4">
      <c r="A24" s="3" t="s">
        <v>3</v>
      </c>
      <c r="B24" s="5">
        <v>10</v>
      </c>
    </row>
    <row r="25" spans="1:2" ht="16" thickBot="1" x14ac:dyDescent="0.4">
      <c r="A25" s="3" t="s">
        <v>5</v>
      </c>
      <c r="B25" s="5">
        <v>-1705</v>
      </c>
    </row>
    <row r="26" spans="1:2" ht="16" thickBot="1" x14ac:dyDescent="0.4">
      <c r="A26" s="3" t="s">
        <v>8</v>
      </c>
      <c r="B26" s="5">
        <v>2000</v>
      </c>
    </row>
    <row r="27" spans="1:2" ht="16" thickBot="1" x14ac:dyDescent="0.4">
      <c r="A27" s="3" t="s">
        <v>6</v>
      </c>
      <c r="B27" s="5" t="s">
        <v>7</v>
      </c>
    </row>
    <row r="28" spans="1:2" ht="16" thickBot="1" x14ac:dyDescent="0.4">
      <c r="A28" s="3" t="s">
        <v>4</v>
      </c>
      <c r="B28" s="6">
        <f>PMT(B23,B24,B25,B26)</f>
        <v>125.03972699286892</v>
      </c>
    </row>
    <row r="31" spans="1:2" ht="16" thickBot="1" x14ac:dyDescent="0.4">
      <c r="A31" s="8" t="s">
        <v>12</v>
      </c>
      <c r="B31" s="8"/>
    </row>
    <row r="32" spans="1:2" ht="16" thickBot="1" x14ac:dyDescent="0.4">
      <c r="A32" s="1" t="s">
        <v>0</v>
      </c>
      <c r="B32" s="2" t="s">
        <v>1</v>
      </c>
    </row>
    <row r="33" spans="1:2" ht="16" thickBot="1" x14ac:dyDescent="0.4">
      <c r="A33" s="3" t="s">
        <v>2</v>
      </c>
      <c r="B33" s="4">
        <v>9.6500000000000002E-2</v>
      </c>
    </row>
    <row r="34" spans="1:2" ht="16" thickBot="1" x14ac:dyDescent="0.4">
      <c r="A34" s="3" t="s">
        <v>3</v>
      </c>
      <c r="B34" s="5">
        <v>20</v>
      </c>
    </row>
    <row r="35" spans="1:2" ht="16" thickBot="1" x14ac:dyDescent="0.4">
      <c r="A35" s="3" t="s">
        <v>4</v>
      </c>
      <c r="B35" s="5">
        <v>100</v>
      </c>
    </row>
    <row r="36" spans="1:2" ht="16" thickBot="1" x14ac:dyDescent="0.4">
      <c r="A36" s="3" t="s">
        <v>5</v>
      </c>
      <c r="B36" s="5">
        <v>-1200</v>
      </c>
    </row>
    <row r="37" spans="1:2" ht="16" thickBot="1" x14ac:dyDescent="0.4">
      <c r="A37" s="3" t="s">
        <v>6</v>
      </c>
      <c r="B37" s="5" t="s">
        <v>7</v>
      </c>
    </row>
    <row r="38" spans="1:2" ht="16" thickBot="1" x14ac:dyDescent="0.4">
      <c r="A38" s="3" t="s">
        <v>8</v>
      </c>
      <c r="B38" s="6">
        <f>FV(B33,B34,B35,B36)</f>
        <v>2069.7504231946605</v>
      </c>
    </row>
    <row r="41" spans="1:2" ht="16" thickBot="1" x14ac:dyDescent="0.4">
      <c r="A41" s="8" t="s">
        <v>13</v>
      </c>
      <c r="B41" s="8"/>
    </row>
    <row r="42" spans="1:2" ht="16" thickBot="1" x14ac:dyDescent="0.4">
      <c r="A42" s="1" t="s">
        <v>0</v>
      </c>
      <c r="B42" s="2" t="s">
        <v>1</v>
      </c>
    </row>
    <row r="43" spans="1:2" ht="16" thickBot="1" x14ac:dyDescent="0.4">
      <c r="A43" s="3" t="s">
        <v>3</v>
      </c>
      <c r="B43" s="5">
        <v>10</v>
      </c>
    </row>
    <row r="44" spans="1:2" ht="16" thickBot="1" x14ac:dyDescent="0.4">
      <c r="A44" s="3" t="s">
        <v>4</v>
      </c>
      <c r="B44" s="5">
        <v>100</v>
      </c>
    </row>
    <row r="45" spans="1:2" ht="16" thickBot="1" x14ac:dyDescent="0.4">
      <c r="A45" s="3" t="s">
        <v>5</v>
      </c>
      <c r="B45" s="5">
        <v>-1500</v>
      </c>
    </row>
    <row r="46" spans="1:2" ht="16" thickBot="1" x14ac:dyDescent="0.4">
      <c r="A46" s="3" t="s">
        <v>8</v>
      </c>
      <c r="B46" s="5">
        <v>2000</v>
      </c>
    </row>
    <row r="47" spans="1:2" ht="16" thickBot="1" x14ac:dyDescent="0.4">
      <c r="A47" s="3" t="s">
        <v>6</v>
      </c>
      <c r="B47" s="5" t="s">
        <v>7</v>
      </c>
    </row>
    <row r="48" spans="1:2" ht="16" thickBot="1" x14ac:dyDescent="0.4">
      <c r="A48" s="3" t="s">
        <v>2</v>
      </c>
      <c r="B48" s="7">
        <f>RATE(B43,B44,B45,B46)</f>
        <v>8.8739087878120237E-2</v>
      </c>
    </row>
  </sheetData>
  <mergeCells count="5">
    <mergeCell ref="A1:B1"/>
    <mergeCell ref="A11:B11"/>
    <mergeCell ref="A21:B21"/>
    <mergeCell ref="A31:B31"/>
    <mergeCell ref="A41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2026-03-28T16:54:42Z</dcterms:created>
  <dcterms:modified xsi:type="dcterms:W3CDTF">2026-10-23T17:16:39Z</dcterms:modified>
</cp:coreProperties>
</file>