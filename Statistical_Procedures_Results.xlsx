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F9E8A2B-8524-47BC-A79B-46750DDFBBBF}" xr6:coauthVersionLast="47" xr6:coauthVersionMax="47" xr10:uidLastSave="{00000000-0000-0000-0000-000000000000}"/>
  <bookViews>
    <workbookView xWindow="-110" yWindow="-110" windowWidth="19420" windowHeight="11020" tabRatio="500" activeTab="6" xr2:uid="{00000000-000D-0000-FFFF-FFFF00000000}"/>
  </bookViews>
  <sheets>
    <sheet name="Instructions" sheetId="1" r:id="rId1"/>
    <sheet name="Sample Data" sheetId="2" r:id="rId2"/>
    <sheet name="Descriptive Statistics" sheetId="3" r:id="rId3"/>
    <sheet name="F-Test" sheetId="4" r:id="rId4"/>
    <sheet name="Correlation" sheetId="5" r:id="rId5"/>
    <sheet name="T-Test" sheetId="6" r:id="rId6"/>
    <sheet name="ANOVA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1" i="7" l="1"/>
  <c r="E7" i="7"/>
  <c r="D7" i="7"/>
  <c r="C7" i="7"/>
  <c r="B7" i="7"/>
  <c r="E6" i="7"/>
  <c r="D6" i="7"/>
  <c r="C6" i="7"/>
  <c r="B6" i="7"/>
  <c r="E5" i="7"/>
  <c r="D5" i="7"/>
  <c r="C5" i="7"/>
  <c r="B5" i="7"/>
  <c r="E4" i="7"/>
  <c r="D4" i="7"/>
  <c r="C4" i="7"/>
  <c r="B4" i="7"/>
  <c r="B11" i="7" s="1"/>
  <c r="D11" i="7" s="1"/>
  <c r="C7" i="6"/>
  <c r="B7" i="6"/>
  <c r="B11" i="6" s="1"/>
  <c r="B13" i="6" s="1"/>
  <c r="C6" i="6"/>
  <c r="B6" i="6"/>
  <c r="B17" i="6" s="1"/>
  <c r="B19" i="6" s="1"/>
  <c r="C5" i="6"/>
  <c r="B5" i="6"/>
  <c r="B16" i="6" s="1"/>
  <c r="B18" i="6" s="1"/>
  <c r="C26" i="5"/>
  <c r="B26" i="5"/>
  <c r="C25" i="5"/>
  <c r="B25" i="5"/>
  <c r="C24" i="5"/>
  <c r="B24" i="5"/>
  <c r="C23" i="5"/>
  <c r="B23" i="5"/>
  <c r="C22" i="5"/>
  <c r="B22" i="5"/>
  <c r="C21" i="5"/>
  <c r="B21" i="5"/>
  <c r="C20" i="5"/>
  <c r="B20" i="5"/>
  <c r="C19" i="5"/>
  <c r="B19" i="5"/>
  <c r="C18" i="5"/>
  <c r="B18" i="5"/>
  <c r="C17" i="5"/>
  <c r="B17" i="5"/>
  <c r="C16" i="5"/>
  <c r="B16" i="5"/>
  <c r="C15" i="5"/>
  <c r="B15" i="5"/>
  <c r="C14" i="5"/>
  <c r="B14" i="5"/>
  <c r="C13" i="5"/>
  <c r="B13" i="5"/>
  <c r="C12" i="5"/>
  <c r="B12" i="5"/>
  <c r="C11" i="5"/>
  <c r="B11" i="5"/>
  <c r="C10" i="5"/>
  <c r="B10" i="5"/>
  <c r="C9" i="5"/>
  <c r="B9" i="5"/>
  <c r="C8" i="5"/>
  <c r="B8" i="5"/>
  <c r="C7" i="5"/>
  <c r="B7" i="5"/>
  <c r="B3" i="5"/>
  <c r="B4" i="5" s="1"/>
  <c r="C6" i="4"/>
  <c r="C5" i="4"/>
  <c r="B5" i="4"/>
  <c r="B9" i="4" s="1"/>
  <c r="C4" i="4"/>
  <c r="B7" i="4" s="1"/>
  <c r="B4" i="4"/>
  <c r="C3" i="4"/>
  <c r="B3" i="4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D4" i="3"/>
  <c r="C4" i="3"/>
  <c r="B4" i="3"/>
  <c r="E3" i="3"/>
  <c r="D3" i="3"/>
  <c r="C3" i="3"/>
  <c r="B3" i="3"/>
  <c r="E2" i="3"/>
  <c r="D2" i="3"/>
  <c r="C2" i="3"/>
  <c r="B2" i="3"/>
  <c r="B8" i="4" l="1"/>
  <c r="B11" i="4"/>
  <c r="B10" i="6"/>
  <c r="B12" i="6" s="1"/>
  <c r="B10" i="7"/>
  <c r="C10" i="7"/>
  <c r="B6" i="4"/>
  <c r="D10" i="7" l="1"/>
  <c r="E10" i="7" s="1"/>
  <c r="F10" i="7" s="1"/>
  <c r="B12" i="7"/>
  <c r="C12" i="7"/>
  <c r="G10" i="7"/>
</calcChain>
</file>

<file path=xl/sharedStrings.xml><?xml version="1.0" encoding="utf-8"?>
<sst xmlns="http://schemas.openxmlformats.org/spreadsheetml/2006/main" count="86" uniqueCount="65">
  <si>
    <t>Module 8: Calculating Results of Statistical Procedures</t>
  </si>
  <si>
    <t>HOW TO USE THIS WORKBOOK</t>
  </si>
  <si>
    <t>1. Go to the 'Sample Data' tab. Delete the placeholder values (yellow cells) and paste your</t>
  </si>
  <si>
    <t xml:space="preserve">   actual dataset values in their place, keeping the same columns/headers.</t>
  </si>
  <si>
    <t>2. Every other tab (Descriptive Statistics, F-Test, Correlation, T-Test, ANOVA) recalculates</t>
  </si>
  <si>
    <t xml:space="preserve">   automatically from formulas referencing the Sample Data tab - no need to rerun the Analysis</t>
  </si>
  <si>
    <t xml:space="preserve">   ToolPak manually, though you may still use it if your instructor requires the ToolPak's own</t>
  </si>
  <si>
    <t xml:space="preserve">   dialog-generated output tables.</t>
  </si>
  <si>
    <t>3. The Correlation tab includes a 2D line graph with two series as required in Step 5.5.</t>
  </si>
  <si>
    <t>4. Review the F-Test tab first to decide whether to use the equal-variance or unequal-variance</t>
  </si>
  <si>
    <t xml:space="preserve">   T-Test formula (already both provided).</t>
  </si>
  <si>
    <t>5. Save this workbook and submit it per Step 8 of the assignment instructions.</t>
  </si>
  <si>
    <t>Yellow cells = placeholder example data. Replace with your real dataset before submitting.</t>
  </si>
  <si>
    <t>Column A (Group 1)</t>
  </si>
  <si>
    <t>Column B (Group 2)</t>
  </si>
  <si>
    <t>Column C (Variable X)</t>
  </si>
  <si>
    <t>Column D (Variable Y)</t>
  </si>
  <si>
    <t>Statistic</t>
  </si>
  <si>
    <t>Mean</t>
  </si>
  <si>
    <t>Standard Error</t>
  </si>
  <si>
    <t>Standard Deviation</t>
  </si>
  <si>
    <t>Sample Variance</t>
  </si>
  <si>
    <t>Minimum</t>
  </si>
  <si>
    <t>Maximum</t>
  </si>
  <si>
    <t>Count</t>
  </si>
  <si>
    <t>Note: Formulas reference 'Sample Data' columns A-D and update automatically.</t>
  </si>
  <si>
    <t>F-Test Two-Sample for Variances (Column A vs Column B)</t>
  </si>
  <si>
    <t>Variance</t>
  </si>
  <si>
    <t>Observations</t>
  </si>
  <si>
    <t>df</t>
  </si>
  <si>
    <t>F (calculated)</t>
  </si>
  <si>
    <t>P(F&lt;=f) one-tail</t>
  </si>
  <si>
    <t>F Critical one-tail (alpha=0.05)</t>
  </si>
  <si>
    <t>Decision</t>
  </si>
  <si>
    <t>Correlation (Column C vs Column D)</t>
  </si>
  <si>
    <t>Pearson Correlation Coefficient (r)</t>
  </si>
  <si>
    <t>Interpretation</t>
  </si>
  <si>
    <t>Row</t>
  </si>
  <si>
    <t>Column C</t>
  </si>
  <si>
    <t>Column D</t>
  </si>
  <si>
    <t>T-Test: Two-Sample (Column A vs Column B)</t>
  </si>
  <si>
    <t>H0: mu1 - mu2 = 0</t>
  </si>
  <si>
    <t>Column A</t>
  </si>
  <si>
    <t>Column B</t>
  </si>
  <si>
    <t>Equal-Variance (Pooled) t-Test</t>
  </si>
  <si>
    <t>t Stat</t>
  </si>
  <si>
    <t>P(T&lt;=t) two-tail</t>
  </si>
  <si>
    <t>t Critical two-tail (alpha=0.05)</t>
  </si>
  <si>
    <t>Unequal-Variance (Welch) t-Test</t>
  </si>
  <si>
    <t>df (Welch-Satterthwaite)</t>
  </si>
  <si>
    <t>Which to report?</t>
  </si>
  <si>
    <t>See F-Test tab decision (row 11) to choose equal- vs unequal-variance results.</t>
  </si>
  <si>
    <t>ANOVA: Single Factor (Columns A, B, C, D as Groups)</t>
  </si>
  <si>
    <t>Groups</t>
  </si>
  <si>
    <t>Sum</t>
  </si>
  <si>
    <t>Average</t>
  </si>
  <si>
    <t>Source of Variation</t>
  </si>
  <si>
    <t>SS</t>
  </si>
  <si>
    <t>MS</t>
  </si>
  <si>
    <t>F</t>
  </si>
  <si>
    <t>P-value</t>
  </si>
  <si>
    <t>F crit</t>
  </si>
  <si>
    <t>Between Groups</t>
  </si>
  <si>
    <t>Within Groups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</si>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</sst>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1"/>
      <name val="Times New Roman"/>
      <family val="1"/>
    </font>
    <font>
      <sz val="11"/>
      <name val="Times New Roman"/>
      <family val="1"/>
    </font>
    <font>
      <i/>
      <sz val="10"/>
      <color rgb="FF808080"/>
      <name val="Times New Roman"/>
      <family val="1"/>
    </font>
    <font>
      <b/>
      <sz val="11"/>
      <color rgb="FFFFFFFF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0" xfId="0" applyFont="1"/>
    <xf numFmtId="0" fontId="2" fillId="0" borderId="0" xfId="0" applyFo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center" wrapText="1"/>
    </xf>
    <xf numFmtId="0" fontId="2" fillId="3" borderId="1" xfId="0" applyFont="1" applyFill="1" applyBorder="1"/>
    <xf numFmtId="0" fontId="4" fillId="2" borderId="0" xfId="0" applyFont="1" applyFill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AAAAA"/>
      <rgbColor rgb="FF808080"/>
      <rgbColor rgb="FF9999FF"/>
      <rgbColor rgb="FFBE4B48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7EBB"/>
      <rgbColor rgb="FF878787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Column C and Column D by Observation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Correlation!$B$6</c:f>
              <c:strCache>
                <c:ptCount val="1"/>
                <c:pt idx="0">
                  <c:v>Column C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Correlation!$A$7:$A$26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Correlation!$B$7:$B$26</c:f>
              <c:numCache>
                <c:formatCode>General</c:formatCode>
                <c:ptCount val="20"/>
                <c:pt idx="0">
                  <c:v>85.2</c:v>
                </c:pt>
                <c:pt idx="1">
                  <c:v>52.3</c:v>
                </c:pt>
                <c:pt idx="2">
                  <c:v>61.4</c:v>
                </c:pt>
                <c:pt idx="3">
                  <c:v>64.5</c:v>
                </c:pt>
                <c:pt idx="4">
                  <c:v>54</c:v>
                </c:pt>
                <c:pt idx="5">
                  <c:v>61.6</c:v>
                </c:pt>
                <c:pt idx="6">
                  <c:v>55.1</c:v>
                </c:pt>
                <c:pt idx="7">
                  <c:v>63.9</c:v>
                </c:pt>
                <c:pt idx="8">
                  <c:v>81.8</c:v>
                </c:pt>
                <c:pt idx="9">
                  <c:v>68.2</c:v>
                </c:pt>
                <c:pt idx="10">
                  <c:v>68.5</c:v>
                </c:pt>
                <c:pt idx="11">
                  <c:v>60.5</c:v>
                </c:pt>
                <c:pt idx="12">
                  <c:v>63.3</c:v>
                </c:pt>
                <c:pt idx="13">
                  <c:v>96.8</c:v>
                </c:pt>
                <c:pt idx="14">
                  <c:v>82.4</c:v>
                </c:pt>
                <c:pt idx="15">
                  <c:v>80.5</c:v>
                </c:pt>
                <c:pt idx="16">
                  <c:v>58.6</c:v>
                </c:pt>
                <c:pt idx="17">
                  <c:v>86.5</c:v>
                </c:pt>
                <c:pt idx="18">
                  <c:v>58.2</c:v>
                </c:pt>
                <c:pt idx="19">
                  <c:v>69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CB5-4B70-88A7-422D039779F9}"/>
            </c:ext>
          </c:extLst>
        </c:ser>
        <c:ser>
          <c:idx val="1"/>
          <c:order val="1"/>
          <c:tx>
            <c:strRef>
              <c:f>Correlation!$C$6</c:f>
              <c:strCache>
                <c:ptCount val="1"/>
                <c:pt idx="0">
                  <c:v>Column D</c:v>
                </c:pt>
              </c:strCache>
            </c:strRef>
          </c:tx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Correlation!$A$7:$A$26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Correlation!$C$7:$C$26</c:f>
              <c:numCache>
                <c:formatCode>General</c:formatCode>
                <c:ptCount val="20"/>
                <c:pt idx="0">
                  <c:v>79.599999999999994</c:v>
                </c:pt>
                <c:pt idx="1">
                  <c:v>41.1</c:v>
                </c:pt>
                <c:pt idx="2">
                  <c:v>37.700000000000003</c:v>
                </c:pt>
                <c:pt idx="3">
                  <c:v>47.3</c:v>
                </c:pt>
                <c:pt idx="4">
                  <c:v>50.8</c:v>
                </c:pt>
                <c:pt idx="5">
                  <c:v>37.700000000000003</c:v>
                </c:pt>
                <c:pt idx="6">
                  <c:v>44.3</c:v>
                </c:pt>
                <c:pt idx="7">
                  <c:v>53.1</c:v>
                </c:pt>
                <c:pt idx="8">
                  <c:v>62.9</c:v>
                </c:pt>
                <c:pt idx="9">
                  <c:v>60.3</c:v>
                </c:pt>
                <c:pt idx="10">
                  <c:v>59.4</c:v>
                </c:pt>
                <c:pt idx="11">
                  <c:v>67</c:v>
                </c:pt>
                <c:pt idx="12">
                  <c:v>55.6</c:v>
                </c:pt>
                <c:pt idx="13">
                  <c:v>72.599999999999994</c:v>
                </c:pt>
                <c:pt idx="14">
                  <c:v>61.4</c:v>
                </c:pt>
                <c:pt idx="15">
                  <c:v>57.7</c:v>
                </c:pt>
                <c:pt idx="16">
                  <c:v>54.5</c:v>
                </c:pt>
                <c:pt idx="17">
                  <c:v>64.7</c:v>
                </c:pt>
                <c:pt idx="18">
                  <c:v>46</c:v>
                </c:pt>
                <c:pt idx="19">
                  <c:v>61.2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CB5-4B70-88A7-422D039779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44192438"/>
        <c:axId val="76357045"/>
      </c:lineChart>
      <c:catAx>
        <c:axId val="4419243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Observation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6357045"/>
        <c:crosses val="autoZero"/>
        <c:auto val="1"/>
        <c:lblAlgn val="ctr"/>
        <c:lblOffset val="100"/>
        <c:noMultiLvlLbl val="0"/>
      </c:catAx>
      <c:valAx>
        <c:axId val="7635704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419243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5</xdr:row>
      <xdr:rowOff>0</xdr:rowOff>
    </xdr:from>
    <xdr:to>
      <xdr:col>14</xdr:col>
      <xdr:colOff>364680</xdr:colOff>
      <xdr:row>23</xdr:row>
      <xdr:rowOff>170640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5"/>
  <sheetViews>
    <sheetView zoomScaleNormal="100" workbookViewId="0"/>
  </sheetViews>
  <sheetFormatPr defaultColWidth="8.6328125" defaultRowHeight="14.5" x14ac:dyDescent="0.35"/>
  <cols>
    <col min="1" max="1" width="100" customWidth="1"/>
  </cols>
  <sheetData>
    <row r="1" spans="1:1" x14ac:dyDescent="0.35">
      <c r="A1" s="3" t="s">
        <v>0</v>
      </c>
    </row>
    <row r="2" spans="1:1" x14ac:dyDescent="0.35">
      <c r="A2" s="4"/>
    </row>
    <row r="3" spans="1:1" x14ac:dyDescent="0.35">
      <c r="A3" s="3" t="s">
        <v>1</v>
      </c>
    </row>
    <row r="4" spans="1:1" x14ac:dyDescent="0.35">
      <c r="A4" s="4" t="s">
        <v>2</v>
      </c>
    </row>
    <row r="5" spans="1:1" x14ac:dyDescent="0.35">
      <c r="A5" s="4" t="s">
        <v>3</v>
      </c>
    </row>
    <row r="6" spans="1:1" x14ac:dyDescent="0.35">
      <c r="A6" s="4" t="s">
        <v>4</v>
      </c>
    </row>
    <row r="7" spans="1:1" x14ac:dyDescent="0.35">
      <c r="A7" s="4" t="s">
        <v>5</v>
      </c>
    </row>
    <row r="8" spans="1:1" x14ac:dyDescent="0.35">
      <c r="A8" s="4" t="s">
        <v>6</v>
      </c>
    </row>
    <row r="9" spans="1:1" x14ac:dyDescent="0.35">
      <c r="A9" s="4" t="s">
        <v>7</v>
      </c>
    </row>
    <row r="10" spans="1:1" x14ac:dyDescent="0.35">
      <c r="A10" s="4" t="s">
        <v>8</v>
      </c>
    </row>
    <row r="11" spans="1:1" x14ac:dyDescent="0.35">
      <c r="A11" s="4" t="s">
        <v>9</v>
      </c>
    </row>
    <row r="12" spans="1:1" x14ac:dyDescent="0.35">
      <c r="A12" s="4" t="s">
        <v>10</v>
      </c>
    </row>
    <row r="13" spans="1:1" x14ac:dyDescent="0.35">
      <c r="A13" s="4" t="s">
        <v>11</v>
      </c>
    </row>
    <row r="14" spans="1:1" x14ac:dyDescent="0.35">
      <c r="A14" s="4"/>
    </row>
    <row r="15" spans="1:1" x14ac:dyDescent="0.35">
      <c r="A15" s="5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1"/>
  <sheetViews>
    <sheetView zoomScaleNormal="100" workbookViewId="0"/>
  </sheetViews>
  <sheetFormatPr defaultColWidth="8.6328125" defaultRowHeight="14.5" x14ac:dyDescent="0.35"/>
  <cols>
    <col min="1" max="4" width="20" customWidth="1"/>
  </cols>
  <sheetData>
    <row r="1" spans="1:4" ht="28.5" x14ac:dyDescent="0.35">
      <c r="A1" s="6" t="s">
        <v>13</v>
      </c>
      <c r="B1" s="6" t="s">
        <v>14</v>
      </c>
      <c r="C1" s="6" t="s">
        <v>15</v>
      </c>
      <c r="D1" s="6" t="s">
        <v>16</v>
      </c>
    </row>
    <row r="2" spans="1:4" x14ac:dyDescent="0.35">
      <c r="A2" s="7">
        <v>70.8</v>
      </c>
      <c r="B2" s="7">
        <v>83.3</v>
      </c>
      <c r="C2" s="7">
        <v>85.2</v>
      </c>
      <c r="D2" s="7">
        <v>79.599999999999994</v>
      </c>
    </row>
    <row r="3" spans="1:4" x14ac:dyDescent="0.35">
      <c r="A3" s="7">
        <v>70.599999999999994</v>
      </c>
      <c r="B3" s="7">
        <v>63.5</v>
      </c>
      <c r="C3" s="7">
        <v>52.3</v>
      </c>
      <c r="D3" s="7">
        <v>41.1</v>
      </c>
    </row>
    <row r="4" spans="1:4" x14ac:dyDescent="0.35">
      <c r="A4" s="7">
        <v>71.099999999999994</v>
      </c>
      <c r="B4" s="7">
        <v>74.900000000000006</v>
      </c>
      <c r="C4" s="7">
        <v>61.4</v>
      </c>
      <c r="D4" s="7">
        <v>37.700000000000003</v>
      </c>
    </row>
    <row r="5" spans="1:4" x14ac:dyDescent="0.35">
      <c r="A5" s="7">
        <v>77.599999999999994</v>
      </c>
      <c r="B5" s="7">
        <v>82.9</v>
      </c>
      <c r="C5" s="7">
        <v>64.5</v>
      </c>
      <c r="D5" s="7">
        <v>47.3</v>
      </c>
    </row>
    <row r="6" spans="1:4" x14ac:dyDescent="0.35">
      <c r="A6" s="7">
        <v>71</v>
      </c>
      <c r="B6" s="7">
        <v>86.7</v>
      </c>
      <c r="C6" s="7">
        <v>54</v>
      </c>
      <c r="D6" s="7">
        <v>50.8</v>
      </c>
    </row>
    <row r="7" spans="1:4" x14ac:dyDescent="0.35">
      <c r="A7" s="7">
        <v>60</v>
      </c>
      <c r="B7" s="7">
        <v>75.599999999999994</v>
      </c>
      <c r="C7" s="7">
        <v>61.6</v>
      </c>
      <c r="D7" s="7">
        <v>37.700000000000003</v>
      </c>
    </row>
    <row r="8" spans="1:4" x14ac:dyDescent="0.35">
      <c r="A8" s="7">
        <v>74.7</v>
      </c>
      <c r="B8" s="7">
        <v>81.8</v>
      </c>
      <c r="C8" s="7">
        <v>55.1</v>
      </c>
      <c r="D8" s="7">
        <v>44.3</v>
      </c>
    </row>
    <row r="9" spans="1:4" x14ac:dyDescent="0.35">
      <c r="A9" s="7">
        <v>69.900000000000006</v>
      </c>
      <c r="B9" s="7">
        <v>80.5</v>
      </c>
      <c r="C9" s="7">
        <v>63.9</v>
      </c>
      <c r="D9" s="7">
        <v>53.1</v>
      </c>
    </row>
    <row r="10" spans="1:4" x14ac:dyDescent="0.35">
      <c r="A10" s="7">
        <v>70.3</v>
      </c>
      <c r="B10" s="7">
        <v>85.8</v>
      </c>
      <c r="C10" s="7">
        <v>81.8</v>
      </c>
      <c r="D10" s="7">
        <v>62.9</v>
      </c>
    </row>
    <row r="11" spans="1:4" x14ac:dyDescent="0.35">
      <c r="A11" s="7">
        <v>72.900000000000006</v>
      </c>
      <c r="B11" s="7">
        <v>66.900000000000006</v>
      </c>
      <c r="C11" s="7">
        <v>68.2</v>
      </c>
      <c r="D11" s="7">
        <v>60.3</v>
      </c>
    </row>
    <row r="12" spans="1:4" x14ac:dyDescent="0.35">
      <c r="A12" s="7">
        <v>73.900000000000006</v>
      </c>
      <c r="B12" s="7">
        <v>83.7</v>
      </c>
      <c r="C12" s="7">
        <v>68.5</v>
      </c>
      <c r="D12" s="7">
        <v>59.4</v>
      </c>
    </row>
    <row r="13" spans="1:4" x14ac:dyDescent="0.35">
      <c r="A13" s="7">
        <v>81.3</v>
      </c>
      <c r="B13" s="7">
        <v>62.9</v>
      </c>
      <c r="C13" s="7">
        <v>60.5</v>
      </c>
      <c r="D13" s="7">
        <v>67</v>
      </c>
    </row>
    <row r="14" spans="1:4" x14ac:dyDescent="0.35">
      <c r="A14" s="7">
        <v>77.3</v>
      </c>
      <c r="B14" s="7">
        <v>51.8</v>
      </c>
      <c r="C14" s="7">
        <v>63.3</v>
      </c>
      <c r="D14" s="7">
        <v>55.6</v>
      </c>
    </row>
    <row r="15" spans="1:4" x14ac:dyDescent="0.35">
      <c r="A15" s="7">
        <v>72.900000000000006</v>
      </c>
      <c r="B15" s="7">
        <v>71.900000000000006</v>
      </c>
      <c r="C15" s="7">
        <v>96.8</v>
      </c>
      <c r="D15" s="7">
        <v>72.599999999999994</v>
      </c>
    </row>
    <row r="16" spans="1:4" x14ac:dyDescent="0.35">
      <c r="A16" s="7">
        <v>66.099999999999994</v>
      </c>
      <c r="B16" s="7">
        <v>68.8</v>
      </c>
      <c r="C16" s="7">
        <v>82.4</v>
      </c>
      <c r="D16" s="7">
        <v>61.4</v>
      </c>
    </row>
    <row r="17" spans="1:4" x14ac:dyDescent="0.35">
      <c r="A17" s="7">
        <v>63.9</v>
      </c>
      <c r="B17" s="7">
        <v>86.8</v>
      </c>
      <c r="C17" s="7">
        <v>80.5</v>
      </c>
      <c r="D17" s="7">
        <v>57.7</v>
      </c>
    </row>
    <row r="18" spans="1:4" x14ac:dyDescent="0.35">
      <c r="A18" s="7">
        <v>74</v>
      </c>
      <c r="B18" s="7">
        <v>84.6</v>
      </c>
      <c r="C18" s="7">
        <v>58.6</v>
      </c>
      <c r="D18" s="7">
        <v>54.5</v>
      </c>
    </row>
    <row r="19" spans="1:4" x14ac:dyDescent="0.35">
      <c r="A19" s="7">
        <v>82.5</v>
      </c>
      <c r="B19" s="7">
        <v>65.8</v>
      </c>
      <c r="C19" s="7">
        <v>86.5</v>
      </c>
      <c r="D19" s="7">
        <v>64.7</v>
      </c>
    </row>
    <row r="20" spans="1:4" x14ac:dyDescent="0.35">
      <c r="A20" s="7">
        <v>72.3</v>
      </c>
      <c r="B20" s="7">
        <v>86.5</v>
      </c>
      <c r="C20" s="7">
        <v>58.2</v>
      </c>
      <c r="D20" s="7">
        <v>46</v>
      </c>
    </row>
    <row r="21" spans="1:4" x14ac:dyDescent="0.35">
      <c r="A21" s="7">
        <v>71.099999999999994</v>
      </c>
      <c r="B21" s="7">
        <v>68</v>
      </c>
      <c r="C21" s="7">
        <v>69</v>
      </c>
      <c r="D21" s="7">
        <v>61.2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"/>
  <sheetViews>
    <sheetView zoomScaleNormal="100" workbookViewId="0"/>
  </sheetViews>
  <sheetFormatPr defaultColWidth="8.6328125" defaultRowHeight="14.5" x14ac:dyDescent="0.35"/>
  <cols>
    <col min="1" max="1" width="22" customWidth="1"/>
    <col min="2" max="5" width="16" customWidth="1"/>
  </cols>
  <sheetData>
    <row r="1" spans="1:5" ht="28.5" x14ac:dyDescent="0.35">
      <c r="A1" s="8" t="s">
        <v>17</v>
      </c>
      <c r="B1" s="6" t="s">
        <v>13</v>
      </c>
      <c r="C1" s="6" t="s">
        <v>14</v>
      </c>
      <c r="D1" s="6" t="s">
        <v>15</v>
      </c>
      <c r="E1" s="6" t="s">
        <v>16</v>
      </c>
    </row>
    <row r="2" spans="1:5" x14ac:dyDescent="0.35">
      <c r="A2" s="3" t="s">
        <v>18</v>
      </c>
      <c r="B2" s="9">
        <f>AVERAGE('Sample Data'!A2:A21)</f>
        <v>72.20999999999998</v>
      </c>
      <c r="C2" s="9">
        <f>AVERAGE('Sample Data'!B2:B21)</f>
        <v>75.634999999999977</v>
      </c>
      <c r="D2" s="9">
        <f>AVERAGE('Sample Data'!C2:C21)</f>
        <v>68.614999999999995</v>
      </c>
      <c r="E2" s="9">
        <f>AVERAGE('Sample Data'!D2:D21)</f>
        <v>55.745000000000005</v>
      </c>
    </row>
    <row r="3" spans="1:5" x14ac:dyDescent="0.35">
      <c r="A3" s="3" t="s">
        <v>19</v>
      </c>
      <c r="B3" s="9">
        <f>_xlfn.STDEV.S('Sample Data'!A2:A21)/SQRT(COUNT('Sample Data'!A2:A21))</f>
        <v>1.1806086744155588</v>
      </c>
      <c r="C3" s="9">
        <f>_xlfn.STDEV.S('Sample Data'!B2:B21)/SQRT(COUNT('Sample Data'!B2:B21))</f>
        <v>2.2694570994658583</v>
      </c>
      <c r="D3" s="9">
        <f>_xlfn.STDEV.S('Sample Data'!C2:C21)/SQRT(COUNT('Sample Data'!C2:C21))</f>
        <v>2.8100035118914199</v>
      </c>
      <c r="E3" s="9">
        <f>_xlfn.STDEV.S('Sample Data'!D2:D21)/SQRT(COUNT('Sample Data'!D2:D21))</f>
        <v>2.5167279822901163</v>
      </c>
    </row>
    <row r="4" spans="1:5" x14ac:dyDescent="0.35">
      <c r="A4" s="3" t="s">
        <v>20</v>
      </c>
      <c r="B4" s="9">
        <f>_xlfn.STDEV.S('Sample Data'!A2:A21)</f>
        <v>5.2798425016382131</v>
      </c>
      <c r="C4" s="9">
        <f>_xlfn.STDEV.S('Sample Data'!B2:B21)</f>
        <v>10.149320692850322</v>
      </c>
      <c r="D4" s="9">
        <f>_xlfn.STDEV.S('Sample Data'!C2:C21)</f>
        <v>12.566717739204707</v>
      </c>
      <c r="E4" s="9">
        <f>_xlfn.STDEV.S('Sample Data'!D2:D21)</f>
        <v>11.255149698553174</v>
      </c>
    </row>
    <row r="5" spans="1:5" x14ac:dyDescent="0.35">
      <c r="A5" s="3" t="s">
        <v>21</v>
      </c>
      <c r="B5" s="9">
        <f>_xlfn.VAR.S('Sample Data'!A2:A21)</f>
        <v>27.876736842105263</v>
      </c>
      <c r="C5" s="9">
        <f>_xlfn.VAR.S('Sample Data'!B2:B21)</f>
        <v>103.00871052631976</v>
      </c>
      <c r="D5" s="9">
        <f>_xlfn.VAR.S('Sample Data'!C2:C21)</f>
        <v>157.92239473684228</v>
      </c>
      <c r="E5" s="9">
        <f>_xlfn.VAR.S('Sample Data'!D2:D21)</f>
        <v>126.6783947368416</v>
      </c>
    </row>
    <row r="6" spans="1:5" x14ac:dyDescent="0.35">
      <c r="A6" s="3" t="s">
        <v>22</v>
      </c>
      <c r="B6" s="9">
        <f>MIN('Sample Data'!A2:A21)</f>
        <v>60</v>
      </c>
      <c r="C6" s="9">
        <f>MIN('Sample Data'!B2:B21)</f>
        <v>51.8</v>
      </c>
      <c r="D6" s="9">
        <f>MIN('Sample Data'!C2:C21)</f>
        <v>52.3</v>
      </c>
      <c r="E6" s="9">
        <f>MIN('Sample Data'!D2:D21)</f>
        <v>37.700000000000003</v>
      </c>
    </row>
    <row r="7" spans="1:5" x14ac:dyDescent="0.35">
      <c r="A7" s="3" t="s">
        <v>23</v>
      </c>
      <c r="B7" s="9">
        <f>MAX('Sample Data'!A2:A21)</f>
        <v>82.5</v>
      </c>
      <c r="C7" s="9">
        <f>MAX('Sample Data'!B2:B21)</f>
        <v>86.8</v>
      </c>
      <c r="D7" s="9">
        <f>MAX('Sample Data'!C2:C21)</f>
        <v>96.8</v>
      </c>
      <c r="E7" s="9">
        <f>MAX('Sample Data'!D2:D21)</f>
        <v>79.599999999999994</v>
      </c>
    </row>
    <row r="8" spans="1:5" x14ac:dyDescent="0.35">
      <c r="A8" s="3" t="s">
        <v>24</v>
      </c>
      <c r="B8" s="9">
        <f>COUNT('Sample Data'!A2:A21)</f>
        <v>20</v>
      </c>
      <c r="C8" s="9">
        <f>COUNT('Sample Data'!B2:B21)</f>
        <v>20</v>
      </c>
      <c r="D8" s="9">
        <f>COUNT('Sample Data'!C2:C21)</f>
        <v>20</v>
      </c>
      <c r="E8" s="9">
        <f>COUNT('Sample Data'!D2:D21)</f>
        <v>20</v>
      </c>
    </row>
    <row r="10" spans="1:5" x14ac:dyDescent="0.35">
      <c r="A10" s="5" t="s">
        <v>25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1"/>
  <sheetViews>
    <sheetView zoomScaleNormal="100" workbookViewId="0"/>
  </sheetViews>
  <sheetFormatPr defaultColWidth="8.6328125" defaultRowHeight="14.5" x14ac:dyDescent="0.35"/>
  <cols>
    <col min="1" max="1" width="30" customWidth="1"/>
    <col min="2" max="3" width="22" customWidth="1"/>
  </cols>
  <sheetData>
    <row r="1" spans="1:4" x14ac:dyDescent="0.35">
      <c r="A1" s="3" t="s">
        <v>26</v>
      </c>
    </row>
    <row r="2" spans="1:4" x14ac:dyDescent="0.35">
      <c r="B2" s="8" t="s">
        <v>13</v>
      </c>
      <c r="C2" s="8" t="s">
        <v>14</v>
      </c>
    </row>
    <row r="3" spans="1:4" x14ac:dyDescent="0.35">
      <c r="A3" s="3" t="s">
        <v>18</v>
      </c>
      <c r="B3" s="4">
        <f>AVERAGE('Sample Data'!A2:A21)</f>
        <v>72.20999999999998</v>
      </c>
      <c r="C3" s="4">
        <f>AVERAGE('Sample Data'!B2:B21)</f>
        <v>75.634999999999977</v>
      </c>
    </row>
    <row r="4" spans="1:4" x14ac:dyDescent="0.35">
      <c r="A4" s="3" t="s">
        <v>27</v>
      </c>
      <c r="B4" s="4">
        <f>_xlfn.VAR.S('Sample Data'!A2:A21)</f>
        <v>27.876736842105263</v>
      </c>
      <c r="C4" s="4">
        <f>_xlfn.VAR.S('Sample Data'!B2:B21)</f>
        <v>103.00871052631976</v>
      </c>
    </row>
    <row r="5" spans="1:4" x14ac:dyDescent="0.35">
      <c r="A5" s="3" t="s">
        <v>28</v>
      </c>
      <c r="B5" s="4">
        <f>COUNT('Sample Data'!A2:A21)</f>
        <v>20</v>
      </c>
      <c r="C5" s="4">
        <f>COUNT('Sample Data'!B2:B21)</f>
        <v>20</v>
      </c>
    </row>
    <row r="6" spans="1:4" x14ac:dyDescent="0.35">
      <c r="A6" s="3" t="s">
        <v>29</v>
      </c>
      <c r="B6" s="4">
        <f>B5-1</f>
        <v>19</v>
      </c>
      <c r="C6" s="4">
        <f>C5-1</f>
        <v>19</v>
      </c>
    </row>
    <row r="7" spans="1:4" x14ac:dyDescent="0.35">
      <c r="A7" s="3" t="s">
        <v>30</v>
      </c>
      <c r="B7" s="4">
        <f>B4/C4</f>
        <v>0.27062504422849248</v>
      </c>
    </row>
    <row r="8" spans="1:4" x14ac:dyDescent="0.35">
      <c r="A8" s="3" t="s">
        <v>31</v>
      </c>
      <c r="B8" s="4">
        <f>_xlfn.F.DIST.RT(B7,B5,C5)</f>
        <v>0.99739376902157095</v>
      </c>
    </row>
    <row r="9" spans="1:4" x14ac:dyDescent="0.35">
      <c r="A9" s="3" t="s">
        <v>32</v>
      </c>
      <c r="B9" s="4">
        <f>_xlfn.F.INV.RT(0.05,B5,C5)</f>
        <v>2.1241552129197361</v>
      </c>
    </row>
    <row r="11" spans="1:4" x14ac:dyDescent="0.35">
      <c r="A11" s="3" t="s">
        <v>33</v>
      </c>
      <c r="B11" s="2" t="str">
        <f>IF(B7&gt;B9,"F &gt; F critical: variances are NOT equal (use unequal-variance t-test)","F &lt;= F critical: variances ARE equal (use equal-variance t-test)")</f>
        <v>F &lt;= F critical: variances ARE equal (use equal-variance t-test)</v>
      </c>
      <c r="C11" s="2"/>
      <c r="D11" s="2"/>
    </row>
  </sheetData>
  <mergeCells count="1">
    <mergeCell ref="B11:D1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6"/>
  <sheetViews>
    <sheetView zoomScaleNormal="100" workbookViewId="0"/>
  </sheetViews>
  <sheetFormatPr defaultColWidth="8.6328125" defaultRowHeight="14.5" x14ac:dyDescent="0.35"/>
  <cols>
    <col min="1" max="1" width="26" customWidth="1"/>
    <col min="2" max="2" width="16" customWidth="1"/>
  </cols>
  <sheetData>
    <row r="1" spans="1:3" x14ac:dyDescent="0.35">
      <c r="A1" s="3" t="s">
        <v>34</v>
      </c>
    </row>
    <row r="3" spans="1:3" x14ac:dyDescent="0.35">
      <c r="A3" s="3" t="s">
        <v>35</v>
      </c>
      <c r="B3" s="4">
        <f>CORREL('Sample Data'!C2:C21,'Sample Data'!D2:D21)</f>
        <v>0.75146328306299703</v>
      </c>
    </row>
    <row r="4" spans="1:3" x14ac:dyDescent="0.35">
      <c r="A4" s="3" t="s">
        <v>36</v>
      </c>
      <c r="B4" s="4" t="str">
        <f>IF(ABS(B3)&gt;=0.7,"Strong",IF(ABS(B3)&gt;=0.3,"Moderate","Weak"))</f>
        <v>Strong</v>
      </c>
    </row>
    <row r="6" spans="1:3" x14ac:dyDescent="0.35">
      <c r="A6" s="8" t="s">
        <v>37</v>
      </c>
      <c r="B6" s="8" t="s">
        <v>38</v>
      </c>
      <c r="C6" s="8" t="s">
        <v>39</v>
      </c>
    </row>
    <row r="7" spans="1:3" x14ac:dyDescent="0.35">
      <c r="A7">
        <v>1</v>
      </c>
      <c r="B7">
        <f>'Sample Data'!C2</f>
        <v>85.2</v>
      </c>
      <c r="C7">
        <f>'Sample Data'!D2</f>
        <v>79.599999999999994</v>
      </c>
    </row>
    <row r="8" spans="1:3" x14ac:dyDescent="0.35">
      <c r="A8">
        <v>2</v>
      </c>
      <c r="B8">
        <f>'Sample Data'!C3</f>
        <v>52.3</v>
      </c>
      <c r="C8">
        <f>'Sample Data'!D3</f>
        <v>41.1</v>
      </c>
    </row>
    <row r="9" spans="1:3" x14ac:dyDescent="0.35">
      <c r="A9">
        <v>3</v>
      </c>
      <c r="B9">
        <f>'Sample Data'!C4</f>
        <v>61.4</v>
      </c>
      <c r="C9">
        <f>'Sample Data'!D4</f>
        <v>37.700000000000003</v>
      </c>
    </row>
    <row r="10" spans="1:3" x14ac:dyDescent="0.35">
      <c r="A10">
        <v>4</v>
      </c>
      <c r="B10">
        <f>'Sample Data'!C5</f>
        <v>64.5</v>
      </c>
      <c r="C10">
        <f>'Sample Data'!D5</f>
        <v>47.3</v>
      </c>
    </row>
    <row r="11" spans="1:3" x14ac:dyDescent="0.35">
      <c r="A11">
        <v>5</v>
      </c>
      <c r="B11">
        <f>'Sample Data'!C6</f>
        <v>54</v>
      </c>
      <c r="C11">
        <f>'Sample Data'!D6</f>
        <v>50.8</v>
      </c>
    </row>
    <row r="12" spans="1:3" x14ac:dyDescent="0.35">
      <c r="A12">
        <v>6</v>
      </c>
      <c r="B12">
        <f>'Sample Data'!C7</f>
        <v>61.6</v>
      </c>
      <c r="C12">
        <f>'Sample Data'!D7</f>
        <v>37.700000000000003</v>
      </c>
    </row>
    <row r="13" spans="1:3" x14ac:dyDescent="0.35">
      <c r="A13">
        <v>7</v>
      </c>
      <c r="B13">
        <f>'Sample Data'!C8</f>
        <v>55.1</v>
      </c>
      <c r="C13">
        <f>'Sample Data'!D8</f>
        <v>44.3</v>
      </c>
    </row>
    <row r="14" spans="1:3" x14ac:dyDescent="0.35">
      <c r="A14">
        <v>8</v>
      </c>
      <c r="B14">
        <f>'Sample Data'!C9</f>
        <v>63.9</v>
      </c>
      <c r="C14">
        <f>'Sample Data'!D9</f>
        <v>53.1</v>
      </c>
    </row>
    <row r="15" spans="1:3" x14ac:dyDescent="0.35">
      <c r="A15">
        <v>9</v>
      </c>
      <c r="B15">
        <f>'Sample Data'!C10</f>
        <v>81.8</v>
      </c>
      <c r="C15">
        <f>'Sample Data'!D10</f>
        <v>62.9</v>
      </c>
    </row>
    <row r="16" spans="1:3" x14ac:dyDescent="0.35">
      <c r="A16">
        <v>10</v>
      </c>
      <c r="B16">
        <f>'Sample Data'!C11</f>
        <v>68.2</v>
      </c>
      <c r="C16">
        <f>'Sample Data'!D11</f>
        <v>60.3</v>
      </c>
    </row>
    <row r="17" spans="1:3" x14ac:dyDescent="0.35">
      <c r="A17">
        <v>11</v>
      </c>
      <c r="B17">
        <f>'Sample Data'!C12</f>
        <v>68.5</v>
      </c>
      <c r="C17">
        <f>'Sample Data'!D12</f>
        <v>59.4</v>
      </c>
    </row>
    <row r="18" spans="1:3" x14ac:dyDescent="0.35">
      <c r="A18">
        <v>12</v>
      </c>
      <c r="B18">
        <f>'Sample Data'!C13</f>
        <v>60.5</v>
      </c>
      <c r="C18">
        <f>'Sample Data'!D13</f>
        <v>67</v>
      </c>
    </row>
    <row r="19" spans="1:3" x14ac:dyDescent="0.35">
      <c r="A19">
        <v>13</v>
      </c>
      <c r="B19">
        <f>'Sample Data'!C14</f>
        <v>63.3</v>
      </c>
      <c r="C19">
        <f>'Sample Data'!D14</f>
        <v>55.6</v>
      </c>
    </row>
    <row r="20" spans="1:3" x14ac:dyDescent="0.35">
      <c r="A20">
        <v>14</v>
      </c>
      <c r="B20">
        <f>'Sample Data'!C15</f>
        <v>96.8</v>
      </c>
      <c r="C20">
        <f>'Sample Data'!D15</f>
        <v>72.599999999999994</v>
      </c>
    </row>
    <row r="21" spans="1:3" x14ac:dyDescent="0.35">
      <c r="A21">
        <v>15</v>
      </c>
      <c r="B21">
        <f>'Sample Data'!C16</f>
        <v>82.4</v>
      </c>
      <c r="C21">
        <f>'Sample Data'!D16</f>
        <v>61.4</v>
      </c>
    </row>
    <row r="22" spans="1:3" x14ac:dyDescent="0.35">
      <c r="A22">
        <v>16</v>
      </c>
      <c r="B22">
        <f>'Sample Data'!C17</f>
        <v>80.5</v>
      </c>
      <c r="C22">
        <f>'Sample Data'!D17</f>
        <v>57.7</v>
      </c>
    </row>
    <row r="23" spans="1:3" x14ac:dyDescent="0.35">
      <c r="A23">
        <v>17</v>
      </c>
      <c r="B23">
        <f>'Sample Data'!C18</f>
        <v>58.6</v>
      </c>
      <c r="C23">
        <f>'Sample Data'!D18</f>
        <v>54.5</v>
      </c>
    </row>
    <row r="24" spans="1:3" x14ac:dyDescent="0.35">
      <c r="A24">
        <v>18</v>
      </c>
      <c r="B24">
        <f>'Sample Data'!C19</f>
        <v>86.5</v>
      </c>
      <c r="C24">
        <f>'Sample Data'!D19</f>
        <v>64.7</v>
      </c>
    </row>
    <row r="25" spans="1:3" x14ac:dyDescent="0.35">
      <c r="A25">
        <v>19</v>
      </c>
      <c r="B25">
        <f>'Sample Data'!C20</f>
        <v>58.2</v>
      </c>
      <c r="C25">
        <f>'Sample Data'!D20</f>
        <v>46</v>
      </c>
    </row>
    <row r="26" spans="1:3" x14ac:dyDescent="0.35">
      <c r="A26">
        <v>20</v>
      </c>
      <c r="B26">
        <f>'Sample Data'!C21</f>
        <v>69</v>
      </c>
      <c r="C26">
        <f>'Sample Data'!D21</f>
        <v>61.2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1"/>
  <sheetViews>
    <sheetView zoomScaleNormal="100" workbookViewId="0"/>
  </sheetViews>
  <sheetFormatPr defaultColWidth="8.6328125" defaultRowHeight="14.5" x14ac:dyDescent="0.35"/>
  <cols>
    <col min="1" max="1" width="34" customWidth="1"/>
    <col min="2" max="3" width="18" customWidth="1"/>
  </cols>
  <sheetData>
    <row r="1" spans="1:3" x14ac:dyDescent="0.35">
      <c r="A1" s="3" t="s">
        <v>40</v>
      </c>
    </row>
    <row r="2" spans="1:3" x14ac:dyDescent="0.35">
      <c r="A2" s="5" t="s">
        <v>41</v>
      </c>
    </row>
    <row r="4" spans="1:3" x14ac:dyDescent="0.35">
      <c r="B4" s="8" t="s">
        <v>42</v>
      </c>
      <c r="C4" s="8" t="s">
        <v>43</v>
      </c>
    </row>
    <row r="5" spans="1:3" x14ac:dyDescent="0.35">
      <c r="A5" s="3" t="s">
        <v>18</v>
      </c>
      <c r="B5" s="4">
        <f>AVERAGE('Sample Data'!A2:A21)</f>
        <v>72.20999999999998</v>
      </c>
      <c r="C5" s="4">
        <f>AVERAGE('Sample Data'!B2:B21)</f>
        <v>75.634999999999977</v>
      </c>
    </row>
    <row r="6" spans="1:3" x14ac:dyDescent="0.35">
      <c r="A6" s="3" t="s">
        <v>27</v>
      </c>
      <c r="B6" s="4">
        <f>_xlfn.VAR.S('Sample Data'!A2:A21)</f>
        <v>27.876736842105263</v>
      </c>
      <c r="C6" s="4">
        <f>_xlfn.VAR.S('Sample Data'!B2:B21)</f>
        <v>103.00871052631976</v>
      </c>
    </row>
    <row r="7" spans="1:3" x14ac:dyDescent="0.35">
      <c r="A7" s="3" t="s">
        <v>28</v>
      </c>
      <c r="B7" s="4">
        <f>COUNT('Sample Data'!A2:A21)</f>
        <v>20</v>
      </c>
      <c r="C7" s="4">
        <f>COUNT('Sample Data'!B2:B21)</f>
        <v>20</v>
      </c>
    </row>
    <row r="9" spans="1:3" x14ac:dyDescent="0.35">
      <c r="A9" s="3" t="s">
        <v>44</v>
      </c>
    </row>
    <row r="10" spans="1:3" x14ac:dyDescent="0.35">
      <c r="A10" s="4" t="s">
        <v>45</v>
      </c>
      <c r="B10" s="4">
        <f>(B5-C5)/SQRT((((B6*1)*(B7-1))+(C6*(C7-1)))/(B7+C7-2)*(1/B7+1/C7))</f>
        <v>-1.3388437414477592</v>
      </c>
    </row>
    <row r="11" spans="1:3" x14ac:dyDescent="0.35">
      <c r="A11" s="4" t="s">
        <v>29</v>
      </c>
      <c r="B11" s="4">
        <f>B7+C7-2</f>
        <v>38</v>
      </c>
    </row>
    <row r="12" spans="1:3" x14ac:dyDescent="0.35">
      <c r="A12" s="4" t="s">
        <v>46</v>
      </c>
      <c r="B12" s="4">
        <f>_xlfn.T.DIST.2T(ABS(B10),B11)</f>
        <v>0.18857630748153617</v>
      </c>
    </row>
    <row r="13" spans="1:3" x14ac:dyDescent="0.35">
      <c r="A13" s="4" t="s">
        <v>47</v>
      </c>
      <c r="B13" s="4">
        <f>_xlfn.T.INV.2T(0.05,B11)</f>
        <v>2.0243941639119702</v>
      </c>
    </row>
    <row r="15" spans="1:3" x14ac:dyDescent="0.35">
      <c r="A15" s="3" t="s">
        <v>48</v>
      </c>
    </row>
    <row r="16" spans="1:3" x14ac:dyDescent="0.35">
      <c r="A16" s="4" t="s">
        <v>45</v>
      </c>
      <c r="B16" s="4">
        <f>(B5-C5)/SQRT(B6/B7+C6/C7)</f>
        <v>-1.3388437414477592</v>
      </c>
    </row>
    <row r="17" spans="1:4" x14ac:dyDescent="0.35">
      <c r="A17" s="4" t="s">
        <v>49</v>
      </c>
      <c r="B17" s="4">
        <f>((B6/B7+C6/C7)^2)/(((B6/B7)^2/(B7-1))+((C6/C7)^2/(C7-1)))</f>
        <v>28.581986939832998</v>
      </c>
    </row>
    <row r="18" spans="1:4" x14ac:dyDescent="0.35">
      <c r="A18" s="4" t="s">
        <v>46</v>
      </c>
      <c r="B18" s="4">
        <f>_xlfn.T.DIST.2T(ABS(B16),B17)</f>
        <v>0.19139076505459723</v>
      </c>
    </row>
    <row r="19" spans="1:4" x14ac:dyDescent="0.35">
      <c r="A19" s="4" t="s">
        <v>47</v>
      </c>
      <c r="B19" s="4">
        <f>_xlfn.T.INV.2T(0.05,B17)</f>
        <v>2.0484071417952445</v>
      </c>
    </row>
    <row r="21" spans="1:4" x14ac:dyDescent="0.35">
      <c r="A21" s="3" t="s">
        <v>50</v>
      </c>
      <c r="B21" s="1" t="s">
        <v>51</v>
      </c>
      <c r="C21" s="1"/>
      <c r="D21" s="1"/>
    </row>
  </sheetData>
  <mergeCells count="1">
    <mergeCell ref="B21:D21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2"/>
  <sheetViews>
    <sheetView tabSelected="1" zoomScaleNormal="100" workbookViewId="0">
      <selection activeCell="J6" sqref="J6"/>
    </sheetView>
  </sheetViews>
  <sheetFormatPr defaultColWidth="8.6328125" defaultRowHeight="14.5" x14ac:dyDescent="0.35"/>
  <cols>
    <col min="1" max="7" width="16" customWidth="1"/>
  </cols>
  <sheetData>
    <row r="1" spans="1:7" x14ac:dyDescent="0.35">
      <c r="A1" s="3" t="s">
        <v>52</v>
      </c>
    </row>
    <row r="3" spans="1:7" x14ac:dyDescent="0.35">
      <c r="A3" s="8" t="s">
        <v>53</v>
      </c>
      <c r="B3" s="8" t="s">
        <v>24</v>
      </c>
      <c r="C3" s="8" t="s">
        <v>54</v>
      </c>
      <c r="D3" s="8" t="s">
        <v>55</v>
      </c>
      <c r="E3" s="8" t="s">
        <v>27</v>
      </c>
    </row>
    <row r="4" spans="1:7" x14ac:dyDescent="0.35">
      <c r="A4" s="4" t="s">
        <v>42</v>
      </c>
      <c r="B4" s="4">
        <f>COUNT('Sample Data'!A2:A21)</f>
        <v>20</v>
      </c>
      <c r="C4" s="4">
        <f>SUM('Sample Data'!A2:A21)</f>
        <v>1444.1999999999996</v>
      </c>
      <c r="D4" s="4">
        <f>AVERAGE('Sample Data'!A2:A21)</f>
        <v>72.20999999999998</v>
      </c>
      <c r="E4" s="4">
        <f>_xlfn.VAR.S('Sample Data'!A2:A21)</f>
        <v>27.876736842105263</v>
      </c>
    </row>
    <row r="5" spans="1:7" x14ac:dyDescent="0.35">
      <c r="A5" s="4" t="s">
        <v>43</v>
      </c>
      <c r="B5" s="4">
        <f>COUNT('Sample Data'!B2:B21)</f>
        <v>20</v>
      </c>
      <c r="C5" s="4">
        <f>SUM('Sample Data'!B2:B21)</f>
        <v>1512.6999999999996</v>
      </c>
      <c r="D5" s="4">
        <f>AVERAGE('Sample Data'!B2:B21)</f>
        <v>75.634999999999977</v>
      </c>
      <c r="E5" s="4">
        <f>_xlfn.VAR.S('Sample Data'!B2:B21)</f>
        <v>103.00871052631976</v>
      </c>
    </row>
    <row r="6" spans="1:7" x14ac:dyDescent="0.35">
      <c r="A6" s="4" t="s">
        <v>38</v>
      </c>
      <c r="B6" s="4">
        <f>COUNT('Sample Data'!C2:C21)</f>
        <v>20</v>
      </c>
      <c r="C6" s="4">
        <f>SUM('Sample Data'!C2:C21)</f>
        <v>1372.3</v>
      </c>
      <c r="D6" s="4">
        <f>AVERAGE('Sample Data'!C2:C21)</f>
        <v>68.614999999999995</v>
      </c>
      <c r="E6" s="4">
        <f>_xlfn.VAR.S('Sample Data'!C2:C21)</f>
        <v>157.92239473684228</v>
      </c>
    </row>
    <row r="7" spans="1:7" x14ac:dyDescent="0.35">
      <c r="A7" s="4" t="s">
        <v>39</v>
      </c>
      <c r="B7" s="4">
        <f>COUNT('Sample Data'!D2:D21)</f>
        <v>20</v>
      </c>
      <c r="C7" s="4">
        <f>SUM('Sample Data'!D2:D21)</f>
        <v>1114.9000000000001</v>
      </c>
      <c r="D7" s="4">
        <f>AVERAGE('Sample Data'!D2:D21)</f>
        <v>55.745000000000005</v>
      </c>
      <c r="E7" s="4">
        <f>_xlfn.VAR.S('Sample Data'!D2:D21)</f>
        <v>126.6783947368416</v>
      </c>
    </row>
    <row r="9" spans="1:7" x14ac:dyDescent="0.35">
      <c r="A9" s="8" t="s">
        <v>56</v>
      </c>
      <c r="B9" s="8" t="s">
        <v>57</v>
      </c>
      <c r="C9" s="8" t="s">
        <v>29</v>
      </c>
      <c r="D9" s="8" t="s">
        <v>58</v>
      </c>
      <c r="E9" s="8" t="s">
        <v>59</v>
      </c>
      <c r="F9" s="8" t="s">
        <v>60</v>
      </c>
      <c r="G9" s="8" t="s">
        <v>61</v>
      </c>
    </row>
    <row r="10" spans="1:7" x14ac:dyDescent="0.35">
      <c r="A10" s="4" t="s">
        <v>62</v>
      </c>
      <c r="B10" s="4">
        <f>SUMPRODUCT(B4:B7,(D4:D7-AVERAGE('Sample Data'!A2:A21,'Sample Data'!B2:B21,'Sample Data'!C2:C21,'Sample Data'!D2:D21))^2)</f>
        <v>4531.4013749999876</v>
      </c>
      <c r="C10" s="4">
        <f>COUNT(B4:B7)-1</f>
        <v>3</v>
      </c>
      <c r="D10" s="4">
        <f>B10/C10</f>
        <v>1510.4671249999958</v>
      </c>
      <c r="E10" s="4">
        <f>D10/D11</f>
        <v>14.541681442738103</v>
      </c>
      <c r="F10" s="4">
        <f>_xlfn.F.DIST.RT(E10,C10,C11)</f>
        <v>1.4145785042810602E-7</v>
      </c>
      <c r="G10" s="4">
        <f>_xlfn.F.INV.RT(0.05,C10,C11)</f>
        <v>2.7249439202759191</v>
      </c>
    </row>
    <row r="11" spans="1:7" x14ac:dyDescent="0.35">
      <c r="A11" s="4" t="s">
        <v>63</v>
      </c>
      <c r="B11" s="4">
        <f>SUMPRODUCT(B4:B7-1,E4:E7)</f>
        <v>7894.2385000000686</v>
      </c>
      <c r="C11" s="4">
        <f>SUM(B4:B7)-COUNT(B4:B7)</f>
        <v>76</v>
      </c>
      <c r="D11" s="4">
        <f>B11/C11</f>
        <v>103.87155921052722</v>
      </c>
    </row>
    <row r="12" spans="1:7" x14ac:dyDescent="0.35">
      <c r="A12" s="3" t="s">
        <v>64</v>
      </c>
      <c r="B12" s="4">
        <f>B10+B11</f>
        <v>12425.639875000055</v>
      </c>
      <c r="C12" s="4">
        <f>C10+C11</f>
        <v>79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Instructions</vt:lpstr>
      <vt:lpstr>Sample Data</vt:lpstr>
      <vt:lpstr>Descriptive Statistics</vt:lpstr>
      <vt:lpstr>F-Test</vt:lpstr>
      <vt:lpstr>Correlation</vt:lpstr>
      <vt:lpstr>T-Test</vt:lpstr>
      <vt:lpstr>ANOVA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user</cp:lastModifiedBy>
  <cp:revision>1</cp:revision>
  <dcterms:created xsi:type="dcterms:W3CDTF">2026-09-06T16:12:38Z</dcterms:created>
  <dcterms:modified xsi:type="dcterms:W3CDTF">2026-10-23T17:09:56Z</dcterms:modified>
  <dc:language>en-US</dc:language>
</cp:coreProperties>
</file>