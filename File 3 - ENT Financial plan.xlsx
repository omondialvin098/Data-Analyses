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D639F79-7328-438B-A484-91041E723C9D}" xr6:coauthVersionLast="47" xr6:coauthVersionMax="47" xr10:uidLastSave="{00000000-0000-0000-0000-000000000000}"/>
  <bookViews>
    <workbookView xWindow="-110" yWindow="-110" windowWidth="19420" windowHeight="11020" tabRatio="550" activeTab="2" xr2:uid="{00000000-000D-0000-FFFF-FFFF00000000}"/>
  </bookViews>
  <sheets>
    <sheet name="1 Business Model Canvas" sheetId="15" r:id="rId1"/>
    <sheet name="2 Investment" sheetId="16" r:id="rId2"/>
    <sheet name="3 Product financial details" sheetId="14" r:id="rId3"/>
    <sheet name="4 Projection 3Y" sheetId="1" r:id="rId4"/>
    <sheet name="Variable Costs" sheetId="20" r:id="rId5"/>
    <sheet name="Fixed Costs" sheetId="17" r:id="rId6"/>
    <sheet name="Breakeven Analysis" sheetId="18" r:id="rId7"/>
  </sheets>
  <externalReferences>
    <externalReference r:id="rId8"/>
    <externalReference r:id="rId9"/>
    <externalReference r:id="rId10"/>
  </externalReferences>
  <definedNames>
    <definedName name="_aop182">#REF!</definedName>
    <definedName name="_xlchart.v1.0" hidden="1">'3 Product financial details'!$A$45:$A$50</definedName>
    <definedName name="_xlchart.v1.1" hidden="1">'3 Product financial details'!$B$45:$B$50</definedName>
    <definedName name="Adresa">#REF!</definedName>
    <definedName name="Beg_Bal">'[1]Amortization Table'!$C$19:$C$378</definedName>
    <definedName name="Cum_Int">#REF!</definedName>
    <definedName name="Data">#REF!</definedName>
    <definedName name="dd">Scheduled_Payment+Extra_Payment</definedName>
    <definedName name="Direktor">#REF!</definedName>
    <definedName name="Djelatnost">#REF!</definedName>
    <definedName name="e">#REF!</definedName>
    <definedName name="End_Bal">'[1]Amortization Table'!$I$19:$I$378</definedName>
    <definedName name="Extra_Pay">'[1]Amortization Table'!$E$19:$E$378</definedName>
    <definedName name="ff">#REF!</definedName>
    <definedName name="ffd">#REF!</definedName>
    <definedName name="Firma">#REF!</definedName>
    <definedName name="Full_Print">'[1]Amortization Table'!$A$1:$J$378</definedName>
    <definedName name="gg">#REF!</definedName>
    <definedName name="Graf">#REF!</definedName>
    <definedName name="Header_Row">ROW('[1]Amortization Table'!$18:$18)</definedName>
    <definedName name="Int">'[1]Amortization Table'!$H$19:$H$378</definedName>
    <definedName name="Interest_Rate">'[1]Amortization Table'!$D$7</definedName>
    <definedName name="jj">#REF!</definedName>
    <definedName name="l">#REF!</definedName>
    <definedName name="Last_Row" localSheetId="3">IF('4 Projection 3Y'!Values_Entered,[0]!Header_Row+'4 Projection 3Y'!Number_of_Payments,[0]!Header_Row)</definedName>
    <definedName name="Last_Row">IF(Values_Entered,Header_Row+Number_of_Payments,Header_Row)</definedName>
    <definedName name="Loan_Amount">'[1]Amortization Table'!$D$6</definedName>
    <definedName name="Loan_Start">'[1]Amortization Table'!$D$10</definedName>
    <definedName name="Loan_Years">'[1]Amortization Table'!$D$8</definedName>
    <definedName name="Lookups17">#REF!</definedName>
    <definedName name="Lookups18">#REF!</definedName>
    <definedName name="nakož">#REF!</definedName>
    <definedName name="Num_Pmt_Per_Year">'[1]Amortization Table'!$D$9</definedName>
    <definedName name="Number_of_Payments" localSheetId="3">MATCH(0.01,[0]!End_Bal,-1)+1</definedName>
    <definedName name="Number_of_Payments">MATCH(0.01,End_Bal,-1)+1</definedName>
    <definedName name="Obaveze">#REF!</definedName>
    <definedName name="Pay_Date">#REF!</definedName>
    <definedName name="Pay_Num">'[1]Amortization Table'!$A$19:$A$378</definedName>
    <definedName name="Payment_Date" localSheetId="3">DATE(YEAR([2]!Loan_Start),MONTH([2]!Loan_Start)+Payment_Number,DAY([2]!Loan_Start))</definedName>
    <definedName name="Payment_Date">DATE(YEAR(Loan_Start),MONTH(Loan_Start)+Payment_Number,DAY(Loan_Start))</definedName>
    <definedName name="Princ">'[1]Amortization Table'!$G$19:$G$378</definedName>
    <definedName name="_xlnm.Print_Area" localSheetId="3">'4 Projection 3Y'!$A$1:$N$27</definedName>
    <definedName name="Print_Area_Reset" localSheetId="3">OFFSET([0]!Full_Print,0,0,'4 Projection 3Y'!Last_Row)</definedName>
    <definedName name="Print_Area_Reset">OFFSET(Full_Print,0,0,Last_Row)</definedName>
    <definedName name="Sched_Pay">'[1]Amortization Table'!$D$19:$D$378</definedName>
    <definedName name="Scheduled_Extra_Payments">'[1]Amortization Table'!$D$11</definedName>
    <definedName name="Scheduled_Interest_Rate">#REF!</definedName>
    <definedName name="Scheduled_Monthly_Payment">'[1]Amortization Table'!$H$6</definedName>
    <definedName name="Sjedište">#REF!</definedName>
    <definedName name="Sredstva">#REF!</definedName>
    <definedName name="ss">OFFSET(Full_Print,0,0,Last_Row)</definedName>
    <definedName name="Total_Interest">#REF!</definedName>
    <definedName name="Total_Pay">'[1]Amortization Table'!$F$19:$F$378</definedName>
    <definedName name="Total_Payment" localSheetId="3">Scheduled_Payment+Extra_Payment</definedName>
    <definedName name="Total_Payment">Scheduled_Payment+Extra_Payment</definedName>
    <definedName name="Values_Entered" localSheetId="3">IF([0]!Loan_Amount*[0]!Interest_Rate*[0]!Loan_Years*[0]!Loan_Start&gt;0,1,0)</definedName>
    <definedName name="Values_Entered">IF(Loan_Amount*Interest_Rate*Loan_Years*Loan_Start&gt;0,1,0)</definedName>
    <definedName name="VećinskiVlasni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7" i="18" l="1"/>
  <c r="C38" i="18"/>
  <c r="C39" i="18"/>
  <c r="D39" i="18" s="1"/>
  <c r="F39" i="18" s="1"/>
  <c r="H39" i="18" s="1"/>
  <c r="C40" i="18"/>
  <c r="C41" i="18"/>
  <c r="C42" i="18"/>
  <c r="C43" i="18"/>
  <c r="C44" i="18"/>
  <c r="D44" i="18" s="1"/>
  <c r="F44" i="18" s="1"/>
  <c r="H44" i="18" s="1"/>
  <c r="C45" i="18"/>
  <c r="C46" i="18"/>
  <c r="C47" i="18"/>
  <c r="C36" i="18"/>
  <c r="D36" i="18" s="1"/>
  <c r="F36" i="18" s="1"/>
  <c r="H36" i="18" s="1"/>
  <c r="C21" i="18"/>
  <c r="C22" i="18"/>
  <c r="C23" i="18"/>
  <c r="C24" i="18"/>
  <c r="D24" i="18" s="1"/>
  <c r="C25" i="18"/>
  <c r="C26" i="18"/>
  <c r="C27" i="18"/>
  <c r="C28" i="18"/>
  <c r="D28" i="18" s="1"/>
  <c r="C29" i="18"/>
  <c r="C30" i="18"/>
  <c r="C31" i="18"/>
  <c r="C20" i="18"/>
  <c r="D20" i="18" s="1"/>
  <c r="C14" i="18"/>
  <c r="D14" i="18" s="1"/>
  <c r="C13" i="18"/>
  <c r="C12" i="18"/>
  <c r="C11" i="18"/>
  <c r="C10" i="18"/>
  <c r="D10" i="18" s="1"/>
  <c r="C9" i="18"/>
  <c r="C8" i="18"/>
  <c r="C7" i="18"/>
  <c r="C6" i="18"/>
  <c r="D6" i="18" s="1"/>
  <c r="C5" i="18"/>
  <c r="C4" i="18"/>
  <c r="D7" i="18"/>
  <c r="D11" i="18"/>
  <c r="C3" i="18"/>
  <c r="E3" i="20"/>
  <c r="E4" i="20"/>
  <c r="E5" i="20"/>
  <c r="E6" i="20"/>
  <c r="E7" i="20"/>
  <c r="E8" i="20"/>
  <c r="E9" i="20"/>
  <c r="E10" i="20"/>
  <c r="E11" i="20"/>
  <c r="E12" i="20"/>
  <c r="E13" i="20"/>
  <c r="E14" i="20"/>
  <c r="E18" i="20"/>
  <c r="E19" i="20"/>
  <c r="E20" i="20"/>
  <c r="E21" i="20"/>
  <c r="E22" i="20"/>
  <c r="E23" i="20"/>
  <c r="E24" i="20"/>
  <c r="E25" i="20"/>
  <c r="E26" i="20"/>
  <c r="E27" i="20"/>
  <c r="E28" i="20"/>
  <c r="E29" i="20"/>
  <c r="E33" i="20"/>
  <c r="E34" i="20"/>
  <c r="E35" i="20"/>
  <c r="E36" i="20"/>
  <c r="E37" i="20"/>
  <c r="E38" i="20"/>
  <c r="E39" i="20"/>
  <c r="E40" i="20"/>
  <c r="E41" i="20"/>
  <c r="E42" i="20"/>
  <c r="E43" i="20"/>
  <c r="E44" i="20"/>
  <c r="D47" i="18"/>
  <c r="F47" i="18" s="1"/>
  <c r="H47" i="18" s="1"/>
  <c r="D46" i="18"/>
  <c r="F46" i="18" s="1"/>
  <c r="H46" i="18" s="1"/>
  <c r="D45" i="18"/>
  <c r="F45" i="18" s="1"/>
  <c r="H45" i="18" s="1"/>
  <c r="D43" i="18"/>
  <c r="F43" i="18" s="1"/>
  <c r="H43" i="18" s="1"/>
  <c r="D42" i="18"/>
  <c r="F42" i="18" s="1"/>
  <c r="H42" i="18" s="1"/>
  <c r="D41" i="18"/>
  <c r="F41" i="18" s="1"/>
  <c r="H41" i="18" s="1"/>
  <c r="D40" i="18"/>
  <c r="F40" i="18" s="1"/>
  <c r="H40" i="18" s="1"/>
  <c r="D38" i="18"/>
  <c r="F38" i="18" s="1"/>
  <c r="H38" i="18" s="1"/>
  <c r="D37" i="18"/>
  <c r="F37" i="18" s="1"/>
  <c r="H37" i="18" s="1"/>
  <c r="E31" i="18"/>
  <c r="D31" i="18"/>
  <c r="E30" i="18"/>
  <c r="F30" i="18" s="1"/>
  <c r="H30" i="18" s="1"/>
  <c r="D30" i="18"/>
  <c r="E29" i="18"/>
  <c r="F29" i="18" s="1"/>
  <c r="H29" i="18" s="1"/>
  <c r="D29" i="18"/>
  <c r="E28" i="18"/>
  <c r="E27" i="18"/>
  <c r="F27" i="18" s="1"/>
  <c r="H27" i="18" s="1"/>
  <c r="D27" i="18"/>
  <c r="E26" i="18"/>
  <c r="F26" i="18" s="1"/>
  <c r="H26" i="18" s="1"/>
  <c r="D26" i="18"/>
  <c r="E25" i="18"/>
  <c r="F25" i="18" s="1"/>
  <c r="H25" i="18" s="1"/>
  <c r="D25" i="18"/>
  <c r="E24" i="18"/>
  <c r="E23" i="18"/>
  <c r="F23" i="18" s="1"/>
  <c r="H23" i="18" s="1"/>
  <c r="D23" i="18"/>
  <c r="E22" i="18"/>
  <c r="F22" i="18" s="1"/>
  <c r="H22" i="18" s="1"/>
  <c r="D22" i="18"/>
  <c r="E21" i="18"/>
  <c r="F21" i="18" s="1"/>
  <c r="H21" i="18" s="1"/>
  <c r="D21" i="18"/>
  <c r="E20" i="18"/>
  <c r="E14" i="18"/>
  <c r="E13" i="18"/>
  <c r="D13" i="18"/>
  <c r="E12" i="18"/>
  <c r="D12" i="18"/>
  <c r="E11" i="18"/>
  <c r="E10" i="18"/>
  <c r="E9" i="18"/>
  <c r="D9" i="18"/>
  <c r="E8" i="18"/>
  <c r="D8" i="18"/>
  <c r="E7" i="18"/>
  <c r="E6" i="18"/>
  <c r="E5" i="18"/>
  <c r="D5" i="18"/>
  <c r="E4" i="18"/>
  <c r="D4" i="18"/>
  <c r="E3" i="18"/>
  <c r="D3" i="18"/>
  <c r="F55" i="17"/>
  <c r="F54" i="17"/>
  <c r="F53" i="17"/>
  <c r="F52" i="17"/>
  <c r="F51" i="17"/>
  <c r="F50" i="17"/>
  <c r="F49" i="17"/>
  <c r="F48" i="17"/>
  <c r="F47" i="17"/>
  <c r="F46" i="17"/>
  <c r="F45" i="17"/>
  <c r="F44" i="17"/>
  <c r="F39" i="17"/>
  <c r="F38" i="17"/>
  <c r="F37" i="17"/>
  <c r="F36" i="17"/>
  <c r="F35" i="17"/>
  <c r="F34" i="17"/>
  <c r="F33" i="17"/>
  <c r="F32" i="17"/>
  <c r="F31" i="17"/>
  <c r="F30" i="17"/>
  <c r="F29" i="17"/>
  <c r="F28" i="17"/>
  <c r="F24" i="17"/>
  <c r="F23" i="17"/>
  <c r="F22" i="17"/>
  <c r="F21" i="17"/>
  <c r="F20" i="17"/>
  <c r="F19" i="17"/>
  <c r="F18" i="17"/>
  <c r="F17" i="17"/>
  <c r="F16" i="17"/>
  <c r="F15" i="17"/>
  <c r="F14" i="17"/>
  <c r="F13" i="17"/>
  <c r="E15" i="1"/>
  <c r="D37" i="14"/>
  <c r="AM3" i="14"/>
  <c r="AM4" i="14"/>
  <c r="AN4" i="14" s="1"/>
  <c r="AM11" i="14"/>
  <c r="AM12" i="14"/>
  <c r="AM15" i="14"/>
  <c r="AM17" i="14"/>
  <c r="AM18" i="14"/>
  <c r="AM20" i="14"/>
  <c r="AM21" i="14"/>
  <c r="AM22" i="14"/>
  <c r="AM25" i="14"/>
  <c r="AM26" i="14"/>
  <c r="AM28" i="14"/>
  <c r="AM30" i="14"/>
  <c r="AM33" i="14"/>
  <c r="AM34" i="14"/>
  <c r="AM35" i="14"/>
  <c r="AM36" i="14"/>
  <c r="AM2" i="14"/>
  <c r="F24" i="18" l="1"/>
  <c r="H24" i="18" s="1"/>
  <c r="F28" i="18"/>
  <c r="H28" i="18" s="1"/>
  <c r="F31" i="18"/>
  <c r="H31" i="18" s="1"/>
  <c r="F20" i="18"/>
  <c r="H20" i="18" s="1"/>
  <c r="F4" i="18"/>
  <c r="H4" i="18" s="1"/>
  <c r="F12" i="18"/>
  <c r="H12" i="18" s="1"/>
  <c r="F8" i="18"/>
  <c r="H8" i="18" s="1"/>
  <c r="F6" i="18"/>
  <c r="H6" i="18" s="1"/>
  <c r="F5" i="18"/>
  <c r="H5" i="18" s="1"/>
  <c r="F7" i="18"/>
  <c r="H7" i="18" s="1"/>
  <c r="F9" i="18"/>
  <c r="H9" i="18" s="1"/>
  <c r="F11" i="18"/>
  <c r="H11" i="18" s="1"/>
  <c r="F13" i="18"/>
  <c r="H13" i="18" s="1"/>
  <c r="F10" i="18"/>
  <c r="H10" i="18" s="1"/>
  <c r="F14" i="18"/>
  <c r="H14" i="18" s="1"/>
  <c r="F3" i="18"/>
  <c r="H3" i="18" s="1"/>
  <c r="B46" i="14"/>
  <c r="B45" i="14"/>
  <c r="AN24" i="1"/>
  <c r="AN4" i="1"/>
  <c r="AN5" i="1"/>
  <c r="AN6" i="1"/>
  <c r="AN7" i="1"/>
  <c r="AN8" i="1"/>
  <c r="AN9" i="1"/>
  <c r="AN10" i="1"/>
  <c r="AN11" i="1"/>
  <c r="AN12" i="1"/>
  <c r="AN13" i="1"/>
  <c r="AN14" i="1"/>
  <c r="AN16" i="1"/>
  <c r="AN3" i="1"/>
  <c r="D46" i="1" l="1"/>
  <c r="D45" i="1"/>
  <c r="D43" i="1"/>
  <c r="D44" i="1"/>
  <c r="D39" i="1"/>
  <c r="D42" i="1"/>
  <c r="D49" i="1"/>
  <c r="D41" i="1"/>
  <c r="D48" i="1"/>
  <c r="D40" i="1"/>
  <c r="D47" i="1"/>
  <c r="D50" i="1" l="1"/>
  <c r="C5" i="14"/>
  <c r="C6" i="14"/>
  <c r="B6" i="14"/>
  <c r="B5" i="14"/>
  <c r="AN25" i="1"/>
  <c r="C37" i="14" l="1"/>
  <c r="C38" i="14" s="1"/>
  <c r="D23" i="1" s="1"/>
  <c r="E37" i="14"/>
  <c r="E38" i="14" s="1"/>
  <c r="F23" i="1" s="1"/>
  <c r="F37" i="14"/>
  <c r="F38" i="14" s="1"/>
  <c r="G23" i="1" s="1"/>
  <c r="G37" i="14"/>
  <c r="G38" i="14" s="1"/>
  <c r="H23" i="1" s="1"/>
  <c r="H37" i="14"/>
  <c r="H38" i="14" s="1"/>
  <c r="I23" i="1" s="1"/>
  <c r="I37" i="14"/>
  <c r="I38" i="14" s="1"/>
  <c r="J23" i="1" s="1"/>
  <c r="J37" i="14"/>
  <c r="J38" i="14" s="1"/>
  <c r="K23" i="1" s="1"/>
  <c r="K37" i="14"/>
  <c r="K38" i="14" s="1"/>
  <c r="L23" i="1" s="1"/>
  <c r="L37" i="14"/>
  <c r="L38" i="14" s="1"/>
  <c r="M23" i="1" s="1"/>
  <c r="M37" i="14"/>
  <c r="M38" i="14" s="1"/>
  <c r="N23" i="1" s="1"/>
  <c r="N37" i="14"/>
  <c r="O37" i="14"/>
  <c r="P37" i="14"/>
  <c r="P38" i="14" s="1"/>
  <c r="Q23" i="1" s="1"/>
  <c r="Q37" i="14"/>
  <c r="Q38" i="14" s="1"/>
  <c r="R23" i="1" s="1"/>
  <c r="R37" i="14"/>
  <c r="R38" i="14" s="1"/>
  <c r="S23" i="1" s="1"/>
  <c r="S37" i="14"/>
  <c r="S38" i="14" s="1"/>
  <c r="T23" i="1" s="1"/>
  <c r="T37" i="14"/>
  <c r="U37" i="14"/>
  <c r="U38" i="14" s="1"/>
  <c r="V23" i="1" s="1"/>
  <c r="V37" i="14"/>
  <c r="V38" i="14" s="1"/>
  <c r="W23" i="1" s="1"/>
  <c r="W37" i="14"/>
  <c r="W38" i="14" s="1"/>
  <c r="X23" i="1" s="1"/>
  <c r="X37" i="14"/>
  <c r="X38" i="14" s="1"/>
  <c r="Y23" i="1" s="1"/>
  <c r="Y37" i="14"/>
  <c r="Y38" i="14" s="1"/>
  <c r="Z23" i="1" s="1"/>
  <c r="Z37" i="14"/>
  <c r="AA37" i="14"/>
  <c r="AA38" i="14" s="1"/>
  <c r="AB23" i="1" s="1"/>
  <c r="AB37" i="14"/>
  <c r="AB38" i="14" s="1"/>
  <c r="AC23" i="1" s="1"/>
  <c r="AC37" i="14"/>
  <c r="AC38" i="14" s="1"/>
  <c r="AD23" i="1" s="1"/>
  <c r="AD37" i="14"/>
  <c r="AD38" i="14" s="1"/>
  <c r="AE23" i="1" s="1"/>
  <c r="AE37" i="14"/>
  <c r="AE38" i="14" s="1"/>
  <c r="AF23" i="1" s="1"/>
  <c r="AF37" i="14"/>
  <c r="AF38" i="14" s="1"/>
  <c r="AG23" i="1" s="1"/>
  <c r="AG37" i="14"/>
  <c r="AG38" i="14" s="1"/>
  <c r="AH23" i="1" s="1"/>
  <c r="AH37" i="14"/>
  <c r="AH38" i="14" s="1"/>
  <c r="AI23" i="1" s="1"/>
  <c r="AI37" i="14"/>
  <c r="AI38" i="14" s="1"/>
  <c r="AJ23" i="1" s="1"/>
  <c r="AJ37" i="14"/>
  <c r="AJ38" i="14" s="1"/>
  <c r="AK23" i="1" s="1"/>
  <c r="AK37" i="14"/>
  <c r="AK38" i="14" s="1"/>
  <c r="AL23" i="1" s="1"/>
  <c r="B37" i="14"/>
  <c r="B38" i="14" s="1"/>
  <c r="C23" i="1" s="1"/>
  <c r="C40" i="1"/>
  <c r="C41" i="1"/>
  <c r="C42" i="1"/>
  <c r="C43" i="1"/>
  <c r="C44" i="1"/>
  <c r="C45" i="1"/>
  <c r="C46" i="1"/>
  <c r="C47" i="1"/>
  <c r="C48" i="1"/>
  <c r="C49" i="1"/>
  <c r="C39" i="1"/>
  <c r="AL15" i="1"/>
  <c r="AL17" i="1" s="1"/>
  <c r="AL19" i="1"/>
  <c r="O15" i="1"/>
  <c r="O17" i="1" s="1"/>
  <c r="P15" i="1"/>
  <c r="P17" i="1" s="1"/>
  <c r="Q15" i="1"/>
  <c r="Q17" i="1" s="1"/>
  <c r="R15" i="1"/>
  <c r="R17" i="1" s="1"/>
  <c r="S15" i="1"/>
  <c r="S17" i="1" s="1"/>
  <c r="T15" i="1"/>
  <c r="T17" i="1" s="1"/>
  <c r="U15" i="1"/>
  <c r="U17" i="1" s="1"/>
  <c r="V15" i="1"/>
  <c r="V17" i="1" s="1"/>
  <c r="W15" i="1"/>
  <c r="X15" i="1"/>
  <c r="X17" i="1" s="1"/>
  <c r="Y15" i="1"/>
  <c r="Y17" i="1" s="1"/>
  <c r="Z15" i="1"/>
  <c r="Z17" i="1" s="1"/>
  <c r="AA15" i="1"/>
  <c r="AA17" i="1" s="1"/>
  <c r="AB15" i="1"/>
  <c r="AB17" i="1" s="1"/>
  <c r="AC15" i="1"/>
  <c r="AC17" i="1" s="1"/>
  <c r="AD15" i="1"/>
  <c r="AD17" i="1" s="1"/>
  <c r="AE15" i="1"/>
  <c r="AE17" i="1" s="1"/>
  <c r="AF15" i="1"/>
  <c r="AF17" i="1" s="1"/>
  <c r="AG15" i="1"/>
  <c r="AG17" i="1" s="1"/>
  <c r="AH15" i="1"/>
  <c r="AH17" i="1" s="1"/>
  <c r="AI15" i="1"/>
  <c r="AI17" i="1" s="1"/>
  <c r="AJ15" i="1"/>
  <c r="AJ17" i="1" s="1"/>
  <c r="AK15" i="1"/>
  <c r="AK17" i="1" s="1"/>
  <c r="W17" i="1"/>
  <c r="O19" i="1"/>
  <c r="P19" i="1"/>
  <c r="Q19" i="1"/>
  <c r="R19" i="1"/>
  <c r="S19" i="1"/>
  <c r="T19" i="1"/>
  <c r="U19" i="1"/>
  <c r="V19" i="1"/>
  <c r="W19" i="1"/>
  <c r="X19" i="1"/>
  <c r="Y19" i="1"/>
  <c r="Z19" i="1"/>
  <c r="AA19" i="1"/>
  <c r="AB19" i="1"/>
  <c r="AC19" i="1"/>
  <c r="AD19" i="1"/>
  <c r="AE19" i="1"/>
  <c r="AF19" i="1"/>
  <c r="AG19" i="1"/>
  <c r="AH19" i="1"/>
  <c r="AI19" i="1"/>
  <c r="AJ19" i="1"/>
  <c r="AK19" i="1"/>
  <c r="A4" i="1"/>
  <c r="A5" i="1" s="1"/>
  <c r="A6" i="1" s="1"/>
  <c r="A7" i="1" s="1"/>
  <c r="A8" i="1" s="1"/>
  <c r="A9" i="1" s="1"/>
  <c r="A10" i="1" s="1"/>
  <c r="A11" i="1" s="1"/>
  <c r="A12" i="1" s="1"/>
  <c r="A13" i="1" s="1"/>
  <c r="A14" i="1" s="1"/>
  <c r="A15" i="1" s="1"/>
  <c r="A16" i="1" s="1"/>
  <c r="D19" i="1"/>
  <c r="E19" i="1"/>
  <c r="F19" i="1"/>
  <c r="G19" i="1"/>
  <c r="H19" i="1"/>
  <c r="I19" i="1"/>
  <c r="J19" i="1"/>
  <c r="K19" i="1"/>
  <c r="L19" i="1"/>
  <c r="M19" i="1"/>
  <c r="N19" i="1"/>
  <c r="C19" i="1"/>
  <c r="B20" i="16"/>
  <c r="C18" i="1" s="1"/>
  <c r="AN18" i="1" s="1"/>
  <c r="D15" i="1"/>
  <c r="D17" i="1" s="1"/>
  <c r="E17" i="1"/>
  <c r="F15" i="1"/>
  <c r="F17" i="1" s="1"/>
  <c r="G15" i="1"/>
  <c r="G17" i="1" s="1"/>
  <c r="H15" i="1"/>
  <c r="H17" i="1" s="1"/>
  <c r="I15" i="1"/>
  <c r="I17" i="1" s="1"/>
  <c r="J15" i="1"/>
  <c r="J17" i="1" s="1"/>
  <c r="K15" i="1"/>
  <c r="K17" i="1" s="1"/>
  <c r="L15" i="1"/>
  <c r="L17" i="1" s="1"/>
  <c r="M15" i="1"/>
  <c r="M17" i="1" s="1"/>
  <c r="N15" i="1"/>
  <c r="N17" i="1" s="1"/>
  <c r="C15" i="1"/>
  <c r="D13" i="14"/>
  <c r="D5" i="14" s="1"/>
  <c r="E13" i="14"/>
  <c r="F13" i="14"/>
  <c r="G13" i="14"/>
  <c r="G5" i="14" s="1"/>
  <c r="H13" i="14"/>
  <c r="H5" i="14" s="1"/>
  <c r="I13" i="14"/>
  <c r="I5" i="14" s="1"/>
  <c r="J13" i="14"/>
  <c r="J5" i="14" s="1"/>
  <c r="K13" i="14"/>
  <c r="K5" i="14" s="1"/>
  <c r="L13" i="14"/>
  <c r="L5" i="14" s="1"/>
  <c r="M13" i="14"/>
  <c r="N13" i="14"/>
  <c r="O13" i="14"/>
  <c r="O5" i="14" s="1"/>
  <c r="P13" i="14"/>
  <c r="P5" i="14" s="1"/>
  <c r="Q13" i="14"/>
  <c r="Q5" i="14" s="1"/>
  <c r="R13" i="14"/>
  <c r="S13" i="14"/>
  <c r="S5" i="14" s="1"/>
  <c r="T13" i="14"/>
  <c r="T5" i="14" s="1"/>
  <c r="U13" i="14"/>
  <c r="V13" i="14"/>
  <c r="W13" i="14"/>
  <c r="W5" i="14" s="1"/>
  <c r="X13" i="14"/>
  <c r="X5" i="14" s="1"/>
  <c r="Y13" i="14"/>
  <c r="Y5" i="14" s="1"/>
  <c r="Z13" i="14"/>
  <c r="AA13" i="14"/>
  <c r="AA5" i="14" s="1"/>
  <c r="AB13" i="14"/>
  <c r="AB5" i="14" s="1"/>
  <c r="AC13" i="14"/>
  <c r="AD13" i="14"/>
  <c r="AE13" i="14"/>
  <c r="AE5" i="14" s="1"/>
  <c r="AF13" i="14"/>
  <c r="AG13" i="14"/>
  <c r="AG5" i="14" s="1"/>
  <c r="AH13" i="14"/>
  <c r="AI13" i="14"/>
  <c r="AI5" i="14" s="1"/>
  <c r="AJ13" i="14"/>
  <c r="AK13" i="14"/>
  <c r="D16" i="14"/>
  <c r="E16" i="14"/>
  <c r="G16" i="14"/>
  <c r="I16" i="14"/>
  <c r="J16" i="14"/>
  <c r="K16" i="14"/>
  <c r="L16" i="14"/>
  <c r="M16" i="14"/>
  <c r="N16" i="14"/>
  <c r="O16" i="14"/>
  <c r="P16" i="14"/>
  <c r="Q16" i="14"/>
  <c r="R16" i="14"/>
  <c r="T16" i="14"/>
  <c r="U16" i="14"/>
  <c r="V16" i="14"/>
  <c r="W16" i="14"/>
  <c r="X16" i="14"/>
  <c r="AA16" i="14"/>
  <c r="AB16" i="14"/>
  <c r="AC16" i="14"/>
  <c r="AE16" i="14"/>
  <c r="AF16" i="14"/>
  <c r="AI16" i="14"/>
  <c r="AJ16" i="14"/>
  <c r="AK16" i="14"/>
  <c r="F16" i="14"/>
  <c r="F23" i="14" s="1"/>
  <c r="F6" i="14" s="1"/>
  <c r="H16" i="14"/>
  <c r="S16" i="14"/>
  <c r="Y16" i="14"/>
  <c r="Z16" i="14"/>
  <c r="AD16" i="14"/>
  <c r="AG16" i="14"/>
  <c r="AH16" i="14"/>
  <c r="D19" i="14"/>
  <c r="E19" i="14"/>
  <c r="F19" i="14"/>
  <c r="G19" i="14"/>
  <c r="H19" i="14"/>
  <c r="I19" i="14"/>
  <c r="J19" i="14"/>
  <c r="K19" i="14"/>
  <c r="L19" i="14"/>
  <c r="M19" i="14"/>
  <c r="N19" i="14"/>
  <c r="O19" i="14"/>
  <c r="P19" i="14"/>
  <c r="Q19" i="14"/>
  <c r="R19" i="14"/>
  <c r="S19" i="14"/>
  <c r="S23" i="14" s="1"/>
  <c r="T19" i="14"/>
  <c r="U19" i="14"/>
  <c r="V19" i="14"/>
  <c r="W19" i="14"/>
  <c r="X19" i="14"/>
  <c r="Y19" i="14"/>
  <c r="Z19" i="14"/>
  <c r="AA19" i="14"/>
  <c r="AB19" i="14"/>
  <c r="AC19" i="14"/>
  <c r="AD19" i="14"/>
  <c r="AE19" i="14"/>
  <c r="AF19" i="14"/>
  <c r="AG19" i="14"/>
  <c r="AH19" i="14"/>
  <c r="AI19" i="14"/>
  <c r="AJ19" i="14"/>
  <c r="AK19" i="14"/>
  <c r="D27" i="14"/>
  <c r="E27" i="14"/>
  <c r="F27" i="14"/>
  <c r="G27" i="14"/>
  <c r="H27" i="14"/>
  <c r="I27" i="14"/>
  <c r="J27" i="14"/>
  <c r="K27" i="14"/>
  <c r="L27" i="14"/>
  <c r="M27" i="14"/>
  <c r="N27" i="14"/>
  <c r="O27" i="14"/>
  <c r="P27" i="14"/>
  <c r="Q27" i="14"/>
  <c r="R27" i="14"/>
  <c r="S27" i="14"/>
  <c r="T27" i="14"/>
  <c r="U27" i="14"/>
  <c r="V27" i="14"/>
  <c r="W27" i="14"/>
  <c r="X27" i="14"/>
  <c r="Y27" i="14"/>
  <c r="Z27" i="14"/>
  <c r="AA27" i="14"/>
  <c r="AB27" i="14"/>
  <c r="AC27" i="14"/>
  <c r="AD27" i="14"/>
  <c r="AE27" i="14"/>
  <c r="AF27" i="14"/>
  <c r="AG27" i="14"/>
  <c r="AH27" i="14"/>
  <c r="AI27" i="14"/>
  <c r="AJ27" i="14"/>
  <c r="AK27" i="14"/>
  <c r="D29" i="14"/>
  <c r="E29" i="14"/>
  <c r="F29" i="14"/>
  <c r="G29" i="14"/>
  <c r="H29" i="14"/>
  <c r="I29" i="14"/>
  <c r="J29" i="14"/>
  <c r="K29" i="14"/>
  <c r="L29" i="14"/>
  <c r="M29" i="14"/>
  <c r="N29" i="14"/>
  <c r="N31" i="14" s="1"/>
  <c r="O22" i="1" s="1"/>
  <c r="O29" i="14"/>
  <c r="P29" i="14"/>
  <c r="Q29" i="14"/>
  <c r="R29" i="14"/>
  <c r="S29" i="14"/>
  <c r="T29" i="14"/>
  <c r="U29" i="14"/>
  <c r="V29" i="14"/>
  <c r="V31" i="14" s="1"/>
  <c r="W22" i="1" s="1"/>
  <c r="W29" i="14"/>
  <c r="X29" i="14"/>
  <c r="Y29" i="14"/>
  <c r="Z29" i="14"/>
  <c r="AA29" i="14"/>
  <c r="AB29" i="14"/>
  <c r="AC29" i="14"/>
  <c r="AD29" i="14"/>
  <c r="AD31" i="14" s="1"/>
  <c r="AE22" i="1" s="1"/>
  <c r="AE29" i="14"/>
  <c r="AF29" i="14"/>
  <c r="AG29" i="14"/>
  <c r="AH29" i="14"/>
  <c r="AI29" i="14"/>
  <c r="AJ29" i="14"/>
  <c r="AK29" i="14"/>
  <c r="F31" i="14"/>
  <c r="G22" i="1" s="1"/>
  <c r="N38" i="14"/>
  <c r="O23" i="1" s="1"/>
  <c r="O38" i="14"/>
  <c r="P23" i="1" s="1"/>
  <c r="Z38" i="14"/>
  <c r="AA23" i="1" s="1"/>
  <c r="D38" i="14"/>
  <c r="E23" i="1" s="1"/>
  <c r="C13" i="14"/>
  <c r="D20" i="1" s="1"/>
  <c r="C16" i="14"/>
  <c r="C19" i="14"/>
  <c r="C27" i="14"/>
  <c r="C29" i="14"/>
  <c r="B29" i="14"/>
  <c r="B27" i="14"/>
  <c r="B19" i="14"/>
  <c r="B16" i="14"/>
  <c r="B13" i="14"/>
  <c r="C35" i="1"/>
  <c r="C36" i="1" s="1"/>
  <c r="A19" i="1"/>
  <c r="A20" i="1" s="1"/>
  <c r="A21" i="1" s="1"/>
  <c r="A22" i="1" s="1"/>
  <c r="A23" i="1" s="1"/>
  <c r="A24" i="1" s="1"/>
  <c r="A25" i="1" s="1"/>
  <c r="AM29" i="14" l="1"/>
  <c r="AM27" i="14"/>
  <c r="C31" i="14"/>
  <c r="D22" i="1" s="1"/>
  <c r="R23" i="14"/>
  <c r="R6" i="14" s="1"/>
  <c r="J23" i="14"/>
  <c r="H23" i="14"/>
  <c r="AM16" i="14"/>
  <c r="AM19" i="14"/>
  <c r="Q23" i="14"/>
  <c r="Q6" i="14" s="1"/>
  <c r="AG23" i="14"/>
  <c r="AG6" i="14" s="1"/>
  <c r="AG7" i="14" s="1"/>
  <c r="AG8" i="14" s="1"/>
  <c r="G31" i="14"/>
  <c r="H22" i="1" s="1"/>
  <c r="B31" i="14"/>
  <c r="C22" i="1" s="1"/>
  <c r="AF5" i="14"/>
  <c r="AM13" i="14"/>
  <c r="T38" i="14"/>
  <c r="AM37" i="14"/>
  <c r="AE31" i="14"/>
  <c r="AF22" i="1" s="1"/>
  <c r="O31" i="14"/>
  <c r="P22" i="1" s="1"/>
  <c r="I23" i="14"/>
  <c r="I6" i="14" s="1"/>
  <c r="I7" i="14" s="1"/>
  <c r="I8" i="14" s="1"/>
  <c r="L20" i="1"/>
  <c r="Z23" i="14"/>
  <c r="Z6" i="14" s="1"/>
  <c r="AB20" i="1"/>
  <c r="K21" i="1"/>
  <c r="J6" i="14"/>
  <c r="J7" i="14" s="1"/>
  <c r="J8" i="14" s="1"/>
  <c r="I21" i="1"/>
  <c r="H6" i="14"/>
  <c r="H7" i="14" s="1"/>
  <c r="H8" i="14" s="1"/>
  <c r="X31" i="14"/>
  <c r="Y22" i="1" s="1"/>
  <c r="H31" i="14"/>
  <c r="I22" i="1" s="1"/>
  <c r="AA23" i="14"/>
  <c r="AA6" i="14" s="1"/>
  <c r="AA7" i="14" s="1"/>
  <c r="AA8" i="14" s="1"/>
  <c r="C17" i="1"/>
  <c r="AN15" i="1"/>
  <c r="AN17" i="1" s="1"/>
  <c r="U20" i="1"/>
  <c r="AF31" i="14"/>
  <c r="AG22" i="1" s="1"/>
  <c r="P31" i="14"/>
  <c r="Q22" i="1" s="1"/>
  <c r="V23" i="14"/>
  <c r="V6" i="14" s="1"/>
  <c r="AK23" i="14"/>
  <c r="AK6" i="14" s="1"/>
  <c r="X23" i="14"/>
  <c r="X6" i="14" s="1"/>
  <c r="X7" i="14" s="1"/>
  <c r="X8" i="14" s="1"/>
  <c r="P23" i="14"/>
  <c r="P6" i="14" s="1"/>
  <c r="P7" i="14" s="1"/>
  <c r="P8" i="14" s="1"/>
  <c r="AI20" i="1"/>
  <c r="AH5" i="14"/>
  <c r="AA20" i="1"/>
  <c r="Z5" i="14"/>
  <c r="S20" i="1"/>
  <c r="R5" i="14"/>
  <c r="R7" i="14" s="1"/>
  <c r="R8" i="14" s="1"/>
  <c r="M20" i="1"/>
  <c r="T20" i="1"/>
  <c r="T21" i="1"/>
  <c r="S6" i="14"/>
  <c r="S7" i="14" s="1"/>
  <c r="S8" i="14" s="1"/>
  <c r="AK31" i="14"/>
  <c r="AL22" i="1" s="1"/>
  <c r="AC31" i="14"/>
  <c r="AD22" i="1" s="1"/>
  <c r="U31" i="14"/>
  <c r="V22" i="1" s="1"/>
  <c r="M31" i="14"/>
  <c r="N22" i="1" s="1"/>
  <c r="E31" i="14"/>
  <c r="F22" i="1" s="1"/>
  <c r="N23" i="14"/>
  <c r="N6" i="14" s="1"/>
  <c r="E20" i="1"/>
  <c r="U23" i="14"/>
  <c r="U6" i="14" s="1"/>
  <c r="M23" i="14"/>
  <c r="M6" i="14" s="1"/>
  <c r="E23" i="14"/>
  <c r="E6" i="14" s="1"/>
  <c r="AE20" i="1"/>
  <c r="AD5" i="14"/>
  <c r="W20" i="1"/>
  <c r="V5" i="14"/>
  <c r="O20" i="1"/>
  <c r="N5" i="14"/>
  <c r="G20" i="1"/>
  <c r="F5" i="14"/>
  <c r="F7" i="14" s="1"/>
  <c r="F8" i="14" s="1"/>
  <c r="AN19" i="1"/>
  <c r="AK20" i="1"/>
  <c r="AJ5" i="14"/>
  <c r="AH31" i="14"/>
  <c r="AI22" i="1" s="1"/>
  <c r="Z31" i="14"/>
  <c r="AA22" i="1" s="1"/>
  <c r="R31" i="14"/>
  <c r="S22" i="1" s="1"/>
  <c r="J31" i="14"/>
  <c r="K22" i="1" s="1"/>
  <c r="AD23" i="14"/>
  <c r="AD6" i="14" s="1"/>
  <c r="AC23" i="14"/>
  <c r="AC6" i="14" s="1"/>
  <c r="K23" i="14"/>
  <c r="K6" i="14" s="1"/>
  <c r="K7" i="14" s="1"/>
  <c r="K8" i="14" s="1"/>
  <c r="AL20" i="1"/>
  <c r="AK5" i="14"/>
  <c r="AD20" i="1"/>
  <c r="AC5" i="14"/>
  <c r="V20" i="1"/>
  <c r="U5" i="14"/>
  <c r="N20" i="1"/>
  <c r="M5" i="14"/>
  <c r="F20" i="1"/>
  <c r="E5" i="14"/>
  <c r="AC20" i="1"/>
  <c r="C50" i="1"/>
  <c r="W31" i="14"/>
  <c r="X22" i="1" s="1"/>
  <c r="AI23" i="14"/>
  <c r="AI6" i="14" s="1"/>
  <c r="AI7" i="14" s="1"/>
  <c r="AI8" i="14" s="1"/>
  <c r="AH23" i="14"/>
  <c r="AH6" i="14" s="1"/>
  <c r="AF23" i="14"/>
  <c r="AF6" i="14" s="1"/>
  <c r="AJ20" i="1"/>
  <c r="Y23" i="14"/>
  <c r="Y6" i="14" s="1"/>
  <c r="Y7" i="14" s="1"/>
  <c r="Y8" i="14" s="1"/>
  <c r="Y21" i="1"/>
  <c r="G21" i="1"/>
  <c r="S21" i="1"/>
  <c r="Q7" i="14"/>
  <c r="Q8" i="14" s="1"/>
  <c r="R21" i="1"/>
  <c r="K20" i="1"/>
  <c r="AH20" i="1"/>
  <c r="Z20" i="1"/>
  <c r="R20" i="1"/>
  <c r="AL21" i="1"/>
  <c r="B23" i="14"/>
  <c r="AJ23" i="14"/>
  <c r="AJ6" i="14" s="1"/>
  <c r="AB23" i="14"/>
  <c r="AB6" i="14" s="1"/>
  <c r="T23" i="14"/>
  <c r="T6" i="14" s="1"/>
  <c r="L23" i="14"/>
  <c r="L6" i="14" s="1"/>
  <c r="D23" i="14"/>
  <c r="J20" i="1"/>
  <c r="AG20" i="1"/>
  <c r="Y20" i="1"/>
  <c r="Q20" i="1"/>
  <c r="AF20" i="1"/>
  <c r="P20" i="1"/>
  <c r="X20" i="1"/>
  <c r="AJ31" i="14"/>
  <c r="AK22" i="1" s="1"/>
  <c r="AB31" i="14"/>
  <c r="AC22" i="1" s="1"/>
  <c r="T31" i="14"/>
  <c r="U22" i="1" s="1"/>
  <c r="L31" i="14"/>
  <c r="M22" i="1" s="1"/>
  <c r="D31" i="14"/>
  <c r="H20" i="1"/>
  <c r="I20" i="1"/>
  <c r="I26" i="1" s="1"/>
  <c r="C23" i="14"/>
  <c r="AI31" i="14"/>
  <c r="AJ22" i="1" s="1"/>
  <c r="AA31" i="14"/>
  <c r="AB22" i="1" s="1"/>
  <c r="S31" i="14"/>
  <c r="T22" i="1" s="1"/>
  <c r="K31" i="14"/>
  <c r="L22" i="1" s="1"/>
  <c r="C20" i="1"/>
  <c r="AG31" i="14"/>
  <c r="AH22" i="1" s="1"/>
  <c r="Y31" i="14"/>
  <c r="Z22" i="1" s="1"/>
  <c r="Q31" i="14"/>
  <c r="R22" i="1" s="1"/>
  <c r="I31" i="14"/>
  <c r="J22" i="1" s="1"/>
  <c r="AE23" i="14"/>
  <c r="AE6" i="14" s="1"/>
  <c r="W23" i="14"/>
  <c r="W6" i="14" s="1"/>
  <c r="O23" i="14"/>
  <c r="O6" i="14" s="1"/>
  <c r="G23" i="14"/>
  <c r="G6" i="14" s="1"/>
  <c r="S26" i="1" l="1"/>
  <c r="S27" i="1" s="1"/>
  <c r="S29" i="1" s="1"/>
  <c r="AC7" i="14"/>
  <c r="AC8" i="14" s="1"/>
  <c r="L21" i="1"/>
  <c r="AA21" i="1"/>
  <c r="AH21" i="1"/>
  <c r="AH26" i="1" s="1"/>
  <c r="AH27" i="1" s="1"/>
  <c r="AH29" i="1" s="1"/>
  <c r="AB21" i="1"/>
  <c r="AE21" i="1"/>
  <c r="AE26" i="1" s="1"/>
  <c r="AE27" i="1" s="1"/>
  <c r="AE29" i="1" s="1"/>
  <c r="AI21" i="1"/>
  <c r="AI26" i="1" s="1"/>
  <c r="AI27" i="1" s="1"/>
  <c r="AI29" i="1" s="1"/>
  <c r="AD21" i="1"/>
  <c r="AD26" i="1" s="1"/>
  <c r="AD27" i="1" s="1"/>
  <c r="AD29" i="1" s="1"/>
  <c r="Q21" i="1"/>
  <c r="D6" i="14"/>
  <c r="B48" i="14" s="1"/>
  <c r="AM23" i="14"/>
  <c r="F21" i="1"/>
  <c r="F26" i="1" s="1"/>
  <c r="W21" i="1"/>
  <c r="W26" i="1" s="1"/>
  <c r="W27" i="1" s="1"/>
  <c r="W29" i="1" s="1"/>
  <c r="O21" i="1"/>
  <c r="O26" i="1" s="1"/>
  <c r="O27" i="1" s="1"/>
  <c r="O29" i="1" s="1"/>
  <c r="AF7" i="14"/>
  <c r="AF8" i="14" s="1"/>
  <c r="V7" i="14"/>
  <c r="V8" i="14" s="1"/>
  <c r="L26" i="1"/>
  <c r="Y26" i="1"/>
  <c r="Y27" i="1" s="1"/>
  <c r="Y29" i="1" s="1"/>
  <c r="J21" i="1"/>
  <c r="N7" i="14"/>
  <c r="N8" i="14" s="1"/>
  <c r="E22" i="1"/>
  <c r="AN22" i="1" s="1"/>
  <c r="AM31" i="14"/>
  <c r="K26" i="1"/>
  <c r="AK7" i="14"/>
  <c r="AK8" i="14" s="1"/>
  <c r="AM5" i="14"/>
  <c r="AN5" i="14" s="1"/>
  <c r="U23" i="1"/>
  <c r="AN23" i="1" s="1"/>
  <c r="AM38" i="14"/>
  <c r="B47" i="14"/>
  <c r="AB26" i="1"/>
  <c r="AB27" i="1" s="1"/>
  <c r="AB29" i="1" s="1"/>
  <c r="AL26" i="1"/>
  <c r="AL27" i="1" s="1"/>
  <c r="AL29" i="1" s="1"/>
  <c r="J26" i="1"/>
  <c r="E7" i="14"/>
  <c r="E8" i="14" s="1"/>
  <c r="Z21" i="1"/>
  <c r="Z26" i="1" s="1"/>
  <c r="Z27" i="1" s="1"/>
  <c r="Z29" i="1" s="1"/>
  <c r="AD7" i="14"/>
  <c r="AD8" i="14" s="1"/>
  <c r="Q26" i="1"/>
  <c r="Q27" i="1" s="1"/>
  <c r="Q29" i="1" s="1"/>
  <c r="U7" i="14"/>
  <c r="U8" i="14" s="1"/>
  <c r="T26" i="1"/>
  <c r="T27" i="1" s="1"/>
  <c r="T29" i="1" s="1"/>
  <c r="G26" i="1"/>
  <c r="M7" i="14"/>
  <c r="M8" i="14" s="1"/>
  <c r="AN20" i="1"/>
  <c r="AJ21" i="1"/>
  <c r="AJ26" i="1" s="1"/>
  <c r="AJ27" i="1" s="1"/>
  <c r="AJ29" i="1" s="1"/>
  <c r="R26" i="1"/>
  <c r="R27" i="1" s="1"/>
  <c r="R29" i="1" s="1"/>
  <c r="N21" i="1"/>
  <c r="N26" i="1" s="1"/>
  <c r="AA26" i="1"/>
  <c r="AA27" i="1" s="1"/>
  <c r="AA29" i="1" s="1"/>
  <c r="V21" i="1"/>
  <c r="V26" i="1" s="1"/>
  <c r="V27" i="1" s="1"/>
  <c r="V29" i="1" s="1"/>
  <c r="AG21" i="1"/>
  <c r="AG26" i="1" s="1"/>
  <c r="AG27" i="1" s="1"/>
  <c r="AG29" i="1" s="1"/>
  <c r="L7" i="14"/>
  <c r="L8" i="14" s="1"/>
  <c r="M21" i="1"/>
  <c r="M26" i="1" s="1"/>
  <c r="H21" i="1"/>
  <c r="H26" i="1" s="1"/>
  <c r="G7" i="14"/>
  <c r="G8" i="14" s="1"/>
  <c r="T7" i="14"/>
  <c r="U21" i="1"/>
  <c r="AB7" i="14"/>
  <c r="AB8" i="14" s="1"/>
  <c r="AC21" i="1"/>
  <c r="AC26" i="1" s="1"/>
  <c r="AC27" i="1" s="1"/>
  <c r="AC29" i="1" s="1"/>
  <c r="AE7" i="14"/>
  <c r="AE8" i="14" s="1"/>
  <c r="AF21" i="1"/>
  <c r="AF26" i="1" s="1"/>
  <c r="AF27" i="1" s="1"/>
  <c r="AF29" i="1" s="1"/>
  <c r="B7" i="14"/>
  <c r="B8" i="14" s="1"/>
  <c r="C21" i="1"/>
  <c r="O7" i="14"/>
  <c r="O8" i="14" s="1"/>
  <c r="P21" i="1"/>
  <c r="P26" i="1" s="1"/>
  <c r="P27" i="1" s="1"/>
  <c r="P29" i="1" s="1"/>
  <c r="W7" i="14"/>
  <c r="W8" i="14" s="1"/>
  <c r="X21" i="1"/>
  <c r="X26" i="1" s="1"/>
  <c r="X27" i="1" s="1"/>
  <c r="X29" i="1" s="1"/>
  <c r="AJ7" i="14"/>
  <c r="AJ8" i="14" s="1"/>
  <c r="AK21" i="1"/>
  <c r="AK26" i="1" s="1"/>
  <c r="AK27" i="1" s="1"/>
  <c r="AK29" i="1" s="1"/>
  <c r="AH7" i="14"/>
  <c r="AH8" i="14" s="1"/>
  <c r="D21" i="1"/>
  <c r="D26" i="1" s="1"/>
  <c r="C7" i="14"/>
  <c r="C8" i="14" s="1"/>
  <c r="E21" i="1"/>
  <c r="Z7" i="14"/>
  <c r="Z8" i="14" s="1"/>
  <c r="U26" i="1" l="1"/>
  <c r="U27" i="1" s="1"/>
  <c r="U29" i="1" s="1"/>
  <c r="E26" i="1"/>
  <c r="D7" i="14"/>
  <c r="D8" i="14" s="1"/>
  <c r="AM6" i="14"/>
  <c r="AN6" i="14" s="1"/>
  <c r="B50" i="14"/>
  <c r="T8" i="14"/>
  <c r="AM7" i="14"/>
  <c r="AN7" i="14" s="1"/>
  <c r="C26" i="1"/>
  <c r="AN21" i="1"/>
  <c r="AN26" i="1" s="1"/>
  <c r="AN27" i="1" s="1"/>
  <c r="I27" i="1"/>
  <c r="I29" i="1" s="1"/>
  <c r="M27" i="1"/>
  <c r="M29" i="1" s="1"/>
  <c r="E27" i="1"/>
  <c r="E29" i="1" s="1"/>
  <c r="K27" i="1"/>
  <c r="K29" i="1" s="1"/>
  <c r="G27" i="1"/>
  <c r="G29" i="1" s="1"/>
  <c r="D27" i="1"/>
  <c r="D29" i="1" s="1"/>
  <c r="H27" i="1"/>
  <c r="H29" i="1" s="1"/>
  <c r="L27" i="1"/>
  <c r="L29" i="1" s="1"/>
  <c r="F27" i="1"/>
  <c r="F29" i="1" s="1"/>
  <c r="J27" i="1"/>
  <c r="J29" i="1" s="1"/>
  <c r="N27" i="1"/>
  <c r="N29" i="1" s="1"/>
  <c r="AM8" i="14" l="1"/>
  <c r="AN8" i="14" s="1"/>
  <c r="C27" i="1"/>
  <c r="C29" i="1" l="1"/>
  <c r="C30" i="1" s="1"/>
  <c r="C28" i="1"/>
  <c r="D28" i="1" s="1"/>
  <c r="E28" i="1" s="1"/>
  <c r="F28" i="1" s="1"/>
  <c r="G28" i="1" s="1"/>
  <c r="H28" i="1" s="1"/>
  <c r="I28" i="1" s="1"/>
  <c r="J28" i="1" s="1"/>
  <c r="K28" i="1" s="1"/>
  <c r="L28" i="1" s="1"/>
  <c r="M28" i="1" s="1"/>
  <c r="N28" i="1" s="1"/>
  <c r="O28" i="1" s="1"/>
  <c r="P28" i="1" s="1"/>
  <c r="Q28" i="1" s="1"/>
  <c r="R28" i="1" s="1"/>
  <c r="S28" i="1" s="1"/>
  <c r="T28" i="1" s="1"/>
  <c r="U28" i="1" s="1"/>
  <c r="V28" i="1" s="1"/>
  <c r="W28" i="1" s="1"/>
  <c r="X28" i="1" s="1"/>
  <c r="Y28" i="1" s="1"/>
  <c r="Z28" i="1" s="1"/>
  <c r="AA28" i="1" s="1"/>
  <c r="AB28" i="1" s="1"/>
  <c r="AC28" i="1" s="1"/>
  <c r="AD28" i="1" s="1"/>
  <c r="AE28" i="1" s="1"/>
  <c r="AF28" i="1" s="1"/>
  <c r="AG28" i="1" s="1"/>
  <c r="AH28" i="1" s="1"/>
  <c r="AI28" i="1" s="1"/>
  <c r="AJ28" i="1" s="1"/>
  <c r="AK28" i="1" s="1"/>
  <c r="AL28" i="1" s="1"/>
  <c r="AN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author>
  </authors>
  <commentList>
    <comment ref="C6" authorId="0" shapeId="0" xr:uid="{00000000-0006-0000-0000-000001000000}">
      <text>
        <r>
          <rPr>
            <sz val="9"/>
            <color indexed="81"/>
            <rFont val="Tahoma"/>
            <family val="2"/>
          </rPr>
          <t>The value proposition provides value through various elements such as newness, performance, customization, "getting the job done", design, brand/status, price, cost reduction, risk reduction, accessibility, and convenience/usability.</t>
        </r>
      </text>
    </comment>
    <comment ref="C8" authorId="0" shapeId="0" xr:uid="{00000000-0006-0000-0000-000002000000}">
      <text>
        <r>
          <rPr>
            <sz val="9"/>
            <color indexed="81"/>
            <rFont val="Tahoma"/>
            <family val="2"/>
          </rPr>
          <t>To build an effective business model, a company must identify which customers it will serve. Various sets of customers can be segmented based on the different needs and characteristics of that group. The four main ways to segment customers in traditional marketing are Geographic, Demographic, Behavioral and Psychographic.</t>
        </r>
      </text>
    </comment>
    <comment ref="C10" authorId="0" shapeId="0" xr:uid="{00000000-0006-0000-0000-000003000000}">
      <text>
        <r>
          <rPr>
            <sz val="9"/>
            <color indexed="81"/>
            <rFont val="Tahoma"/>
            <family val="2"/>
          </rPr>
          <t>A company can deliver its value proposition to its targeted customers through different channels. Effective channels will distribute a company’s value proposition in ways that are fast, efficient and cost effective. An organization can reach its clients either through its own channels (store front, e-commerce), partner channels (major distributors), or a combination of both.</t>
        </r>
      </text>
    </comment>
    <comment ref="C12" authorId="0" shapeId="0" xr:uid="{00000000-0006-0000-0000-000004000000}">
      <text>
        <r>
          <rPr>
            <sz val="9"/>
            <color indexed="81"/>
            <rFont val="Tahoma"/>
            <family val="2"/>
          </rPr>
          <t>To make sure that they survive and succeed, companies must identify the types of relationships they want to create with their customers. These relationships, if done right, promote customer satisfaction and loyalty where not only are customers repeat customers but are active brand/product ambassadors.</t>
        </r>
      </text>
    </comment>
    <comment ref="C14" authorId="0" shapeId="0" xr:uid="{00000000-0006-0000-0000-000005000000}">
      <text>
        <r>
          <rPr>
            <sz val="9"/>
            <color indexed="81"/>
            <rFont val="Tahoma"/>
            <family val="2"/>
          </rPr>
          <t>This is simply the way a company makes money from each customer segment through either the sale of a product or through providing a service.</t>
        </r>
      </text>
    </comment>
    <comment ref="C16" authorId="0" shapeId="0" xr:uid="{00000000-0006-0000-0000-000006000000}">
      <text>
        <r>
          <rPr>
            <sz val="9"/>
            <color indexed="81"/>
            <rFont val="Tahoma"/>
            <family val="2"/>
          </rPr>
          <t>Key resources are the main inputs that the company uses to create its value proposition, service its customer segment and deliver the product to the customer. These are the most important assets you need to have for your business model to work. Key resources can be tangible or intangible.</t>
        </r>
      </text>
    </comment>
    <comment ref="C18" authorId="0" shapeId="0" xr:uid="{00000000-0006-0000-0000-000007000000}">
      <text>
        <r>
          <rPr>
            <sz val="9"/>
            <color indexed="81"/>
            <rFont val="Tahoma"/>
            <family val="2"/>
          </rPr>
          <t>Key partners refers to the network of suppliers and partners that make the business model effective. There are many reasons why a company needs partners, but good partnerships are absolutely necessary in making a business succeed or fail.</t>
        </r>
      </text>
    </comment>
    <comment ref="C20" authorId="0" shapeId="0" xr:uid="{00000000-0006-0000-0000-000008000000}">
      <text>
        <r>
          <rPr>
            <sz val="9"/>
            <color indexed="81"/>
            <rFont val="Tahoma"/>
            <family val="2"/>
          </rPr>
          <t>Key Activities are the most important activities the company must do to make the business model succeed. These activities will be different according to the business model of each company. For example, a company that is focused on products may carry out continuous research to understand customers better.</t>
        </r>
      </text>
    </comment>
    <comment ref="C22" authorId="0" shapeId="0" xr:uid="{00000000-0006-0000-0000-000009000000}">
      <text>
        <r>
          <rPr>
            <sz val="9"/>
            <color indexed="81"/>
            <rFont val="Tahoma"/>
            <family val="2"/>
          </rPr>
          <t>This describes all of the expenses required to operate the business model such as people, materials, resources, plant and equipment or buildings. Costs can also be fixed costs or variable costs.</t>
        </r>
      </text>
    </comment>
  </commentList>
</comments>
</file>

<file path=xl/sharedStrings.xml><?xml version="1.0" encoding="utf-8"?>
<sst xmlns="http://schemas.openxmlformats.org/spreadsheetml/2006/main" count="221" uniqueCount="147">
  <si>
    <t>#</t>
  </si>
  <si>
    <t>Opis</t>
  </si>
  <si>
    <t>III</t>
  </si>
  <si>
    <t>Advance payments</t>
  </si>
  <si>
    <t>Sale inflows</t>
  </si>
  <si>
    <t>Loans</t>
  </si>
  <si>
    <t>Total inflows</t>
  </si>
  <si>
    <t>Investment</t>
  </si>
  <si>
    <t>Loan repayent</t>
  </si>
  <si>
    <t>Interest</t>
  </si>
  <si>
    <t>Direct materials</t>
  </si>
  <si>
    <t>Direct labor</t>
  </si>
  <si>
    <t>Overhead manufacturing costs</t>
  </si>
  <si>
    <t>Administrative costs</t>
  </si>
  <si>
    <t>Selling costs</t>
  </si>
  <si>
    <t>Total outflows</t>
  </si>
  <si>
    <t>Total inflows - Total outflows</t>
  </si>
  <si>
    <t>Cummulative</t>
  </si>
  <si>
    <t>Y1</t>
  </si>
  <si>
    <t>Discounted CFs</t>
  </si>
  <si>
    <t>PV</t>
  </si>
  <si>
    <t>Risk free rate</t>
  </si>
  <si>
    <t>What country of origin pays for its debts</t>
  </si>
  <si>
    <t>Company/business specific risk premium</t>
  </si>
  <si>
    <t>Expected inflation</t>
  </si>
  <si>
    <t>ΣI</t>
  </si>
  <si>
    <t>ΣII</t>
  </si>
  <si>
    <t>Selling price</t>
  </si>
  <si>
    <t>Product/service 1</t>
  </si>
  <si>
    <t>Quantity</t>
  </si>
  <si>
    <t>Number of employees</t>
  </si>
  <si>
    <t>Average salary</t>
  </si>
  <si>
    <t>Gross margin</t>
  </si>
  <si>
    <t>Description</t>
  </si>
  <si>
    <t>Total investment</t>
  </si>
  <si>
    <t>Other</t>
  </si>
  <si>
    <t>Self</t>
  </si>
  <si>
    <t>FFF</t>
  </si>
  <si>
    <t>Angels</t>
  </si>
  <si>
    <t>Crowd</t>
  </si>
  <si>
    <t>Angel Groups &amp;  Syndicates</t>
  </si>
  <si>
    <t>VC</t>
  </si>
  <si>
    <t>Venture bank</t>
  </si>
  <si>
    <t>Growth Equity</t>
  </si>
  <si>
    <t>Strategic investors</t>
  </si>
  <si>
    <t>Private equity</t>
  </si>
  <si>
    <t>Public investors</t>
  </si>
  <si>
    <t>Y2</t>
  </si>
  <si>
    <t>Y3</t>
  </si>
  <si>
    <t>Cost per delivery</t>
  </si>
  <si>
    <t>Discount rate (y)</t>
  </si>
  <si>
    <t>Discount rate (m)</t>
  </si>
  <si>
    <t>TOTAL</t>
  </si>
  <si>
    <t>Initial</t>
  </si>
  <si>
    <t>After 3y</t>
  </si>
  <si>
    <t>Risk related to this business</t>
  </si>
  <si>
    <t>From World Bank projections</t>
  </si>
  <si>
    <t>Business Model Canvas --&gt;</t>
  </si>
  <si>
    <t xml:space="preserve"> https://carab.us/ibph0</t>
  </si>
  <si>
    <t xml:space="preserve">Instructions: </t>
  </si>
  <si>
    <t>Please use the link above to learn more about the Business Model Canvas (BMC). Then, for your project, give a brief description of the BMC for your business idea using the form below.</t>
  </si>
  <si>
    <t xml:space="preserve">Value proposition: </t>
  </si>
  <si>
    <t xml:space="preserve">Customer segments: </t>
  </si>
  <si>
    <t xml:space="preserve">Channels: </t>
  </si>
  <si>
    <t xml:space="preserve">Customer relationships: </t>
  </si>
  <si>
    <t xml:space="preserve">Revenue streams: </t>
  </si>
  <si>
    <t xml:space="preserve">Key resources: </t>
  </si>
  <si>
    <t xml:space="preserve">Key partners: </t>
  </si>
  <si>
    <t xml:space="preserve">Key activities: </t>
  </si>
  <si>
    <t xml:space="preserve">Cost structure: </t>
  </si>
  <si>
    <t>Average salary (per month)</t>
  </si>
  <si>
    <t>Rent (per year)</t>
  </si>
  <si>
    <t>Rent (per month)</t>
  </si>
  <si>
    <t>Indirect labor (per month)</t>
  </si>
  <si>
    <t>Indirect materials (per month)</t>
  </si>
  <si>
    <t>Utilities (per month)</t>
  </si>
  <si>
    <t>Other overhead costs (per month)</t>
  </si>
  <si>
    <t>Overhead manufacturing costs (per month)</t>
  </si>
  <si>
    <t>Admin labor (per month)</t>
  </si>
  <si>
    <t>Other admin costs (per month)</t>
  </si>
  <si>
    <t>Administrative costs (per month)</t>
  </si>
  <si>
    <t>Marketing (per month)</t>
  </si>
  <si>
    <t>Social Media (per month)</t>
  </si>
  <si>
    <t>Promo materials (per month)</t>
  </si>
  <si>
    <t>Delivery (per month)</t>
  </si>
  <si>
    <t>Selling costs (per month)</t>
  </si>
  <si>
    <t>Direct materials (per unit)</t>
  </si>
  <si>
    <t>Direct labor (per unit)</t>
  </si>
  <si>
    <t>Overhead manufacturing costs (per unit)</t>
  </si>
  <si>
    <t>Average</t>
  </si>
  <si>
    <t>%</t>
  </si>
  <si>
    <t>Selling price (per unit)</t>
  </si>
  <si>
    <t>Product costs (per unit)</t>
  </si>
  <si>
    <t>Gross margin (per unit)</t>
  </si>
  <si>
    <t>Administrative rent per year</t>
  </si>
  <si>
    <t>Administrative rent (per month)</t>
  </si>
  <si>
    <t>Tooling &amp; Production Moulds</t>
  </si>
  <si>
    <t>Software Development (SomniApp)</t>
  </si>
  <si>
    <t>Marketing &amp; Brand Launch</t>
  </si>
  <si>
    <t>Regulatory &amp; Compliance</t>
  </si>
  <si>
    <t>"The first intelligent sleep system that delivers clinical-grade insights through effortless comfort, eliminating the trade-off between data and rest."</t>
  </si>
  <si>
    <t>Primary – Urban professionals aged 28-55 in Dubai/Abu Dhabi with household income &gt;AED 30,000/month
Secondary – Health-conscious individuals, biohackers, quantified-self enthusiasts
Tertiary – Corporate wellness programs for employee performance
Geographic – UAE (Year 1-2), KSA expansion (Year 2-3)
Psychographic – Tech-savvy early adopters who value data-driven wellness and quality design</t>
  </si>
  <si>
    <t>Direct-to-Consumer (D2C) – Official website with e-commerce platform
Premium Retail – "SomniTech Sleep Bars" in Virgin Megastore, The White Company, and other luxury bedding retailers
Corporate – B2B partnerships with HR departments for employee wellness programs
Social Media – Instagram, LinkedIn, and TikTok content marketing
Influencer – Partnerships with sleep experts, wellness coaches, and tech reviewers</t>
  </si>
  <si>
    <t>30-Night Sleep Transformation Trial – Risk-free home trial with full refund
SomniApp – Ongoing engagement through sleep scores, trends, and coaching
Community Building – Social media community of "SomniSleepers" sharing experiences
Customer Support – Dedicated WhatsApp and email support
Loyalty Program – Discounts on future products and accessories
Sleep Clinic Partnerships – Third-party validation and referrals</t>
  </si>
  <si>
    <t>Product Sales – SomniTech pillow (AED 899 per unit) - two variants: Contour (medium-firm) and Adaptive (adjustable loft)
B2B Corporate Sales – Bulk discounts for corporate wellness programs
Future Accessories – Replacement covers, travel battery packs
KSA Expansion – Additional revenue from Saudi market from Month 18 onward
Projected Year 1 Revenue – ~AED 3.5M, Year 3: ~AED 22.7M</t>
  </si>
  <si>
    <t>Intellectual Property – Patents pending for SilentSense analytics system and ActiveTemp thermal management
Proprietary Technology – Sensor fusion algorithms, sleep data interpretation engine
Founding Team – Cross-functional expertise (CEO/CMO, CTO, COO)
Manufacturing Partnership – Contract manufacturer with quality assurance
Data Assets – Anonymized sleep data for continuous algorithm improvement
Brand – "SomniTech" trademark and reputation for quality</t>
  </si>
  <si>
    <t>Manufacturing Partner – Electronics assembly and pillow fabrication (Asia-based)
Retail Partners – Virgin Megastore, The White Company, and other UAE premium retailers
Sleep Clinics – Validation studies and clinical credibility
Logistics Providers – Fulfillment and delivery partners (like Aramex, Fetchr)
Influencer Network – Sleep experts, wellness coaches, tech reviewers
Corporate HR Departments – Employee wellness program partners
Dubai SME / Government – Potential R&amp;D grants and funding support</t>
  </si>
  <si>
    <t>R&amp;D – Continuous improvement of SilentSense sensors and ActiveTemp technology
Software Development – SomniApp updates, AI sleep coaching algorithms
Marketing and Sales – Digital campaigns, influencer partnerships, retail activations
Supply Chain Management – Quality control, inventory management, logistics
Customer Support – Post-purchase assistance, warranty management
Data Analysis – Sleep pattern research and algorithm refinement
IP Management – Patent filings and protection</t>
  </si>
  <si>
    <t>Initial Investment (AED 4.5M) – R&amp;D, tooling, initial inventory, software, patents, salaries
Direct Materials (~AED 81/unit avg.) – Sensors, ActiveTemp modules, foam, fabric
Direct Labor (~AED 30/unit avg.) – Assembly and quality control staff
Manufacturing Overhead (~AED 25/unit avg.) – Rent, utilities, indirect labor
Administrative Costs (~AED 64K/month avg.) – Management salaries, office rent, admin staff
Selling Costs (~AED 97K/month avg.) – Marketing, social media, influencer payments, shipping
R&amp;D Investment – Continuous product development (~AED 600K over 3 years)
KSA Market Entry – ~AED 250K in Year 2</t>
  </si>
  <si>
    <t>Fixed Costs Components</t>
  </si>
  <si>
    <t>Component</t>
  </si>
  <si>
    <t>Classification</t>
  </si>
  <si>
    <t>Fixed</t>
  </si>
  <si>
    <t>Marketing</t>
  </si>
  <si>
    <t>Social Media</t>
  </si>
  <si>
    <t>Promo materials</t>
  </si>
  <si>
    <t>Rent (portion)</t>
  </si>
  <si>
    <t>Indirect labor</t>
  </si>
  <si>
    <t xml:space="preserve">Year 1 Fixed Costs (Monthly) </t>
  </si>
  <si>
    <t>Month</t>
  </si>
  <si>
    <t>Administrative Costs</t>
  </si>
  <si>
    <t>Promo Materials</t>
  </si>
  <si>
    <t>Total Fixed Costs</t>
  </si>
  <si>
    <t xml:space="preserve">Year 2 Fixed Costs (Monthly) </t>
  </si>
  <si>
    <t>Year 3 Fixed Costs (Monthly)</t>
  </si>
  <si>
    <t>Year 1 Breakeven Analysis (Monthly)</t>
  </si>
  <si>
    <t>Selling Price (AED)</t>
  </si>
  <si>
    <t>Variable Cost/Unit (AED)</t>
  </si>
  <si>
    <t>Contribution Margin/Unit (AED)</t>
  </si>
  <si>
    <t>Fixed Costs (AED)</t>
  </si>
  <si>
    <t>Breakeven Units (Monthly)</t>
  </si>
  <si>
    <t>Actual Units Sold</t>
  </si>
  <si>
    <t>Breakeven Achieved?</t>
  </si>
  <si>
    <t>Year 2 Breakeven Analysis (Monthly)</t>
  </si>
  <si>
    <t>Total Fixed Costs (AED)</t>
  </si>
  <si>
    <t>Year 3 Breakeven Analysis (Monthly)</t>
  </si>
  <si>
    <t>R&amp;D &amp; Prototyping</t>
  </si>
  <si>
    <t>Patent Filing (UAE Provisional)</t>
  </si>
  <si>
    <t>Office &amp; Lab Space (6 months)</t>
  </si>
  <si>
    <t>Salaries (Founders + 2 staff - 6 months)</t>
  </si>
  <si>
    <t>Direct Materials</t>
  </si>
  <si>
    <t>Direct Labor</t>
  </si>
  <si>
    <t>Overhead Mfg</t>
  </si>
  <si>
    <t>Variable Cost/Unit</t>
  </si>
  <si>
    <t>Year 1</t>
  </si>
  <si>
    <t>Year 2</t>
  </si>
  <si>
    <t>Year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</si>
</sst>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_ ;[Red]\-#,##0\ "/>
  </numFmts>
  <fonts count="33" x14ac:knownFonts="1">
    <font>
      <sz val="11"/>
      <color theme="1"/>
      <name val="Calibri"/>
      <family val="2"/>
      <charset val="238"/>
      <scheme val="minor"/>
    </font>
    <font>
      <sz val="11"/>
      <color theme="1"/>
      <name val="Calibri"/>
      <family val="2"/>
      <scheme val="minor"/>
    </font>
    <font>
      <sz val="11"/>
      <color theme="1"/>
      <name val="Calibri"/>
      <family val="2"/>
      <scheme val="minor"/>
    </font>
    <font>
      <b/>
      <sz val="11"/>
      <color theme="3"/>
      <name val="Calibri"/>
      <family val="2"/>
      <charset val="238"/>
      <scheme val="minor"/>
    </font>
    <font>
      <sz val="10"/>
      <name val="Times New Roman"/>
      <family val="1"/>
    </font>
    <font>
      <sz val="8"/>
      <name val="Calibri"/>
      <family val="2"/>
    </font>
    <font>
      <sz val="8"/>
      <color theme="1"/>
      <name val="Calibri"/>
      <family val="2"/>
      <scheme val="minor"/>
    </font>
    <font>
      <b/>
      <sz val="8"/>
      <color theme="1"/>
      <name val="Calibri"/>
      <family val="2"/>
      <scheme val="minor"/>
    </font>
    <font>
      <sz val="7"/>
      <color theme="1"/>
      <name val="Calibri"/>
      <family val="2"/>
      <scheme val="minor"/>
    </font>
    <font>
      <sz val="8"/>
      <color rgb="FF00B050"/>
      <name val="Calibri"/>
      <family val="2"/>
      <scheme val="minor"/>
    </font>
    <font>
      <sz val="10"/>
      <color theme="1"/>
      <name val="Arial Nova Cond Light"/>
      <family val="2"/>
      <charset val="238"/>
    </font>
    <font>
      <sz val="11"/>
      <color theme="1"/>
      <name val="Calibri"/>
      <family val="2"/>
      <charset val="238"/>
      <scheme val="minor"/>
    </font>
    <font>
      <sz val="10"/>
      <name val="Arial"/>
      <family val="2"/>
      <charset val="238"/>
    </font>
    <font>
      <sz val="8"/>
      <name val="Calibri"/>
      <family val="2"/>
      <charset val="238"/>
      <scheme val="minor"/>
    </font>
    <font>
      <sz val="11"/>
      <color theme="1"/>
      <name val="Calibri"/>
      <family val="2"/>
      <scheme val="minor"/>
    </font>
    <font>
      <sz val="11"/>
      <color theme="1"/>
      <name val="Calibri"/>
      <family val="2"/>
      <charset val="238"/>
    </font>
    <font>
      <b/>
      <sz val="11"/>
      <color theme="1"/>
      <name val="Calibri"/>
      <family val="2"/>
      <scheme val="minor"/>
    </font>
    <font>
      <b/>
      <sz val="10"/>
      <color theme="3"/>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10"/>
      <name val="Calibri"/>
      <family val="2"/>
      <scheme val="minor"/>
    </font>
    <font>
      <sz val="9"/>
      <color theme="1"/>
      <name val="Calibri"/>
      <family val="2"/>
      <scheme val="minor"/>
    </font>
    <font>
      <b/>
      <i/>
      <sz val="9"/>
      <color theme="1"/>
      <name val="Calibri"/>
      <family val="2"/>
      <scheme val="minor"/>
    </font>
    <font>
      <u/>
      <sz val="11"/>
      <color theme="10"/>
      <name val="Calibri"/>
      <family val="2"/>
      <charset val="238"/>
      <scheme val="minor"/>
    </font>
    <font>
      <b/>
      <sz val="14"/>
      <color theme="1"/>
      <name val="Calibri"/>
      <family val="2"/>
      <scheme val="minor"/>
    </font>
    <font>
      <sz val="9"/>
      <color indexed="81"/>
      <name val="Tahoma"/>
      <family val="2"/>
    </font>
    <font>
      <b/>
      <i/>
      <sz val="11"/>
      <color theme="1"/>
      <name val="Calibri"/>
      <family val="2"/>
      <scheme val="minor"/>
    </font>
    <font>
      <i/>
      <sz val="11"/>
      <color theme="1"/>
      <name val="Calibri"/>
      <family val="2"/>
      <scheme val="minor"/>
    </font>
    <font>
      <i/>
      <sz val="9"/>
      <color theme="1"/>
      <name val="Calibri"/>
      <family val="2"/>
      <scheme val="minor"/>
    </font>
    <font>
      <b/>
      <sz val="11"/>
      <color theme="1"/>
      <name val="Times New Roman"/>
      <family val="1"/>
    </font>
    <font>
      <sz val="11"/>
      <color theme="1"/>
      <name val="Times New Roman"/>
      <family val="1"/>
    </font>
    <font>
      <sz val="11"/>
      <color rgb="FF0F1115"/>
      <name val="Times New Roman"/>
      <family val="1"/>
    </font>
  </fonts>
  <fills count="12">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1" tint="0.34998626667073579"/>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79998168889431442"/>
        <bgColor indexed="64"/>
      </patternFill>
    </fill>
  </fills>
  <borders count="5">
    <border>
      <left/>
      <right/>
      <top/>
      <bottom/>
      <diagonal/>
    </border>
    <border>
      <left/>
      <right/>
      <top/>
      <bottom style="medium">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2">
    <xf numFmtId="0" fontId="0" fillId="0" borderId="0"/>
    <xf numFmtId="0" fontId="3" fillId="0" borderId="0" applyNumberFormat="0" applyFill="0" applyBorder="0" applyAlignment="0" applyProtection="0"/>
    <xf numFmtId="0" fontId="4" fillId="0" borderId="0"/>
    <xf numFmtId="0" fontId="10" fillId="0" borderId="0"/>
    <xf numFmtId="164" fontId="10" fillId="0" borderId="0" applyFont="0" applyFill="0" applyBorder="0" applyAlignment="0" applyProtection="0"/>
    <xf numFmtId="9" fontId="11" fillId="0" borderId="0" applyFont="0" applyFill="0" applyBorder="0" applyAlignment="0" applyProtection="0"/>
    <xf numFmtId="0" fontId="12" fillId="0" borderId="0"/>
    <xf numFmtId="0" fontId="14" fillId="0" borderId="0"/>
    <xf numFmtId="0" fontId="15" fillId="0" borderId="0"/>
    <xf numFmtId="0" fontId="11" fillId="0" borderId="0"/>
    <xf numFmtId="9" fontId="15" fillId="0" borderId="0" applyFont="0" applyFill="0" applyBorder="0" applyAlignment="0" applyProtection="0"/>
    <xf numFmtId="0" fontId="24" fillId="0" borderId="0" applyNumberFormat="0" applyFill="0" applyBorder="0" applyAlignment="0" applyProtection="0"/>
  </cellStyleXfs>
  <cellXfs count="86">
    <xf numFmtId="0" fontId="0" fillId="0" borderId="0" xfId="0"/>
    <xf numFmtId="0" fontId="6" fillId="0" borderId="0" xfId="0" applyFont="1" applyAlignment="1">
      <alignment vertical="center"/>
    </xf>
    <xf numFmtId="0" fontId="7" fillId="0" borderId="1" xfId="0" applyFont="1" applyBorder="1" applyAlignment="1">
      <alignment vertical="center"/>
    </xf>
    <xf numFmtId="0" fontId="6" fillId="0" borderId="1" xfId="0" applyFont="1" applyBorder="1" applyAlignment="1">
      <alignment vertical="center"/>
    </xf>
    <xf numFmtId="3" fontId="8" fillId="0" borderId="0" xfId="0" applyNumberFormat="1" applyFont="1" applyAlignment="1">
      <alignment vertical="center"/>
    </xf>
    <xf numFmtId="0" fontId="6" fillId="0" borderId="0" xfId="0" applyFont="1" applyAlignment="1">
      <alignment horizontal="center" vertical="center"/>
    </xf>
    <xf numFmtId="0" fontId="5" fillId="0" borderId="0" xfId="0" applyFont="1" applyAlignment="1">
      <alignment vertical="center"/>
    </xf>
    <xf numFmtId="0" fontId="9" fillId="0" borderId="0" xfId="0" applyFont="1" applyAlignment="1">
      <alignment vertical="center"/>
    </xf>
    <xf numFmtId="4" fontId="6" fillId="0" borderId="0" xfId="0" applyNumberFormat="1" applyFont="1" applyAlignment="1">
      <alignment vertical="center"/>
    </xf>
    <xf numFmtId="0" fontId="17" fillId="0" borderId="2" xfId="1" applyFont="1" applyBorder="1" applyAlignment="1">
      <alignment horizontal="center" vertical="center"/>
    </xf>
    <xf numFmtId="0" fontId="19" fillId="0" borderId="0" xfId="0" applyFont="1" applyAlignment="1">
      <alignment horizontal="center" vertical="center"/>
    </xf>
    <xf numFmtId="0" fontId="19" fillId="0" borderId="0" xfId="0" applyFont="1" applyAlignment="1">
      <alignment vertical="center"/>
    </xf>
    <xf numFmtId="3" fontId="19" fillId="0" borderId="0" xfId="0" applyNumberFormat="1" applyFont="1" applyAlignment="1">
      <alignment horizontal="right" vertical="center"/>
    </xf>
    <xf numFmtId="0" fontId="18" fillId="0" borderId="3" xfId="0" applyFont="1" applyBorder="1" applyAlignment="1">
      <alignment horizontal="center" vertical="center"/>
    </xf>
    <xf numFmtId="0" fontId="18" fillId="0" borderId="3" xfId="0" applyFont="1" applyBorder="1" applyAlignment="1">
      <alignment vertical="center"/>
    </xf>
    <xf numFmtId="3" fontId="18" fillId="0" borderId="3" xfId="0" applyNumberFormat="1" applyFont="1" applyBorder="1" applyAlignment="1">
      <alignment horizontal="right" vertical="center"/>
    </xf>
    <xf numFmtId="0" fontId="20" fillId="0" borderId="0" xfId="0" applyFont="1" applyAlignment="1">
      <alignment vertical="center"/>
    </xf>
    <xf numFmtId="165" fontId="19" fillId="0" borderId="0" xfId="0" applyNumberFormat="1" applyFont="1" applyAlignment="1">
      <alignment horizontal="right" vertical="center"/>
    </xf>
    <xf numFmtId="0" fontId="19" fillId="0" borderId="0" xfId="0" applyFont="1" applyAlignment="1">
      <alignment horizontal="right" vertical="center"/>
    </xf>
    <xf numFmtId="3" fontId="19" fillId="0" borderId="0" xfId="0" applyNumberFormat="1" applyFont="1" applyAlignment="1">
      <alignment vertical="center"/>
    </xf>
    <xf numFmtId="10" fontId="19" fillId="0" borderId="0" xfId="0" applyNumberFormat="1" applyFont="1" applyAlignment="1">
      <alignment vertical="center"/>
    </xf>
    <xf numFmtId="0" fontId="21" fillId="0" borderId="0" xfId="0" applyFont="1" applyAlignment="1">
      <alignment vertical="center"/>
    </xf>
    <xf numFmtId="10" fontId="18" fillId="0" borderId="0" xfId="0" applyNumberFormat="1" applyFont="1" applyAlignment="1">
      <alignment vertical="center"/>
    </xf>
    <xf numFmtId="0" fontId="16" fillId="0" borderId="0" xfId="0" applyFont="1" applyAlignment="1">
      <alignment horizontal="center"/>
    </xf>
    <xf numFmtId="0" fontId="16" fillId="0" borderId="0" xfId="0" applyFont="1"/>
    <xf numFmtId="0" fontId="22" fillId="0" borderId="0" xfId="0" applyFont="1"/>
    <xf numFmtId="3" fontId="0" fillId="0" borderId="0" xfId="0" applyNumberFormat="1"/>
    <xf numFmtId="3" fontId="22" fillId="0" borderId="0" xfId="0" applyNumberFormat="1" applyFont="1"/>
    <xf numFmtId="3" fontId="16" fillId="0" borderId="0" xfId="0" applyNumberFormat="1" applyFont="1"/>
    <xf numFmtId="3" fontId="2" fillId="0" borderId="0" xfId="0" applyNumberFormat="1" applyFont="1"/>
    <xf numFmtId="3" fontId="0" fillId="0" borderId="0" xfId="0" applyNumberFormat="1" applyAlignment="1">
      <alignment horizontal="center"/>
    </xf>
    <xf numFmtId="165" fontId="18" fillId="0" borderId="3" xfId="0" applyNumberFormat="1" applyFont="1" applyBorder="1" applyAlignment="1">
      <alignment horizontal="right" vertical="center"/>
    </xf>
    <xf numFmtId="0" fontId="18" fillId="2" borderId="3" xfId="0" applyFont="1" applyFill="1" applyBorder="1" applyAlignment="1">
      <alignment vertical="center"/>
    </xf>
    <xf numFmtId="3" fontId="18" fillId="2" borderId="3" xfId="0" applyNumberFormat="1" applyFont="1" applyFill="1" applyBorder="1" applyAlignment="1">
      <alignment horizontal="right" vertical="center"/>
    </xf>
    <xf numFmtId="165" fontId="16" fillId="0" borderId="0" xfId="0" applyNumberFormat="1" applyFont="1"/>
    <xf numFmtId="0" fontId="18" fillId="4" borderId="3" xfId="0" applyFont="1" applyFill="1" applyBorder="1" applyAlignment="1">
      <alignment horizontal="center" vertical="center"/>
    </xf>
    <xf numFmtId="0" fontId="18" fillId="4" borderId="3" xfId="0" applyFont="1" applyFill="1" applyBorder="1" applyAlignment="1">
      <alignment vertical="center"/>
    </xf>
    <xf numFmtId="165" fontId="18" fillId="4" borderId="3" xfId="0" applyNumberFormat="1" applyFont="1" applyFill="1" applyBorder="1" applyAlignment="1">
      <alignment horizontal="right" vertical="center"/>
    </xf>
    <xf numFmtId="0" fontId="18" fillId="2" borderId="3" xfId="0" applyFont="1" applyFill="1" applyBorder="1" applyAlignment="1">
      <alignment horizontal="center" vertical="center"/>
    </xf>
    <xf numFmtId="0" fontId="0" fillId="3" borderId="0" xfId="0" applyFill="1" applyProtection="1">
      <protection locked="0"/>
    </xf>
    <xf numFmtId="3" fontId="0" fillId="3" borderId="0" xfId="0" applyNumberFormat="1" applyFill="1" applyProtection="1">
      <protection locked="0"/>
    </xf>
    <xf numFmtId="3" fontId="16" fillId="3" borderId="0" xfId="0" applyNumberFormat="1" applyFont="1" applyFill="1" applyProtection="1">
      <protection locked="0"/>
    </xf>
    <xf numFmtId="3" fontId="22" fillId="3" borderId="0" xfId="0" applyNumberFormat="1" applyFont="1" applyFill="1" applyProtection="1">
      <protection locked="0"/>
    </xf>
    <xf numFmtId="3" fontId="2" fillId="3" borderId="0" xfId="0" applyNumberFormat="1" applyFont="1" applyFill="1" applyProtection="1">
      <protection locked="0"/>
    </xf>
    <xf numFmtId="3" fontId="19" fillId="3" borderId="0" xfId="0" applyNumberFormat="1" applyFont="1" applyFill="1" applyAlignment="1" applyProtection="1">
      <alignment horizontal="right" vertical="center"/>
      <protection locked="0"/>
    </xf>
    <xf numFmtId="3" fontId="18" fillId="0" borderId="4" xfId="0" applyNumberFormat="1" applyFont="1" applyBorder="1" applyAlignment="1">
      <alignment horizontal="right" vertical="center"/>
    </xf>
    <xf numFmtId="10" fontId="7" fillId="0" borderId="0" xfId="0" applyNumberFormat="1" applyFont="1" applyAlignment="1">
      <alignment vertical="center"/>
    </xf>
    <xf numFmtId="10" fontId="19" fillId="3" borderId="0" xfId="0" applyNumberFormat="1" applyFont="1" applyFill="1" applyAlignment="1" applyProtection="1">
      <alignment vertical="center"/>
      <protection locked="0"/>
    </xf>
    <xf numFmtId="0" fontId="23" fillId="0" borderId="0" xfId="0" applyFont="1" applyAlignment="1">
      <alignment horizontal="center" vertical="center"/>
    </xf>
    <xf numFmtId="3" fontId="23" fillId="0" borderId="0" xfId="0" applyNumberFormat="1" applyFont="1" applyAlignment="1">
      <alignment horizontal="center" vertical="center"/>
    </xf>
    <xf numFmtId="9" fontId="8" fillId="0" borderId="0" xfId="5" applyFont="1" applyAlignment="1">
      <alignment vertical="center"/>
    </xf>
    <xf numFmtId="0" fontId="0" fillId="5" borderId="0" xfId="0" applyFill="1"/>
    <xf numFmtId="0" fontId="0" fillId="5" borderId="0" xfId="0" applyFill="1" applyAlignment="1">
      <alignment horizontal="right" vertical="center"/>
    </xf>
    <xf numFmtId="0" fontId="16" fillId="0" borderId="0" xfId="0" applyFont="1" applyAlignment="1">
      <alignment horizontal="right" vertical="center"/>
    </xf>
    <xf numFmtId="0" fontId="0" fillId="7" borderId="0" xfId="0" applyFill="1"/>
    <xf numFmtId="0" fontId="0" fillId="8" borderId="0" xfId="0" applyFill="1"/>
    <xf numFmtId="0" fontId="0" fillId="10" borderId="0" xfId="0" applyFill="1"/>
    <xf numFmtId="0" fontId="0" fillId="4" borderId="0" xfId="0" applyFill="1"/>
    <xf numFmtId="0" fontId="24" fillId="5" borderId="0" xfId="11" applyFill="1"/>
    <xf numFmtId="0" fontId="0" fillId="5" borderId="0" xfId="0" applyFill="1" applyAlignment="1">
      <alignment wrapText="1"/>
    </xf>
    <xf numFmtId="0" fontId="0" fillId="5" borderId="0" xfId="0" applyFill="1" applyAlignment="1">
      <alignment vertical="center" wrapText="1"/>
    </xf>
    <xf numFmtId="0" fontId="0" fillId="0" borderId="0" xfId="0" applyAlignment="1" applyProtection="1">
      <alignment vertical="center" wrapText="1"/>
      <protection locked="0"/>
    </xf>
    <xf numFmtId="0" fontId="24" fillId="0" borderId="0" xfId="11" applyProtection="1">
      <protection locked="0"/>
    </xf>
    <xf numFmtId="0" fontId="25" fillId="11" borderId="0" xfId="0" applyFont="1" applyFill="1" applyAlignment="1">
      <alignment horizontal="right" vertical="center"/>
    </xf>
    <xf numFmtId="0" fontId="0" fillId="11" borderId="0" xfId="0" applyFill="1" applyAlignment="1">
      <alignment wrapText="1"/>
    </xf>
    <xf numFmtId="0" fontId="25" fillId="10" borderId="0" xfId="0" applyFont="1" applyFill="1" applyAlignment="1">
      <alignment horizontal="right" vertical="center"/>
    </xf>
    <xf numFmtId="0" fontId="25" fillId="9" borderId="0" xfId="0" applyFont="1" applyFill="1" applyAlignment="1">
      <alignment horizontal="right" vertical="center"/>
    </xf>
    <xf numFmtId="0" fontId="25" fillId="6" borderId="0" xfId="0" applyFont="1" applyFill="1" applyAlignment="1">
      <alignment horizontal="right" vertical="center"/>
    </xf>
    <xf numFmtId="0" fontId="25" fillId="4" borderId="0" xfId="0" applyFont="1" applyFill="1" applyAlignment="1">
      <alignment horizontal="right" vertical="center"/>
    </xf>
    <xf numFmtId="0" fontId="1" fillId="0" borderId="0" xfId="0" applyFont="1"/>
    <xf numFmtId="0" fontId="27" fillId="0" borderId="0" xfId="0" applyFont="1" applyAlignment="1">
      <alignment horizontal="center"/>
    </xf>
    <xf numFmtId="3" fontId="28" fillId="3" borderId="0" xfId="0" applyNumberFormat="1" applyFont="1" applyFill="1" applyProtection="1">
      <protection locked="0"/>
    </xf>
    <xf numFmtId="3" fontId="28" fillId="0" borderId="0" xfId="0" applyNumberFormat="1" applyFont="1"/>
    <xf numFmtId="165" fontId="28" fillId="0" borderId="0" xfId="0" applyNumberFormat="1" applyFont="1"/>
    <xf numFmtId="3" fontId="29" fillId="3" borderId="0" xfId="0" applyNumberFormat="1" applyFont="1" applyFill="1" applyProtection="1">
      <protection locked="0"/>
    </xf>
    <xf numFmtId="0" fontId="28" fillId="0" borderId="0" xfId="0" applyFont="1"/>
    <xf numFmtId="9" fontId="0" fillId="0" borderId="0" xfId="5" applyFont="1"/>
    <xf numFmtId="0" fontId="31" fillId="0" borderId="0" xfId="0" applyFont="1"/>
    <xf numFmtId="0" fontId="30" fillId="0" borderId="0" xfId="0" applyFont="1"/>
    <xf numFmtId="3" fontId="31" fillId="0" borderId="0" xfId="0" applyNumberFormat="1" applyFont="1"/>
    <xf numFmtId="1" fontId="31" fillId="0" borderId="0" xfId="0" applyNumberFormat="1" applyFont="1"/>
    <xf numFmtId="0" fontId="32" fillId="0" borderId="0" xfId="0" applyFont="1"/>
    <xf numFmtId="0" fontId="7" fillId="0" borderId="1" xfId="0" applyFont="1" applyBorder="1" applyAlignment="1">
      <alignment horizontal="center" vertical="center"/>
    </xf>
    <xf numFmtId="0" fontId="0" fillId="5" borderId="0" xfId="0" applyFill="1" applyAlignment="1">
      <alignment horizontal="center"/>
    </xf>
    <xf numFmtId="0" fontId="16" fillId="0" borderId="0" xfId="0" applyFont="1" applyAlignment="1">
      <alignment horizontal="center"/>
    </xf>
    <xf numFmtId="0" fontId="30" fillId="0" borderId="0" xfId="0" applyFont="1" applyAlignment="1">
      <alignment horizontal="center"/>
    </xf>
  </cellXfs>
  <cellStyles count="12">
    <cellStyle name="Comma 2" xfId="4" xr:uid="{00000000-0005-0000-0000-000000000000}"/>
    <cellStyle name="Heading 4" xfId="1" builtinId="19"/>
    <cellStyle name="Hyperlink" xfId="11" builtinId="8"/>
    <cellStyle name="Normal" xfId="0" builtinId="0"/>
    <cellStyle name="Normal 2" xfId="2" xr:uid="{00000000-0005-0000-0000-000004000000}"/>
    <cellStyle name="Normal 2 2" xfId="6" xr:uid="{00000000-0005-0000-0000-000005000000}"/>
    <cellStyle name="Normal 2 2 2" xfId="9" xr:uid="{00000000-0005-0000-0000-000006000000}"/>
    <cellStyle name="Normal 3" xfId="3" xr:uid="{00000000-0005-0000-0000-000007000000}"/>
    <cellStyle name="Normal 3 2" xfId="7" xr:uid="{00000000-0005-0000-0000-000008000000}"/>
    <cellStyle name="Normal 3 2 2" xfId="8" xr:uid="{00000000-0005-0000-0000-000009000000}"/>
    <cellStyle name="Percent" xfId="5" builtinId="5"/>
    <cellStyle name="Percent 2" xfId="10"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Monthly</a:t>
            </a:r>
            <a:r>
              <a:rPr lang="en-US" baseline="0">
                <a:solidFill>
                  <a:srgbClr val="002060"/>
                </a:solidFill>
              </a:rPr>
              <a:t> net </a:t>
            </a:r>
            <a:r>
              <a:rPr lang="en-US">
                <a:solidFill>
                  <a:srgbClr val="002060"/>
                </a:solidFill>
              </a:rPr>
              <a:t>CFs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'4 Projection 3Y'!$B$27</c:f>
              <c:strCache>
                <c:ptCount val="1"/>
                <c:pt idx="0">
                  <c:v>Total inflows - Total outflows</c:v>
                </c:pt>
              </c:strCache>
            </c:strRef>
          </c:tx>
          <c:spPr>
            <a:ln w="28575" cap="rnd">
              <a:solidFill>
                <a:schemeClr val="accent1"/>
              </a:solidFill>
              <a:prstDash val="sysDash"/>
              <a:round/>
            </a:ln>
            <a:effectLst/>
          </c:spPr>
          <c:marker>
            <c:symbol val="none"/>
          </c:marker>
          <c:val>
            <c:numRef>
              <c:f>'4 Projection 3Y'!$C$27:$AL$27</c:f>
              <c:numCache>
                <c:formatCode>#,##0_ ;[Red]\-#,##0\ </c:formatCode>
                <c:ptCount val="36"/>
                <c:pt idx="0">
                  <c:v>-41020</c:v>
                </c:pt>
                <c:pt idx="1">
                  <c:v>-39020</c:v>
                </c:pt>
                <c:pt idx="2">
                  <c:v>-11019</c:v>
                </c:pt>
                <c:pt idx="3">
                  <c:v>-3238</c:v>
                </c:pt>
                <c:pt idx="4">
                  <c:v>4373</c:v>
                </c:pt>
                <c:pt idx="5">
                  <c:v>12064</c:v>
                </c:pt>
                <c:pt idx="6">
                  <c:v>20045</c:v>
                </c:pt>
                <c:pt idx="7">
                  <c:v>27886</c:v>
                </c:pt>
                <c:pt idx="8">
                  <c:v>35597</c:v>
                </c:pt>
                <c:pt idx="9">
                  <c:v>43568</c:v>
                </c:pt>
                <c:pt idx="10">
                  <c:v>51929</c:v>
                </c:pt>
                <c:pt idx="11">
                  <c:v>210030</c:v>
                </c:pt>
                <c:pt idx="12">
                  <c:v>65390</c:v>
                </c:pt>
                <c:pt idx="13">
                  <c:v>73811</c:v>
                </c:pt>
                <c:pt idx="14">
                  <c:v>81991</c:v>
                </c:pt>
                <c:pt idx="15">
                  <c:v>90032</c:v>
                </c:pt>
                <c:pt idx="16">
                  <c:v>98632</c:v>
                </c:pt>
                <c:pt idx="17">
                  <c:v>606792</c:v>
                </c:pt>
                <c:pt idx="18">
                  <c:v>115213</c:v>
                </c:pt>
                <c:pt idx="19">
                  <c:v>123773</c:v>
                </c:pt>
                <c:pt idx="20">
                  <c:v>132203</c:v>
                </c:pt>
                <c:pt idx="21">
                  <c:v>140794</c:v>
                </c:pt>
                <c:pt idx="22">
                  <c:v>149744</c:v>
                </c:pt>
                <c:pt idx="23">
                  <c:v>145494</c:v>
                </c:pt>
                <c:pt idx="24">
                  <c:v>154825</c:v>
                </c:pt>
                <c:pt idx="25">
                  <c:v>163675</c:v>
                </c:pt>
                <c:pt idx="26">
                  <c:v>171855</c:v>
                </c:pt>
                <c:pt idx="27">
                  <c:v>180795</c:v>
                </c:pt>
                <c:pt idx="28">
                  <c:v>190085</c:v>
                </c:pt>
                <c:pt idx="29">
                  <c:v>198436</c:v>
                </c:pt>
                <c:pt idx="30">
                  <c:v>207846</c:v>
                </c:pt>
                <c:pt idx="31">
                  <c:v>216976</c:v>
                </c:pt>
                <c:pt idx="32">
                  <c:v>225496</c:v>
                </c:pt>
                <c:pt idx="33">
                  <c:v>228216</c:v>
                </c:pt>
                <c:pt idx="34">
                  <c:v>238217</c:v>
                </c:pt>
                <c:pt idx="35">
                  <c:v>247537</c:v>
                </c:pt>
              </c:numCache>
            </c:numRef>
          </c:val>
          <c:smooth val="1"/>
          <c:extLst>
            <c:ext xmlns:c16="http://schemas.microsoft.com/office/drawing/2014/chart" uri="{C3380CC4-5D6E-409C-BE32-E72D297353CC}">
              <c16:uniqueId val="{00000000-F5BE-4A94-9A69-F080E566C968}"/>
            </c:ext>
          </c:extLst>
        </c:ser>
        <c:dLbls>
          <c:showLegendKey val="0"/>
          <c:showVal val="0"/>
          <c:showCatName val="0"/>
          <c:showSerName val="0"/>
          <c:showPercent val="0"/>
          <c:showBubbleSize val="0"/>
        </c:dLbls>
        <c:smooth val="0"/>
        <c:axId val="173184512"/>
        <c:axId val="205969024"/>
      </c:lineChart>
      <c:catAx>
        <c:axId val="17318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69024"/>
        <c:crosses val="autoZero"/>
        <c:auto val="1"/>
        <c:lblAlgn val="ctr"/>
        <c:lblOffset val="100"/>
        <c:noMultiLvlLbl val="0"/>
      </c:catAx>
      <c:valAx>
        <c:axId val="205969024"/>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4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92D050"/>
                </a:solidFill>
              </a:rPr>
              <a:t>Cummulative 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'4 Projection 3Y'!$B$28</c:f>
              <c:strCache>
                <c:ptCount val="1"/>
                <c:pt idx="0">
                  <c:v>Cummulative</c:v>
                </c:pt>
              </c:strCache>
            </c:strRef>
          </c:tx>
          <c:spPr>
            <a:ln w="28575" cap="rnd">
              <a:solidFill>
                <a:srgbClr val="92D050"/>
              </a:solidFill>
              <a:prstDash val="sysDash"/>
              <a:round/>
            </a:ln>
            <a:effectLst/>
          </c:spPr>
          <c:marker>
            <c:symbol val="none"/>
          </c:marker>
          <c:val>
            <c:numRef>
              <c:f>'4 Projection 3Y'!$C$28:$AL$28</c:f>
              <c:numCache>
                <c:formatCode>#,##0_ ;[Red]\-#,##0\ </c:formatCode>
                <c:ptCount val="36"/>
                <c:pt idx="0">
                  <c:v>-41020</c:v>
                </c:pt>
                <c:pt idx="1">
                  <c:v>-80040</c:v>
                </c:pt>
                <c:pt idx="2">
                  <c:v>-91059</c:v>
                </c:pt>
                <c:pt idx="3">
                  <c:v>-94297</c:v>
                </c:pt>
                <c:pt idx="4">
                  <c:v>-89924</c:v>
                </c:pt>
                <c:pt idx="5">
                  <c:v>-77860</c:v>
                </c:pt>
                <c:pt idx="6">
                  <c:v>-57815</c:v>
                </c:pt>
                <c:pt idx="7">
                  <c:v>-29929</c:v>
                </c:pt>
                <c:pt idx="8">
                  <c:v>5668</c:v>
                </c:pt>
                <c:pt idx="9">
                  <c:v>49236</c:v>
                </c:pt>
                <c:pt idx="10">
                  <c:v>101165</c:v>
                </c:pt>
                <c:pt idx="11">
                  <c:v>311195</c:v>
                </c:pt>
                <c:pt idx="12">
                  <c:v>376585</c:v>
                </c:pt>
                <c:pt idx="13">
                  <c:v>450396</c:v>
                </c:pt>
                <c:pt idx="14">
                  <c:v>532387</c:v>
                </c:pt>
                <c:pt idx="15">
                  <c:v>622419</c:v>
                </c:pt>
                <c:pt idx="16">
                  <c:v>721051</c:v>
                </c:pt>
                <c:pt idx="17">
                  <c:v>1327843</c:v>
                </c:pt>
                <c:pt idx="18">
                  <c:v>1443056</c:v>
                </c:pt>
                <c:pt idx="19">
                  <c:v>1566829</c:v>
                </c:pt>
                <c:pt idx="20">
                  <c:v>1699032</c:v>
                </c:pt>
                <c:pt idx="21">
                  <c:v>1839826</c:v>
                </c:pt>
                <c:pt idx="22">
                  <c:v>1989570</c:v>
                </c:pt>
                <c:pt idx="23">
                  <c:v>2135064</c:v>
                </c:pt>
                <c:pt idx="24">
                  <c:v>2289889</c:v>
                </c:pt>
                <c:pt idx="25">
                  <c:v>2453564</c:v>
                </c:pt>
                <c:pt idx="26">
                  <c:v>2625419</c:v>
                </c:pt>
                <c:pt idx="27">
                  <c:v>2806214</c:v>
                </c:pt>
                <c:pt idx="28">
                  <c:v>2996299</c:v>
                </c:pt>
                <c:pt idx="29">
                  <c:v>3194735</c:v>
                </c:pt>
                <c:pt idx="30">
                  <c:v>3402581</c:v>
                </c:pt>
                <c:pt idx="31">
                  <c:v>3619557</c:v>
                </c:pt>
                <c:pt idx="32">
                  <c:v>3845053</c:v>
                </c:pt>
                <c:pt idx="33">
                  <c:v>4073269</c:v>
                </c:pt>
                <c:pt idx="34">
                  <c:v>4311486</c:v>
                </c:pt>
                <c:pt idx="35">
                  <c:v>4559023</c:v>
                </c:pt>
              </c:numCache>
            </c:numRef>
          </c:val>
          <c:smooth val="1"/>
          <c:extLst>
            <c:ext xmlns:c16="http://schemas.microsoft.com/office/drawing/2014/chart" uri="{C3380CC4-5D6E-409C-BE32-E72D297353CC}">
              <c16:uniqueId val="{00000000-01FF-4C66-94E8-D2F6CB7E54A3}"/>
            </c:ext>
          </c:extLst>
        </c:ser>
        <c:dLbls>
          <c:showLegendKey val="0"/>
          <c:showVal val="0"/>
          <c:showCatName val="0"/>
          <c:showSerName val="0"/>
          <c:showPercent val="0"/>
          <c:showBubbleSize val="0"/>
        </c:dLbls>
        <c:smooth val="0"/>
        <c:axId val="173186560"/>
        <c:axId val="205970752"/>
      </c:lineChart>
      <c:catAx>
        <c:axId val="17318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70752"/>
        <c:crosses val="autoZero"/>
        <c:auto val="1"/>
        <c:lblAlgn val="ctr"/>
        <c:lblOffset val="100"/>
        <c:noMultiLvlLbl val="0"/>
      </c:catAx>
      <c:valAx>
        <c:axId val="205970752"/>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6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Ownership structure initial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2-B901-4887-AB4D-4B5619036987}"/>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B901-4887-AB4D-4B5619036987}"/>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B901-4887-AB4D-4B5619036987}"/>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5473-496A-89CC-3875620AA71B}"/>
              </c:ext>
            </c:extLst>
          </c:dPt>
          <c:dPt>
            <c:idx val="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5473-496A-89CC-3875620AA71B}"/>
              </c:ext>
            </c:extLst>
          </c:dPt>
          <c:dPt>
            <c:idx val="5"/>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5473-496A-89CC-3875620AA71B}"/>
              </c:ext>
            </c:extLst>
          </c:dPt>
          <c:dPt>
            <c:idx val="6"/>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473-496A-89CC-3875620AA71B}"/>
              </c:ext>
            </c:extLst>
          </c:dPt>
          <c:dPt>
            <c:idx val="7"/>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473-496A-89CC-3875620AA71B}"/>
              </c:ext>
            </c:extLst>
          </c:dPt>
          <c:dPt>
            <c:idx val="8"/>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473-496A-89CC-3875620AA71B}"/>
              </c:ext>
            </c:extLst>
          </c:dPt>
          <c:dPt>
            <c:idx val="9"/>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473-496A-89CC-3875620AA71B}"/>
              </c:ext>
            </c:extLst>
          </c:dPt>
          <c:dPt>
            <c:idx val="10"/>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473-496A-89CC-3875620AA71B}"/>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01-4887-AB4D-4B561903698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01-4887-AB4D-4B5619036987}"/>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01-4887-AB4D-4B56190369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'4 Projection 3Y'!$B$39:$B$49</c:f>
              <c:strCache>
                <c:ptCount val="11"/>
                <c:pt idx="0">
                  <c:v>Self</c:v>
                </c:pt>
                <c:pt idx="1">
                  <c:v>FFF</c:v>
                </c:pt>
                <c:pt idx="2">
                  <c:v>Angels</c:v>
                </c:pt>
                <c:pt idx="3">
                  <c:v>Crowd</c:v>
                </c:pt>
                <c:pt idx="4">
                  <c:v>Angel Groups &amp;  Syndicates</c:v>
                </c:pt>
                <c:pt idx="5">
                  <c:v>VC</c:v>
                </c:pt>
                <c:pt idx="6">
                  <c:v>Venture bank</c:v>
                </c:pt>
                <c:pt idx="7">
                  <c:v>Growth Equity</c:v>
                </c:pt>
                <c:pt idx="8">
                  <c:v>Strategic investors</c:v>
                </c:pt>
                <c:pt idx="9">
                  <c:v>Private equity</c:v>
                </c:pt>
                <c:pt idx="10">
                  <c:v>Public investors</c:v>
                </c:pt>
              </c:strCache>
            </c:strRef>
          </c:cat>
          <c:val>
            <c:numRef>
              <c:f>'4 Projection 3Y'!$C$39:$C$49</c:f>
              <c:numCache>
                <c:formatCode>0.00%</c:formatCode>
                <c:ptCount val="11"/>
                <c:pt idx="0">
                  <c:v>0.26666666666666666</c:v>
                </c:pt>
                <c:pt idx="1">
                  <c:v>0.2</c:v>
                </c:pt>
                <c:pt idx="2">
                  <c:v>0.4</c:v>
                </c:pt>
                <c:pt idx="3">
                  <c:v>0</c:v>
                </c:pt>
                <c:pt idx="4">
                  <c:v>0.13333333333333333</c:v>
                </c:pt>
                <c:pt idx="5">
                  <c:v>0</c:v>
                </c:pt>
                <c:pt idx="6">
                  <c:v>0</c:v>
                </c:pt>
                <c:pt idx="7">
                  <c:v>0</c:v>
                </c:pt>
                <c:pt idx="8">
                  <c:v>0</c:v>
                </c:pt>
                <c:pt idx="9">
                  <c:v>0</c:v>
                </c:pt>
                <c:pt idx="10">
                  <c:v>0</c:v>
                </c:pt>
              </c:numCache>
            </c:numRef>
          </c:val>
          <c:extLst>
            <c:ext xmlns:c16="http://schemas.microsoft.com/office/drawing/2014/chart" uri="{C3380CC4-5D6E-409C-BE32-E72D297353CC}">
              <c16:uniqueId val="{00000000-B901-4887-AB4D-4B561903698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stream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'4 Projection 3Y'!$B$15</c:f>
              <c:strCache>
                <c:ptCount val="1"/>
                <c:pt idx="0">
                  <c:v>Sale inflows</c:v>
                </c:pt>
              </c:strCache>
            </c:strRef>
          </c:tx>
          <c:spPr>
            <a:ln w="28575" cap="rnd">
              <a:solidFill>
                <a:schemeClr val="bg1">
                  <a:lumMod val="65000"/>
                </a:schemeClr>
              </a:solidFill>
              <a:prstDash val="sysDash"/>
              <a:round/>
            </a:ln>
            <a:effectLst/>
          </c:spPr>
          <c:marker>
            <c:symbol val="none"/>
          </c:marker>
          <c:val>
            <c:numRef>
              <c:f>'4 Projection 3Y'!$C$15:$AL$15</c:f>
              <c:numCache>
                <c:formatCode>#,##0</c:formatCode>
                <c:ptCount val="36"/>
                <c:pt idx="0">
                  <c:v>0</c:v>
                </c:pt>
                <c:pt idx="1">
                  <c:v>0</c:v>
                </c:pt>
                <c:pt idx="2">
                  <c:v>44950</c:v>
                </c:pt>
                <c:pt idx="3">
                  <c:v>53940</c:v>
                </c:pt>
                <c:pt idx="4">
                  <c:v>62930</c:v>
                </c:pt>
                <c:pt idx="5">
                  <c:v>71920</c:v>
                </c:pt>
                <c:pt idx="6">
                  <c:v>80910</c:v>
                </c:pt>
                <c:pt idx="7">
                  <c:v>89900</c:v>
                </c:pt>
                <c:pt idx="8">
                  <c:v>98890</c:v>
                </c:pt>
                <c:pt idx="9">
                  <c:v>107880</c:v>
                </c:pt>
                <c:pt idx="10">
                  <c:v>116870</c:v>
                </c:pt>
                <c:pt idx="11">
                  <c:v>125860</c:v>
                </c:pt>
                <c:pt idx="12">
                  <c:v>134850</c:v>
                </c:pt>
                <c:pt idx="13">
                  <c:v>143840</c:v>
                </c:pt>
                <c:pt idx="14">
                  <c:v>152830</c:v>
                </c:pt>
                <c:pt idx="15">
                  <c:v>161820</c:v>
                </c:pt>
                <c:pt idx="16">
                  <c:v>170810</c:v>
                </c:pt>
                <c:pt idx="17">
                  <c:v>179800</c:v>
                </c:pt>
                <c:pt idx="18">
                  <c:v>188790</c:v>
                </c:pt>
                <c:pt idx="19">
                  <c:v>197780</c:v>
                </c:pt>
                <c:pt idx="20">
                  <c:v>206770</c:v>
                </c:pt>
                <c:pt idx="21">
                  <c:v>215760</c:v>
                </c:pt>
                <c:pt idx="22">
                  <c:v>224750</c:v>
                </c:pt>
                <c:pt idx="23">
                  <c:v>233740</c:v>
                </c:pt>
                <c:pt idx="24">
                  <c:v>242730</c:v>
                </c:pt>
                <c:pt idx="25">
                  <c:v>251720</c:v>
                </c:pt>
                <c:pt idx="26">
                  <c:v>260710</c:v>
                </c:pt>
                <c:pt idx="27">
                  <c:v>269700</c:v>
                </c:pt>
                <c:pt idx="28">
                  <c:v>278690</c:v>
                </c:pt>
                <c:pt idx="29">
                  <c:v>287680</c:v>
                </c:pt>
                <c:pt idx="30">
                  <c:v>296670</c:v>
                </c:pt>
                <c:pt idx="31">
                  <c:v>305660</c:v>
                </c:pt>
                <c:pt idx="32">
                  <c:v>314650</c:v>
                </c:pt>
                <c:pt idx="33">
                  <c:v>323640</c:v>
                </c:pt>
                <c:pt idx="34">
                  <c:v>332630</c:v>
                </c:pt>
                <c:pt idx="35">
                  <c:v>341620</c:v>
                </c:pt>
              </c:numCache>
            </c:numRef>
          </c:val>
          <c:smooth val="1"/>
          <c:extLst>
            <c:ext xmlns:c16="http://schemas.microsoft.com/office/drawing/2014/chart" uri="{C3380CC4-5D6E-409C-BE32-E72D297353CC}">
              <c16:uniqueId val="{00000000-3F68-414F-BCBB-5FDE059AA0B8}"/>
            </c:ext>
          </c:extLst>
        </c:ser>
        <c:dLbls>
          <c:showLegendKey val="0"/>
          <c:showVal val="0"/>
          <c:showCatName val="0"/>
          <c:showSerName val="0"/>
          <c:showPercent val="0"/>
          <c:showBubbleSize val="0"/>
        </c:dLbls>
        <c:smooth val="0"/>
        <c:axId val="212607488"/>
        <c:axId val="211126528"/>
      </c:lineChart>
      <c:catAx>
        <c:axId val="21260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6528"/>
        <c:crosses val="autoZero"/>
        <c:auto val="1"/>
        <c:lblAlgn val="ctr"/>
        <c:lblOffset val="100"/>
        <c:noMultiLvlLbl val="0"/>
      </c:catAx>
      <c:valAx>
        <c:axId val="21112652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7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Ownership structure after 3Y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5E-4C5F-A9FD-4A68982CD828}"/>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AF5E-4C5F-A9FD-4A68982CD828}"/>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AF5E-4C5F-A9FD-4A68982CD828}"/>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AF5E-4C5F-A9FD-4A68982CD828}"/>
              </c:ext>
            </c:extLst>
          </c:dPt>
          <c:dPt>
            <c:idx val="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AF5E-4C5F-A9FD-4A68982CD828}"/>
              </c:ext>
            </c:extLst>
          </c:dPt>
          <c:dPt>
            <c:idx val="5"/>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AF5E-4C5F-A9FD-4A68982CD828}"/>
              </c:ext>
            </c:extLst>
          </c:dPt>
          <c:dPt>
            <c:idx val="6"/>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F5E-4C5F-A9FD-4A68982CD828}"/>
              </c:ext>
            </c:extLst>
          </c:dPt>
          <c:dPt>
            <c:idx val="7"/>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F5E-4C5F-A9FD-4A68982CD828}"/>
              </c:ext>
            </c:extLst>
          </c:dPt>
          <c:dPt>
            <c:idx val="8"/>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F5E-4C5F-A9FD-4A68982CD828}"/>
              </c:ext>
            </c:extLst>
          </c:dPt>
          <c:dPt>
            <c:idx val="9"/>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F5E-4C5F-A9FD-4A68982CD828}"/>
              </c:ext>
            </c:extLst>
          </c:dPt>
          <c:dPt>
            <c:idx val="10"/>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F5E-4C5F-A9FD-4A68982CD828}"/>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5E-4C5F-A9FD-4A68982CD828}"/>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5E-4C5F-A9FD-4A68982CD828}"/>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5E-4C5F-A9FD-4A68982CD828}"/>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F5E-4C5F-A9FD-4A68982CD8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'4 Projection 3Y'!$B$39:$B$49</c:f>
              <c:strCache>
                <c:ptCount val="11"/>
                <c:pt idx="0">
                  <c:v>Self</c:v>
                </c:pt>
                <c:pt idx="1">
                  <c:v>FFF</c:v>
                </c:pt>
                <c:pt idx="2">
                  <c:v>Angels</c:v>
                </c:pt>
                <c:pt idx="3">
                  <c:v>Crowd</c:v>
                </c:pt>
                <c:pt idx="4">
                  <c:v>Angel Groups &amp;  Syndicates</c:v>
                </c:pt>
                <c:pt idx="5">
                  <c:v>VC</c:v>
                </c:pt>
                <c:pt idx="6">
                  <c:v>Venture bank</c:v>
                </c:pt>
                <c:pt idx="7">
                  <c:v>Growth Equity</c:v>
                </c:pt>
                <c:pt idx="8">
                  <c:v>Strategic investors</c:v>
                </c:pt>
                <c:pt idx="9">
                  <c:v>Private equity</c:v>
                </c:pt>
                <c:pt idx="10">
                  <c:v>Public investors</c:v>
                </c:pt>
              </c:strCache>
            </c:strRef>
          </c:cat>
          <c:val>
            <c:numRef>
              <c:f>'4 Projection 3Y'!$D$39:$D$49</c:f>
              <c:numCache>
                <c:formatCode>0.00%</c:formatCode>
                <c:ptCount val="11"/>
                <c:pt idx="0">
                  <c:v>0.16</c:v>
                </c:pt>
                <c:pt idx="1">
                  <c:v>0.12</c:v>
                </c:pt>
                <c:pt idx="2">
                  <c:v>0.24</c:v>
                </c:pt>
                <c:pt idx="3">
                  <c:v>0</c:v>
                </c:pt>
                <c:pt idx="4">
                  <c:v>0.08</c:v>
                </c:pt>
                <c:pt idx="5">
                  <c:v>0</c:v>
                </c:pt>
                <c:pt idx="6">
                  <c:v>0</c:v>
                </c:pt>
                <c:pt idx="7">
                  <c:v>0</c:v>
                </c:pt>
                <c:pt idx="8">
                  <c:v>0.4</c:v>
                </c:pt>
                <c:pt idx="9">
                  <c:v>0</c:v>
                </c:pt>
                <c:pt idx="10">
                  <c:v>0</c:v>
                </c:pt>
              </c:numCache>
            </c:numRef>
          </c:val>
          <c:extLst>
            <c:ext xmlns:c16="http://schemas.microsoft.com/office/drawing/2014/chart" uri="{C3380CC4-5D6E-409C-BE32-E72D297353CC}">
              <c16:uniqueId val="{00000016-AF5E-4C5F-A9FD-4A68982CD82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Cost structure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Cost structure</a:t>
          </a:r>
        </a:p>
      </cx:txPr>
    </cx:title>
    <cx:plotArea>
      <cx:plotAreaRegion>
        <cx:series layoutId="waterfall" uniqueId="{94E33095-A201-4925-B4C8-22B7C1242C8B}">
          <cx:dataPt idx="0">
            <cx:spPr>
              <a:solidFill>
                <a:srgbClr val="92D050"/>
              </a:solidFill>
            </cx:spPr>
          </cx:dataPt>
          <cx:dataPt idx="1">
            <cx:spPr>
              <a:solidFill>
                <a:sysClr val="window" lastClr="FFFFFF">
                  <a:lumMod val="85000"/>
                </a:sysClr>
              </a:solidFill>
            </cx:spPr>
          </cx:dataPt>
          <cx:dataPt idx="2">
            <cx:spPr>
              <a:solidFill>
                <a:sysClr val="window" lastClr="FFFFFF">
                  <a:lumMod val="65000"/>
                </a:sysClr>
              </a:solidFill>
            </cx:spPr>
          </cx:dataPt>
          <cx:dataPt idx="3">
            <cx:spPr>
              <a:solidFill>
                <a:sysClr val="window" lastClr="FFFFFF">
                  <a:lumMod val="50000"/>
                </a:sysClr>
              </a:solidFill>
            </cx:spPr>
          </cx:dataPt>
          <cx:dataPt idx="5">
            <cx:spPr>
              <a:solidFill>
                <a:srgbClr val="00B050"/>
              </a:solidFill>
            </cx:spPr>
          </cx:dataPt>
          <cx:dataLabels pos="outEnd">
            <cx:txPr>
              <a:bodyPr spcFirstLastPara="1" vertOverflow="ellipsis" horzOverflow="overflow" wrap="square" lIns="0" tIns="0" rIns="0" bIns="0" anchor="ctr" anchorCtr="1"/>
              <a:lstStyle/>
              <a:p>
                <a:pPr algn="ctr" rtl="0">
                  <a:defRPr sz="900"/>
                </a:pPr>
                <a:endParaRPr lang="en-US" sz="900" b="0" i="0" u="none" strike="noStrike" baseline="0">
                  <a:solidFill>
                    <a:sysClr val="windowText" lastClr="000000">
                      <a:lumMod val="65000"/>
                      <a:lumOff val="35000"/>
                    </a:sysClr>
                  </a:solidFill>
                  <a:latin typeface="Calibri" panose="020F0502020204030204"/>
                </a:endParaRPr>
              </a:p>
            </cx:txPr>
            <cx:visibility seriesName="0" categoryName="0" value="1"/>
            <cx:dataLabel idx="0" pos="outEnd">
              <cx:txPr>
                <a:bodyPr spcFirstLastPara="1" vertOverflow="ellipsis" horzOverflow="overflow" wrap="square" lIns="0" tIns="0" rIns="0" bIns="0" anchor="ctr" anchorCtr="1"/>
                <a:lstStyle/>
                <a:p>
                  <a:pPr algn="ctr" rtl="0">
                    <a:defRPr>
                      <a:solidFill>
                        <a:srgbClr val="92D050"/>
                      </a:solidFill>
                    </a:defRPr>
                  </a:pPr>
                  <a:r>
                    <a:rPr lang="en-US" sz="900" b="0" i="0" u="none" strike="noStrike" baseline="0">
                      <a:solidFill>
                        <a:srgbClr val="92D050"/>
                      </a:solidFill>
                      <a:latin typeface="Calibri" panose="020F0502020204030204"/>
                    </a:rPr>
                    <a:t>899</a:t>
                  </a:r>
                </a:p>
              </cx:txPr>
              <cx:visibility seriesName="0" categoryName="0" value="1"/>
            </cx:dataLabel>
            <cx:dataLabel idx="1" pos="outEnd">
              <cx:txPr>
                <a:bodyPr spcFirstLastPara="1" vertOverflow="ellipsis" horzOverflow="overflow" wrap="square" lIns="0" tIns="0" rIns="0" bIns="0" anchor="ctr" anchorCtr="1"/>
                <a:lstStyle/>
                <a:p>
                  <a:pPr algn="ctr" rtl="0">
                    <a:defRPr>
                      <a:solidFill>
                        <a:schemeClr val="bg1">
                          <a:lumMod val="75000"/>
                        </a:schemeClr>
                      </a:solidFill>
                    </a:defRPr>
                  </a:pPr>
                  <a:r>
                    <a:rPr lang="en-US" sz="900" b="0" i="0" u="none" strike="noStrike" baseline="0">
                      <a:solidFill>
                        <a:schemeClr val="bg1">
                          <a:lumMod val="75000"/>
                        </a:schemeClr>
                      </a:solidFill>
                      <a:latin typeface="Calibri" panose="020F0502020204030204"/>
                    </a:rPr>
                    <a:t>-82</a:t>
                  </a:r>
                </a:p>
              </cx:txPr>
              <cx:visibility seriesName="0" categoryName="0" value="1"/>
            </cx:dataLabel>
            <cx:dataLabel idx="2" pos="outEnd">
              <cx:txPr>
                <a:bodyPr spcFirstLastPara="1" vertOverflow="ellipsis" horzOverflow="overflow" wrap="square" lIns="0" tIns="0" rIns="0" bIns="0" anchor="ctr" anchorCtr="1"/>
                <a:lstStyle/>
                <a:p>
                  <a:pPr algn="ctr" rtl="0">
                    <a:defRPr>
                      <a:solidFill>
                        <a:schemeClr val="bg1">
                          <a:lumMod val="65000"/>
                        </a:schemeClr>
                      </a:solidFill>
                    </a:defRPr>
                  </a:pPr>
                  <a:r>
                    <a:rPr lang="en-US" sz="900" b="0" i="0" u="none" strike="noStrike" baseline="0">
                      <a:solidFill>
                        <a:schemeClr val="bg1">
                          <a:lumMod val="65000"/>
                        </a:schemeClr>
                      </a:solidFill>
                      <a:latin typeface="Calibri" panose="020F0502020204030204"/>
                    </a:rPr>
                    <a:t>-54</a:t>
                  </a:r>
                </a:p>
              </cx:txPr>
              <cx:visibility seriesName="0" categoryName="0" value="1"/>
            </cx:dataLabel>
          </cx:dataLabels>
          <cx:dataId val="0"/>
          <cx:layoutPr>
            <cx:subtotals/>
          </cx:layoutPr>
        </cx:series>
      </cx:plotAreaRegion>
      <cx:axis id="0">
        <cx:catScaling gapWidth="0.5"/>
        <cx:tickLabels/>
        <cx:spPr>
          <a:effectLst>
            <a:outerShdw blurRad="50800" algn="ctr" rotWithShape="0">
              <a:srgbClr val="000000">
                <a:alpha val="43137"/>
              </a:srgbClr>
            </a:outerShdw>
          </a:effectLst>
        </cx:spPr>
        <cx:txPr>
          <a:bodyPr spcFirstLastPara="1" vertOverflow="ellipsis" horzOverflow="overflow" wrap="square" lIns="0" tIns="0" rIns="0" bIns="0" anchor="ctr" anchorCtr="1"/>
          <a:lstStyle/>
          <a:p>
            <a:pPr algn="ctr" rtl="0">
              <a:defRPr sz="900"/>
            </a:pPr>
            <a:endParaRPr lang="en-US" sz="9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333381</xdr:colOff>
      <xdr:row>39</xdr:row>
      <xdr:rowOff>34924</xdr:rowOff>
    </xdr:from>
    <xdr:to>
      <xdr:col>14</xdr:col>
      <xdr:colOff>276225</xdr:colOff>
      <xdr:row>58</xdr:row>
      <xdr:rowOff>142874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33A7D0F-DA74-4F31-BCF6-610F98E055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62381" y="7185024"/>
              <a:ext cx="6648444" cy="3606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486746</xdr:colOff>
      <xdr:row>32</xdr:row>
      <xdr:rowOff>102704</xdr:rowOff>
    </xdr:from>
    <xdr:to>
      <xdr:col>14</xdr:col>
      <xdr:colOff>563217</xdr:colOff>
      <xdr:row>51</xdr:row>
      <xdr:rowOff>10076</xdr:rowOff>
    </xdr:to>
    <xdr:graphicFrame macro="">
      <xdr:nvGraphicFramePr>
        <xdr:cNvPr id="2" name="Chart 1">
          <a:extLst>
            <a:ext uri="{FF2B5EF4-FFF2-40B4-BE49-F238E27FC236}">
              <a16:creationId xmlns:a16="http://schemas.microsoft.com/office/drawing/2014/main" id="{792ECF55-408F-4463-97C1-01B20F9FF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554935</xdr:colOff>
      <xdr:row>32</xdr:row>
      <xdr:rowOff>107674</xdr:rowOff>
    </xdr:from>
    <xdr:to>
      <xdr:col>24</xdr:col>
      <xdr:colOff>462578</xdr:colOff>
      <xdr:row>51</xdr:row>
      <xdr:rowOff>5521</xdr:rowOff>
    </xdr:to>
    <xdr:graphicFrame macro="">
      <xdr:nvGraphicFramePr>
        <xdr:cNvPr id="3" name="Chart 2">
          <a:extLst>
            <a:ext uri="{FF2B5EF4-FFF2-40B4-BE49-F238E27FC236}">
              <a16:creationId xmlns:a16="http://schemas.microsoft.com/office/drawing/2014/main" id="{D8C8C7FF-870A-4F64-93E7-A3CF999E6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460655</xdr:colOff>
      <xdr:row>51</xdr:row>
      <xdr:rowOff>13528</xdr:rowOff>
    </xdr:from>
    <xdr:to>
      <xdr:col>14</xdr:col>
      <xdr:colOff>554934</xdr:colOff>
      <xdr:row>69</xdr:row>
      <xdr:rowOff>73163</xdr:rowOff>
    </xdr:to>
    <xdr:graphicFrame macro="">
      <xdr:nvGraphicFramePr>
        <xdr:cNvPr id="4" name="Chart 3">
          <a:extLst>
            <a:ext uri="{FF2B5EF4-FFF2-40B4-BE49-F238E27FC236}">
              <a16:creationId xmlns:a16="http://schemas.microsoft.com/office/drawing/2014/main" id="{B0F2D739-1277-45B4-9B41-568930FC1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563218</xdr:colOff>
      <xdr:row>51</xdr:row>
      <xdr:rowOff>33129</xdr:rowOff>
    </xdr:from>
    <xdr:to>
      <xdr:col>24</xdr:col>
      <xdr:colOff>470861</xdr:colOff>
      <xdr:row>69</xdr:row>
      <xdr:rowOff>80064</xdr:rowOff>
    </xdr:to>
    <xdr:graphicFrame macro="">
      <xdr:nvGraphicFramePr>
        <xdr:cNvPr id="5" name="Chart 4">
          <a:extLst>
            <a:ext uri="{FF2B5EF4-FFF2-40B4-BE49-F238E27FC236}">
              <a16:creationId xmlns:a16="http://schemas.microsoft.com/office/drawing/2014/main" id="{0485B604-6A2C-4708-819B-C76046862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463825</xdr:colOff>
      <xdr:row>69</xdr:row>
      <xdr:rowOff>91109</xdr:rowOff>
    </xdr:from>
    <xdr:to>
      <xdr:col>14</xdr:col>
      <xdr:colOff>554929</xdr:colOff>
      <xdr:row>88</xdr:row>
      <xdr:rowOff>8007</xdr:rowOff>
    </xdr:to>
    <xdr:graphicFrame macro="">
      <xdr:nvGraphicFramePr>
        <xdr:cNvPr id="6" name="Chart 5">
          <a:extLst>
            <a:ext uri="{FF2B5EF4-FFF2-40B4-BE49-F238E27FC236}">
              <a16:creationId xmlns:a16="http://schemas.microsoft.com/office/drawing/2014/main" id="{F15DD841-1816-407D-BE56-2957F2E6A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edim%20Memic/Documents/Sudski%20vjestak/Aktuelni%20sporovi/Spedpetro%20doo%20vs%20Raiffeisen%20Leasing%20doo/Obracun%20ugovora%205874.xlsx" TargetMode="External"/><Relationship Id="rId1" Type="http://schemas.openxmlformats.org/officeDocument/2006/relationships/externalLinkPath" Target="/Users/Nedim%20Memic/Documents/Sudski%20vjestak/Aktuelni%20sporovi/Spedpetro%20doo%20vs%20Raiffeisen%20Leasing%20doo/Obracun%20ugovora%20587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Poslovi%20Nedim%20Memi&#263;\Model\Lookups%20mode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er\Downloads\Breakeven%20Analysis.docx.xlsx" TargetMode="External"/><Relationship Id="rId1" Type="http://schemas.openxmlformats.org/officeDocument/2006/relationships/externalLinkPath" Target="Breakeven%20Analysis.doc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ortization Table"/>
      <sheetName val="Proba"/>
      <sheetName val="Euribor rates"/>
      <sheetName val="Obracun RFL"/>
      <sheetName val="Nalaz"/>
      <sheetName val="Razlika"/>
    </sheetNames>
    <sheetDataSet>
      <sheetData sheetId="0">
        <row r="1">
          <cell r="A1" t="str">
            <v>Mortgage Loan Payments</v>
          </cell>
        </row>
        <row r="5">
          <cell r="B5" t="str">
            <v>Enter Values</v>
          </cell>
          <cell r="F5" t="str">
            <v>Loan Summary</v>
          </cell>
        </row>
        <row r="6">
          <cell r="C6" t="str">
            <v>Loan Amount</v>
          </cell>
          <cell r="D6">
            <v>53359.283876976675</v>
          </cell>
          <cell r="G6" t="str">
            <v>Scheduled Payment</v>
          </cell>
          <cell r="H6">
            <v>1684.6189974051019</v>
          </cell>
          <cell r="I6" t="str">
            <v>Euribor</v>
          </cell>
          <cell r="J6" t="str">
            <v>Marza</v>
          </cell>
        </row>
        <row r="7">
          <cell r="C7" t="str">
            <v>Annual Interest Rate</v>
          </cell>
          <cell r="D7">
            <v>8.5080000000000003E-2</v>
          </cell>
          <cell r="G7" t="str">
            <v>Scheduled Number of Payments</v>
          </cell>
          <cell r="H7">
            <v>36</v>
          </cell>
          <cell r="I7">
            <v>4.8000000000000001E-2</v>
          </cell>
          <cell r="J7">
            <v>5.5429999999999993E-2</v>
          </cell>
        </row>
        <row r="8">
          <cell r="C8" t="str">
            <v>Loan Period in Years</v>
          </cell>
          <cell r="D8">
            <v>3</v>
          </cell>
          <cell r="G8" t="str">
            <v>Actual Number of Payments</v>
          </cell>
          <cell r="H8">
            <v>36</v>
          </cell>
        </row>
        <row r="9">
          <cell r="C9" t="str">
            <v>Number of Payments Per Year</v>
          </cell>
          <cell r="D9">
            <v>12</v>
          </cell>
          <cell r="G9" t="str">
            <v>Total Early Payments</v>
          </cell>
          <cell r="H9">
            <v>0</v>
          </cell>
        </row>
        <row r="10">
          <cell r="C10" t="str">
            <v>Start Date of Loan</v>
          </cell>
          <cell r="D10">
            <v>39502</v>
          </cell>
          <cell r="G10" t="str">
            <v>Total Interest</v>
          </cell>
          <cell r="H10">
            <v>7287.0000296069838</v>
          </cell>
        </row>
        <row r="11">
          <cell r="C11" t="str">
            <v>Optional Extra Payments</v>
          </cell>
          <cell r="D11">
            <v>0</v>
          </cell>
        </row>
        <row r="13">
          <cell r="B13" t="str">
            <v>Lender Name:</v>
          </cell>
        </row>
        <row r="17">
          <cell r="A17" t="str">
            <v>PmtNo.</v>
          </cell>
          <cell r="B17" t="str">
            <v>Payment Date</v>
          </cell>
          <cell r="C17" t="str">
            <v>Beginning Balance</v>
          </cell>
          <cell r="D17" t="str">
            <v>Scheduled Payment</v>
          </cell>
          <cell r="E17" t="str">
            <v>Extra Payment</v>
          </cell>
          <cell r="F17" t="str">
            <v>Total Payment</v>
          </cell>
          <cell r="G17" t="str">
            <v>Principal</v>
          </cell>
          <cell r="H17" t="str">
            <v>Interest</v>
          </cell>
          <cell r="I17" t="str">
            <v>Ending Balance</v>
          </cell>
          <cell r="J17" t="str">
            <v>Cumulative Interest</v>
          </cell>
        </row>
        <row r="19">
          <cell r="A19">
            <v>1</v>
          </cell>
          <cell r="B19">
            <v>39531</v>
          </cell>
          <cell r="C19">
            <v>53359.283876976675</v>
          </cell>
          <cell r="D19">
            <v>1684.6189974051019</v>
          </cell>
          <cell r="E19">
            <v>0</v>
          </cell>
          <cell r="F19">
            <v>1684.6189974051019</v>
          </cell>
          <cell r="G19">
            <v>1306.3016747173374</v>
          </cell>
          <cell r="H19">
            <v>378.3173226877646</v>
          </cell>
          <cell r="I19">
            <v>52052.982202259336</v>
          </cell>
          <cell r="J19">
            <v>378.3173226877646</v>
          </cell>
        </row>
        <row r="20">
          <cell r="A20">
            <v>2</v>
          </cell>
          <cell r="B20">
            <v>39562</v>
          </cell>
          <cell r="C20">
            <v>52052.982202259336</v>
          </cell>
          <cell r="D20">
            <v>1684.6189974051019</v>
          </cell>
          <cell r="E20">
            <v>0</v>
          </cell>
          <cell r="F20">
            <v>1684.6189974051019</v>
          </cell>
          <cell r="G20">
            <v>1315.5633535910833</v>
          </cell>
          <cell r="H20">
            <v>369.05564381401865</v>
          </cell>
          <cell r="I20">
            <v>50737.418848668254</v>
          </cell>
          <cell r="J20">
            <v>747.37296650178325</v>
          </cell>
        </row>
        <row r="21">
          <cell r="A21">
            <v>3</v>
          </cell>
          <cell r="B21">
            <v>39592</v>
          </cell>
          <cell r="C21">
            <v>50737.418848668254</v>
          </cell>
          <cell r="D21">
            <v>1684.6189974051019</v>
          </cell>
          <cell r="E21">
            <v>0</v>
          </cell>
          <cell r="F21">
            <v>1684.6189974051019</v>
          </cell>
          <cell r="G21">
            <v>1324.890697768044</v>
          </cell>
          <cell r="H21">
            <v>359.72829963705794</v>
          </cell>
          <cell r="I21">
            <v>49412.528150900209</v>
          </cell>
          <cell r="J21">
            <v>1107.1012661388413</v>
          </cell>
        </row>
        <row r="22">
          <cell r="A22">
            <v>4</v>
          </cell>
          <cell r="B22">
            <v>39623</v>
          </cell>
          <cell r="C22">
            <v>49412.528150900209</v>
          </cell>
          <cell r="D22">
            <v>1684.6189974051019</v>
          </cell>
          <cell r="E22">
            <v>0</v>
          </cell>
          <cell r="F22">
            <v>1684.6189974051019</v>
          </cell>
          <cell r="G22">
            <v>1334.2841728152193</v>
          </cell>
          <cell r="H22">
            <v>350.33482458988254</v>
          </cell>
          <cell r="I22">
            <v>48078.243978084989</v>
          </cell>
          <cell r="J22">
            <v>1457.4360907287239</v>
          </cell>
        </row>
        <row r="23">
          <cell r="A23">
            <v>5</v>
          </cell>
          <cell r="B23">
            <v>39653</v>
          </cell>
          <cell r="C23">
            <v>48078.243978084989</v>
          </cell>
          <cell r="D23">
            <v>1684.6189974051019</v>
          </cell>
          <cell r="E23">
            <v>0</v>
          </cell>
          <cell r="F23">
            <v>1684.6189974051019</v>
          </cell>
          <cell r="G23">
            <v>1343.7442476004794</v>
          </cell>
          <cell r="H23">
            <v>340.87474980462258</v>
          </cell>
          <cell r="I23">
            <v>46734.499730484509</v>
          </cell>
          <cell r="J23">
            <v>1798.3108405333464</v>
          </cell>
        </row>
        <row r="24">
          <cell r="A24">
            <v>6</v>
          </cell>
          <cell r="B24">
            <v>39684</v>
          </cell>
          <cell r="C24">
            <v>46734.499730484509</v>
          </cell>
          <cell r="D24">
            <v>1684.6189974051019</v>
          </cell>
          <cell r="E24">
            <v>0</v>
          </cell>
          <cell r="F24">
            <v>1684.6189974051019</v>
          </cell>
          <cell r="G24">
            <v>1353.2713943159667</v>
          </cell>
          <cell r="H24">
            <v>331.34760308913519</v>
          </cell>
          <cell r="I24">
            <v>45381.22833616854</v>
          </cell>
          <cell r="J24">
            <v>2129.6584436224816</v>
          </cell>
        </row>
        <row r="25">
          <cell r="A25">
            <v>7</v>
          </cell>
          <cell r="B25">
            <v>39715</v>
          </cell>
          <cell r="C25">
            <v>45381.22833616854</v>
          </cell>
          <cell r="D25">
            <v>1684.6189974051019</v>
          </cell>
          <cell r="E25">
            <v>0</v>
          </cell>
          <cell r="F25">
            <v>1684.6189974051019</v>
          </cell>
          <cell r="G25">
            <v>1362.866088501667</v>
          </cell>
          <cell r="H25">
            <v>321.75290890343496</v>
          </cell>
          <cell r="I25">
            <v>44018.362247666875</v>
          </cell>
          <cell r="J25">
            <v>2451.4113525259168</v>
          </cell>
        </row>
        <row r="26">
          <cell r="A26">
            <v>8</v>
          </cell>
          <cell r="B26">
            <v>39745</v>
          </cell>
          <cell r="C26">
            <v>44018.362247666875</v>
          </cell>
          <cell r="D26">
            <v>1684.6189974051019</v>
          </cell>
          <cell r="E26">
            <v>0</v>
          </cell>
          <cell r="F26">
            <v>1684.6189974051019</v>
          </cell>
          <cell r="G26">
            <v>1372.5288090691438</v>
          </cell>
          <cell r="H26">
            <v>312.09018833595815</v>
          </cell>
          <cell r="I26">
            <v>42645.833438597729</v>
          </cell>
          <cell r="J26">
            <v>2763.5015408618747</v>
          </cell>
        </row>
        <row r="27">
          <cell r="A27">
            <v>9</v>
          </cell>
          <cell r="B27">
            <v>39776</v>
          </cell>
          <cell r="C27">
            <v>42645.833438597729</v>
          </cell>
          <cell r="D27">
            <v>1684.6189974051019</v>
          </cell>
          <cell r="E27">
            <v>0</v>
          </cell>
          <cell r="F27">
            <v>1684.6189974051019</v>
          </cell>
          <cell r="G27">
            <v>1382.2600383254439</v>
          </cell>
          <cell r="H27">
            <v>302.35895907965789</v>
          </cell>
          <cell r="I27">
            <v>41263.573400272282</v>
          </cell>
          <cell r="J27">
            <v>3065.8604999415325</v>
          </cell>
        </row>
        <row r="28">
          <cell r="A28">
            <v>10</v>
          </cell>
          <cell r="B28">
            <v>39806</v>
          </cell>
          <cell r="C28">
            <v>41263.573400272282</v>
          </cell>
          <cell r="D28">
            <v>1684.6189974051019</v>
          </cell>
          <cell r="E28">
            <v>0</v>
          </cell>
          <cell r="F28">
            <v>1684.6189974051019</v>
          </cell>
          <cell r="G28">
            <v>1392.0602619971714</v>
          </cell>
          <cell r="H28">
            <v>292.5587354079305</v>
          </cell>
          <cell r="I28">
            <v>39871.513138275113</v>
          </cell>
          <cell r="J28">
            <v>3358.4192353494627</v>
          </cell>
        </row>
        <row r="29">
          <cell r="A29">
            <v>11</v>
          </cell>
          <cell r="B29">
            <v>39837</v>
          </cell>
          <cell r="C29">
            <v>39871.513138275113</v>
          </cell>
          <cell r="D29">
            <v>1684.6189974051019</v>
          </cell>
          <cell r="E29">
            <v>0</v>
          </cell>
          <cell r="F29">
            <v>1684.6189974051019</v>
          </cell>
          <cell r="G29">
            <v>1401.9299692547313</v>
          </cell>
          <cell r="H29">
            <v>282.68902815037058</v>
          </cell>
          <cell r="I29">
            <v>38469.583169020385</v>
          </cell>
          <cell r="J29">
            <v>3641.1082634998334</v>
          </cell>
        </row>
        <row r="30">
          <cell r="A30">
            <v>12</v>
          </cell>
          <cell r="B30">
            <v>39868</v>
          </cell>
          <cell r="C30">
            <v>38469.583169020385</v>
          </cell>
          <cell r="D30">
            <v>1684.6189974051019</v>
          </cell>
          <cell r="E30">
            <v>0</v>
          </cell>
          <cell r="F30">
            <v>1684.6189974051019</v>
          </cell>
          <cell r="G30">
            <v>1411.8696527367474</v>
          </cell>
          <cell r="H30">
            <v>272.74934466835452</v>
          </cell>
          <cell r="I30">
            <v>37057.713516283635</v>
          </cell>
          <cell r="J30">
            <v>3913.8576081681877</v>
          </cell>
        </row>
        <row r="31">
          <cell r="A31">
            <v>13</v>
          </cell>
          <cell r="B31">
            <v>39896</v>
          </cell>
          <cell r="C31">
            <v>37057.713516283635</v>
          </cell>
          <cell r="D31">
            <v>1684.6189974051019</v>
          </cell>
          <cell r="E31">
            <v>0</v>
          </cell>
          <cell r="F31">
            <v>1684.6189974051019</v>
          </cell>
          <cell r="G31">
            <v>1421.879808574651</v>
          </cell>
          <cell r="H31">
            <v>262.73918883045098</v>
          </cell>
          <cell r="I31">
            <v>35635.833707708982</v>
          </cell>
          <cell r="J31">
            <v>4176.5967969986386</v>
          </cell>
        </row>
        <row r="32">
          <cell r="A32">
            <v>14</v>
          </cell>
          <cell r="B32">
            <v>39927</v>
          </cell>
          <cell r="C32">
            <v>35635.833707708982</v>
          </cell>
          <cell r="D32">
            <v>1684.6189974051019</v>
          </cell>
          <cell r="E32">
            <v>0</v>
          </cell>
          <cell r="F32">
            <v>1684.6189974051019</v>
          </cell>
          <cell r="G32">
            <v>1431.9609364174453</v>
          </cell>
          <cell r="H32">
            <v>252.65806098765668</v>
          </cell>
          <cell r="I32">
            <v>34203.872771291535</v>
          </cell>
          <cell r="J32">
            <v>4429.2548579862951</v>
          </cell>
        </row>
        <row r="33">
          <cell r="A33">
            <v>15</v>
          </cell>
          <cell r="B33">
            <v>39957</v>
          </cell>
          <cell r="C33">
            <v>34203.872771291535</v>
          </cell>
          <cell r="D33">
            <v>1684.6189974051019</v>
          </cell>
          <cell r="E33">
            <v>0</v>
          </cell>
          <cell r="F33">
            <v>1684.6189974051019</v>
          </cell>
          <cell r="G33">
            <v>1442.113539456645</v>
          </cell>
          <cell r="H33">
            <v>242.50545794845698</v>
          </cell>
          <cell r="I33">
            <v>32761.759231834891</v>
          </cell>
          <cell r="J33">
            <v>4671.7603159347518</v>
          </cell>
        </row>
        <row r="34">
          <cell r="A34">
            <v>16</v>
          </cell>
          <cell r="B34">
            <v>39988</v>
          </cell>
          <cell r="C34">
            <v>32761.759231834891</v>
          </cell>
          <cell r="D34">
            <v>1684.6189974051019</v>
          </cell>
          <cell r="E34">
            <v>0</v>
          </cell>
          <cell r="F34">
            <v>1684.6189974051019</v>
          </cell>
          <cell r="G34">
            <v>1452.3381244513926</v>
          </cell>
          <cell r="H34">
            <v>232.28087295370938</v>
          </cell>
          <cell r="I34">
            <v>31309.421107383499</v>
          </cell>
          <cell r="J34">
            <v>4904.041188888461</v>
          </cell>
        </row>
        <row r="35">
          <cell r="A35">
            <v>17</v>
          </cell>
          <cell r="B35">
            <v>40018</v>
          </cell>
          <cell r="C35">
            <v>31309.421107383499</v>
          </cell>
          <cell r="D35">
            <v>1684.6189974051019</v>
          </cell>
          <cell r="E35">
            <v>0</v>
          </cell>
          <cell r="F35">
            <v>1684.6189974051019</v>
          </cell>
          <cell r="G35">
            <v>1462.6352017537529</v>
          </cell>
          <cell r="H35">
            <v>221.98379565134903</v>
          </cell>
          <cell r="I35">
            <v>29846.785905629746</v>
          </cell>
          <cell r="J35">
            <v>5126.0249845398102</v>
          </cell>
        </row>
        <row r="36">
          <cell r="A36">
            <v>18</v>
          </cell>
          <cell r="B36">
            <v>40049</v>
          </cell>
          <cell r="C36">
            <v>29846.785905629746</v>
          </cell>
          <cell r="D36">
            <v>1684.6189974051019</v>
          </cell>
          <cell r="E36">
            <v>0</v>
          </cell>
          <cell r="F36">
            <v>1684.6189974051019</v>
          </cell>
          <cell r="G36">
            <v>1473.005285334187</v>
          </cell>
          <cell r="H36">
            <v>211.61371207091489</v>
          </cell>
          <cell r="I36">
            <v>28373.780620295558</v>
          </cell>
          <cell r="J36">
            <v>5337.6386966107248</v>
          </cell>
        </row>
        <row r="37">
          <cell r="A37">
            <v>19</v>
          </cell>
          <cell r="B37">
            <v>40080</v>
          </cell>
          <cell r="C37">
            <v>28373.780620295558</v>
          </cell>
          <cell r="D37">
            <v>1684.6189974051019</v>
          </cell>
          <cell r="E37">
            <v>0</v>
          </cell>
          <cell r="F37">
            <v>1684.6189974051019</v>
          </cell>
          <cell r="G37">
            <v>1483.4488928072064</v>
          </cell>
          <cell r="H37">
            <v>201.17010459789552</v>
          </cell>
          <cell r="I37">
            <v>26890.331727488352</v>
          </cell>
          <cell r="J37">
            <v>5538.80880120862</v>
          </cell>
        </row>
        <row r="38">
          <cell r="A38">
            <v>20</v>
          </cell>
          <cell r="B38">
            <v>40110</v>
          </cell>
          <cell r="C38">
            <v>26890.331727488352</v>
          </cell>
          <cell r="D38">
            <v>1684.6189974051019</v>
          </cell>
          <cell r="E38">
            <v>0</v>
          </cell>
          <cell r="F38">
            <v>1684.6189974051019</v>
          </cell>
          <cell r="G38">
            <v>1493.9665454572096</v>
          </cell>
          <cell r="H38">
            <v>190.65245194789244</v>
          </cell>
          <cell r="I38">
            <v>25396.365182031142</v>
          </cell>
          <cell r="J38">
            <v>5729.4612531565126</v>
          </cell>
        </row>
        <row r="39">
          <cell r="A39">
            <v>21</v>
          </cell>
          <cell r="B39">
            <v>40141</v>
          </cell>
          <cell r="C39">
            <v>25396.365182031142</v>
          </cell>
          <cell r="D39">
            <v>1684.6189974051019</v>
          </cell>
          <cell r="E39">
            <v>0</v>
          </cell>
          <cell r="F39">
            <v>1684.6189974051019</v>
          </cell>
          <cell r="G39">
            <v>1504.5587682645012</v>
          </cell>
          <cell r="H39">
            <v>180.0602291406008</v>
          </cell>
          <cell r="I39">
            <v>23891.806413766641</v>
          </cell>
          <cell r="J39">
            <v>5909.5214822971138</v>
          </cell>
        </row>
        <row r="40">
          <cell r="A40">
            <v>22</v>
          </cell>
          <cell r="B40">
            <v>40171</v>
          </cell>
          <cell r="C40">
            <v>23891.806413766641</v>
          </cell>
          <cell r="D40">
            <v>1684.6189974051019</v>
          </cell>
          <cell r="E40">
            <v>0</v>
          </cell>
          <cell r="F40">
            <v>1684.6189974051019</v>
          </cell>
          <cell r="G40">
            <v>1515.2260899314965</v>
          </cell>
          <cell r="H40">
            <v>169.3929074736055</v>
          </cell>
          <cell r="I40">
            <v>22376.580323835144</v>
          </cell>
          <cell r="J40">
            <v>6078.914389770719</v>
          </cell>
        </row>
        <row r="41">
          <cell r="A41">
            <v>23</v>
          </cell>
          <cell r="B41">
            <v>40202</v>
          </cell>
          <cell r="C41">
            <v>22376.580323835144</v>
          </cell>
          <cell r="D41">
            <v>1684.6189974051019</v>
          </cell>
          <cell r="E41">
            <v>0</v>
          </cell>
          <cell r="F41">
            <v>1684.6189974051019</v>
          </cell>
          <cell r="G41">
            <v>1525.9690429091108</v>
          </cell>
          <cell r="H41">
            <v>158.64995449599118</v>
          </cell>
          <cell r="I41">
            <v>20850.611280926034</v>
          </cell>
          <cell r="J41">
            <v>6237.5643442667106</v>
          </cell>
        </row>
        <row r="42">
          <cell r="A42">
            <v>24</v>
          </cell>
          <cell r="B42">
            <v>40233</v>
          </cell>
          <cell r="C42">
            <v>20850.611280926034</v>
          </cell>
          <cell r="D42">
            <v>1684.6189974051019</v>
          </cell>
          <cell r="E42">
            <v>0</v>
          </cell>
          <cell r="F42">
            <v>1684.6189974051019</v>
          </cell>
          <cell r="G42">
            <v>1536.7881634233363</v>
          </cell>
          <cell r="H42">
            <v>147.83083398176558</v>
          </cell>
          <cell r="I42">
            <v>19313.823117502696</v>
          </cell>
          <cell r="J42">
            <v>6385.3951782484764</v>
          </cell>
        </row>
        <row r="43">
          <cell r="A43">
            <v>25</v>
          </cell>
          <cell r="B43">
            <v>40261</v>
          </cell>
          <cell r="C43">
            <v>19313.823117502696</v>
          </cell>
          <cell r="D43">
            <v>1684.6189974051019</v>
          </cell>
          <cell r="E43">
            <v>0</v>
          </cell>
          <cell r="F43">
            <v>1684.6189974051019</v>
          </cell>
          <cell r="G43">
            <v>1547.6839915020078</v>
          </cell>
          <cell r="H43">
            <v>136.93500590309412</v>
          </cell>
          <cell r="I43">
            <v>17766.139126000689</v>
          </cell>
          <cell r="J43">
            <v>6522.3301841515704</v>
          </cell>
        </row>
        <row r="44">
          <cell r="A44">
            <v>26</v>
          </cell>
          <cell r="B44">
            <v>40292</v>
          </cell>
          <cell r="C44">
            <v>17766.139126000689</v>
          </cell>
          <cell r="D44">
            <v>1684.6189974051019</v>
          </cell>
          <cell r="E44">
            <v>0</v>
          </cell>
          <cell r="F44">
            <v>1684.6189974051019</v>
          </cell>
          <cell r="G44">
            <v>1558.657071001757</v>
          </cell>
          <cell r="H44">
            <v>125.96192640334489</v>
          </cell>
          <cell r="I44">
            <v>16207.482054998933</v>
          </cell>
          <cell r="J44">
            <v>6648.2921105549149</v>
          </cell>
        </row>
        <row r="45">
          <cell r="A45">
            <v>27</v>
          </cell>
          <cell r="B45">
            <v>40322</v>
          </cell>
          <cell r="C45">
            <v>16207.482054998933</v>
          </cell>
          <cell r="D45">
            <v>1684.6189974051019</v>
          </cell>
          <cell r="E45">
            <v>0</v>
          </cell>
          <cell r="F45">
            <v>1684.6189974051019</v>
          </cell>
          <cell r="G45">
            <v>1569.7079496351596</v>
          </cell>
          <cell r="H45">
            <v>114.91104776994244</v>
          </cell>
          <cell r="I45">
            <v>14637.774105363773</v>
          </cell>
          <cell r="J45">
            <v>6763.2031583248572</v>
          </cell>
        </row>
        <row r="46">
          <cell r="A46">
            <v>28</v>
          </cell>
          <cell r="B46">
            <v>40353</v>
          </cell>
          <cell r="C46">
            <v>14637.774105363773</v>
          </cell>
          <cell r="D46">
            <v>1684.6189974051019</v>
          </cell>
          <cell r="E46">
            <v>0</v>
          </cell>
          <cell r="F46">
            <v>1684.6189974051019</v>
          </cell>
          <cell r="G46">
            <v>1580.8371789980729</v>
          </cell>
          <cell r="H46">
            <v>103.78181840702915</v>
          </cell>
          <cell r="I46">
            <v>13056.936926365699</v>
          </cell>
          <cell r="J46">
            <v>6866.9849767318865</v>
          </cell>
        </row>
        <row r="47">
          <cell r="A47">
            <v>29</v>
          </cell>
          <cell r="B47">
            <v>40383</v>
          </cell>
          <cell r="C47">
            <v>13056.936926365699</v>
          </cell>
          <cell r="D47">
            <v>1684.6189974051019</v>
          </cell>
          <cell r="E47">
            <v>0</v>
          </cell>
          <cell r="F47">
            <v>1684.6189974051019</v>
          </cell>
          <cell r="G47">
            <v>1592.0453145971692</v>
          </cell>
          <cell r="H47">
            <v>92.573682807932812</v>
          </cell>
          <cell r="I47">
            <v>11464.891611768529</v>
          </cell>
          <cell r="J47">
            <v>6959.558659539819</v>
          </cell>
        </row>
        <row r="48">
          <cell r="A48">
            <v>30</v>
          </cell>
          <cell r="B48">
            <v>40414</v>
          </cell>
          <cell r="C48">
            <v>11464.891611768529</v>
          </cell>
          <cell r="D48">
            <v>1684.6189974051019</v>
          </cell>
          <cell r="E48">
            <v>0</v>
          </cell>
          <cell r="F48">
            <v>1684.6189974051019</v>
          </cell>
          <cell r="G48">
            <v>1603.332915877663</v>
          </cell>
          <cell r="H48">
            <v>81.286081527438867</v>
          </cell>
          <cell r="I48">
            <v>9861.5586958908661</v>
          </cell>
          <cell r="J48">
            <v>7040.8447410672579</v>
          </cell>
        </row>
        <row r="49">
          <cell r="A49">
            <v>31</v>
          </cell>
          <cell r="B49">
            <v>40445</v>
          </cell>
          <cell r="C49">
            <v>9861.5586958908661</v>
          </cell>
          <cell r="D49">
            <v>1684.6189974051019</v>
          </cell>
          <cell r="E49">
            <v>0</v>
          </cell>
          <cell r="F49">
            <v>1684.6189974051019</v>
          </cell>
          <cell r="G49">
            <v>1614.7005462512357</v>
          </cell>
          <cell r="H49">
            <v>69.918451153866243</v>
          </cell>
          <cell r="I49">
            <v>8246.8581496396309</v>
          </cell>
          <cell r="J49">
            <v>7110.763192221124</v>
          </cell>
        </row>
        <row r="50">
          <cell r="A50">
            <v>32</v>
          </cell>
          <cell r="B50">
            <v>40475</v>
          </cell>
          <cell r="C50">
            <v>8246.8581496396309</v>
          </cell>
          <cell r="D50">
            <v>1684.6189974051019</v>
          </cell>
          <cell r="E50">
            <v>0</v>
          </cell>
          <cell r="F50">
            <v>1684.6189974051019</v>
          </cell>
          <cell r="G50">
            <v>1626.1487731241568</v>
          </cell>
          <cell r="H50">
            <v>58.47022428094499</v>
          </cell>
          <cell r="I50">
            <v>6620.7093765154741</v>
          </cell>
          <cell r="J50">
            <v>7169.2334165020693</v>
          </cell>
        </row>
        <row r="51">
          <cell r="A51">
            <v>33</v>
          </cell>
          <cell r="B51">
            <v>40506</v>
          </cell>
          <cell r="C51">
            <v>6620.7093765154741</v>
          </cell>
          <cell r="D51">
            <v>1684.6189974051019</v>
          </cell>
          <cell r="E51">
            <v>0</v>
          </cell>
          <cell r="F51">
            <v>1684.6189974051019</v>
          </cell>
          <cell r="G51">
            <v>1637.6781679256073</v>
          </cell>
          <cell r="H51">
            <v>46.94082947949471</v>
          </cell>
          <cell r="I51">
            <v>4983.0312085898668</v>
          </cell>
          <cell r="J51">
            <v>7216.1742459815641</v>
          </cell>
        </row>
        <row r="52">
          <cell r="A52">
            <v>34</v>
          </cell>
          <cell r="B52">
            <v>40536</v>
          </cell>
          <cell r="C52">
            <v>4983.0312085898668</v>
          </cell>
          <cell r="D52">
            <v>1684.6189974051019</v>
          </cell>
          <cell r="E52">
            <v>0</v>
          </cell>
          <cell r="F52">
            <v>1684.6189974051019</v>
          </cell>
          <cell r="G52">
            <v>1649.2893061361997</v>
          </cell>
          <cell r="H52">
            <v>35.32969126890216</v>
          </cell>
          <cell r="I52">
            <v>3333.7419024536671</v>
          </cell>
          <cell r="J52">
            <v>7251.5039372504662</v>
          </cell>
        </row>
        <row r="53">
          <cell r="A53">
            <v>35</v>
          </cell>
          <cell r="B53">
            <v>40567</v>
          </cell>
          <cell r="C53">
            <v>3333.7419024536671</v>
          </cell>
          <cell r="D53">
            <v>1684.6189974051019</v>
          </cell>
          <cell r="E53">
            <v>0</v>
          </cell>
          <cell r="F53">
            <v>1684.6189974051019</v>
          </cell>
          <cell r="G53">
            <v>1660.9827673167053</v>
          </cell>
          <cell r="H53">
            <v>23.636230088396502</v>
          </cell>
          <cell r="I53">
            <v>1672.7591351369617</v>
          </cell>
          <cell r="J53">
            <v>7275.1401673388627</v>
          </cell>
        </row>
        <row r="54">
          <cell r="A54">
            <v>36</v>
          </cell>
          <cell r="B54">
            <v>40598</v>
          </cell>
          <cell r="C54">
            <v>1672.7591351369617</v>
          </cell>
          <cell r="D54">
            <v>1684.6189974051019</v>
          </cell>
          <cell r="E54">
            <v>0</v>
          </cell>
          <cell r="F54">
            <v>1672.7591351369617</v>
          </cell>
          <cell r="G54">
            <v>1660.8992728688406</v>
          </cell>
          <cell r="H54">
            <v>11.859862268121057</v>
          </cell>
          <cell r="I54">
            <v>0</v>
          </cell>
          <cell r="J54">
            <v>7287.0000296069838</v>
          </cell>
        </row>
        <row r="55">
          <cell r="A55">
            <v>37</v>
          </cell>
          <cell r="B55">
            <v>40626</v>
          </cell>
          <cell r="C55">
            <v>0</v>
          </cell>
          <cell r="D55">
            <v>1684.6189974051019</v>
          </cell>
          <cell r="E55">
            <v>0</v>
          </cell>
          <cell r="F55">
            <v>0</v>
          </cell>
          <cell r="G55">
            <v>0</v>
          </cell>
          <cell r="H55">
            <v>0</v>
          </cell>
          <cell r="I55">
            <v>0</v>
          </cell>
          <cell r="J55">
            <v>7287.0000296069838</v>
          </cell>
        </row>
        <row r="56">
          <cell r="A56">
            <v>38</v>
          </cell>
          <cell r="B56">
            <v>40657</v>
          </cell>
          <cell r="C56">
            <v>0</v>
          </cell>
          <cell r="D56">
            <v>1684.6189974051019</v>
          </cell>
          <cell r="E56">
            <v>0</v>
          </cell>
          <cell r="F56">
            <v>0</v>
          </cell>
          <cell r="G56">
            <v>0</v>
          </cell>
          <cell r="H56">
            <v>0</v>
          </cell>
          <cell r="I56">
            <v>0</v>
          </cell>
          <cell r="J56">
            <v>7287.0000296069838</v>
          </cell>
        </row>
        <row r="57">
          <cell r="A57">
            <v>39</v>
          </cell>
          <cell r="B57">
            <v>40687</v>
          </cell>
          <cell r="C57">
            <v>0</v>
          </cell>
          <cell r="D57">
            <v>1684.6189974051019</v>
          </cell>
          <cell r="E57">
            <v>0</v>
          </cell>
          <cell r="F57">
            <v>0</v>
          </cell>
          <cell r="G57">
            <v>0</v>
          </cell>
          <cell r="H57">
            <v>0</v>
          </cell>
          <cell r="I57">
            <v>0</v>
          </cell>
          <cell r="J57">
            <v>7287.0000296069838</v>
          </cell>
        </row>
        <row r="58">
          <cell r="A58">
            <v>40</v>
          </cell>
          <cell r="B58">
            <v>40718</v>
          </cell>
          <cell r="C58">
            <v>0</v>
          </cell>
          <cell r="D58">
            <v>1684.6189974051019</v>
          </cell>
          <cell r="E58">
            <v>0</v>
          </cell>
          <cell r="F58">
            <v>0</v>
          </cell>
          <cell r="G58">
            <v>0</v>
          </cell>
          <cell r="H58">
            <v>0</v>
          </cell>
          <cell r="I58">
            <v>0</v>
          </cell>
          <cell r="J58">
            <v>7287.0000296069838</v>
          </cell>
        </row>
        <row r="59">
          <cell r="A59">
            <v>41</v>
          </cell>
          <cell r="B59">
            <v>40748</v>
          </cell>
          <cell r="C59">
            <v>0</v>
          </cell>
          <cell r="D59">
            <v>1684.6189974051019</v>
          </cell>
          <cell r="E59">
            <v>0</v>
          </cell>
          <cell r="F59">
            <v>0</v>
          </cell>
          <cell r="G59">
            <v>0</v>
          </cell>
          <cell r="H59">
            <v>0</v>
          </cell>
          <cell r="I59">
            <v>0</v>
          </cell>
          <cell r="J59">
            <v>7287.0000296069838</v>
          </cell>
        </row>
        <row r="60">
          <cell r="A60">
            <v>42</v>
          </cell>
          <cell r="B60">
            <v>40779</v>
          </cell>
          <cell r="C60">
            <v>0</v>
          </cell>
          <cell r="D60">
            <v>1684.6189974051019</v>
          </cell>
          <cell r="E60">
            <v>0</v>
          </cell>
          <cell r="F60">
            <v>0</v>
          </cell>
          <cell r="G60">
            <v>0</v>
          </cell>
          <cell r="H60">
            <v>0</v>
          </cell>
          <cell r="I60">
            <v>0</v>
          </cell>
          <cell r="J60">
            <v>7287.0000296069838</v>
          </cell>
        </row>
        <row r="61">
          <cell r="A61">
            <v>43</v>
          </cell>
          <cell r="B61">
            <v>40810</v>
          </cell>
          <cell r="C61">
            <v>0</v>
          </cell>
          <cell r="D61">
            <v>1684.6189974051019</v>
          </cell>
          <cell r="E61">
            <v>0</v>
          </cell>
          <cell r="F61">
            <v>0</v>
          </cell>
          <cell r="G61">
            <v>0</v>
          </cell>
          <cell r="H61">
            <v>0</v>
          </cell>
          <cell r="I61">
            <v>0</v>
          </cell>
          <cell r="J61">
            <v>7287.0000296069838</v>
          </cell>
        </row>
        <row r="62">
          <cell r="A62">
            <v>44</v>
          </cell>
          <cell r="B62">
            <v>40840</v>
          </cell>
          <cell r="C62">
            <v>0</v>
          </cell>
          <cell r="D62">
            <v>1684.6189974051019</v>
          </cell>
          <cell r="E62">
            <v>0</v>
          </cell>
          <cell r="F62">
            <v>0</v>
          </cell>
          <cell r="G62">
            <v>0</v>
          </cell>
          <cell r="H62">
            <v>0</v>
          </cell>
          <cell r="I62">
            <v>0</v>
          </cell>
          <cell r="J62">
            <v>7287.0000296069838</v>
          </cell>
        </row>
        <row r="63">
          <cell r="A63">
            <v>45</v>
          </cell>
          <cell r="B63">
            <v>40871</v>
          </cell>
          <cell r="C63">
            <v>0</v>
          </cell>
          <cell r="D63">
            <v>1684.6189974051019</v>
          </cell>
          <cell r="E63">
            <v>0</v>
          </cell>
          <cell r="F63">
            <v>0</v>
          </cell>
          <cell r="G63">
            <v>0</v>
          </cell>
          <cell r="H63">
            <v>0</v>
          </cell>
          <cell r="I63">
            <v>0</v>
          </cell>
          <cell r="J63">
            <v>7287.0000296069838</v>
          </cell>
        </row>
        <row r="64">
          <cell r="A64">
            <v>46</v>
          </cell>
          <cell r="B64">
            <v>40901</v>
          </cell>
          <cell r="C64">
            <v>0</v>
          </cell>
          <cell r="D64">
            <v>1684.6189974051019</v>
          </cell>
          <cell r="E64">
            <v>0</v>
          </cell>
          <cell r="F64">
            <v>0</v>
          </cell>
          <cell r="G64">
            <v>0</v>
          </cell>
          <cell r="H64">
            <v>0</v>
          </cell>
          <cell r="I64">
            <v>0</v>
          </cell>
          <cell r="J64">
            <v>7287.0000296069838</v>
          </cell>
        </row>
        <row r="65">
          <cell r="A65">
            <v>47</v>
          </cell>
          <cell r="B65">
            <v>40932</v>
          </cell>
          <cell r="C65">
            <v>0</v>
          </cell>
          <cell r="D65">
            <v>1684.6189974051019</v>
          </cell>
          <cell r="E65">
            <v>0</v>
          </cell>
          <cell r="F65">
            <v>0</v>
          </cell>
          <cell r="G65">
            <v>0</v>
          </cell>
          <cell r="H65">
            <v>0</v>
          </cell>
          <cell r="I65">
            <v>0</v>
          </cell>
          <cell r="J65">
            <v>7287.0000296069838</v>
          </cell>
        </row>
        <row r="66">
          <cell r="A66">
            <v>48</v>
          </cell>
          <cell r="B66">
            <v>40963</v>
          </cell>
          <cell r="C66">
            <v>0</v>
          </cell>
          <cell r="D66">
            <v>1684.6189974051019</v>
          </cell>
          <cell r="E66">
            <v>0</v>
          </cell>
          <cell r="F66">
            <v>0</v>
          </cell>
          <cell r="G66">
            <v>0</v>
          </cell>
          <cell r="H66">
            <v>0</v>
          </cell>
          <cell r="I66">
            <v>0</v>
          </cell>
          <cell r="J66">
            <v>7287.0000296069838</v>
          </cell>
        </row>
        <row r="67">
          <cell r="A67">
            <v>49</v>
          </cell>
          <cell r="B67">
            <v>40992</v>
          </cell>
          <cell r="C67">
            <v>0</v>
          </cell>
          <cell r="D67">
            <v>1684.6189974051019</v>
          </cell>
          <cell r="E67">
            <v>0</v>
          </cell>
          <cell r="F67">
            <v>0</v>
          </cell>
          <cell r="G67">
            <v>0</v>
          </cell>
          <cell r="H67">
            <v>0</v>
          </cell>
          <cell r="I67">
            <v>0</v>
          </cell>
          <cell r="J67">
            <v>7287.0000296069838</v>
          </cell>
        </row>
        <row r="68">
          <cell r="A68">
            <v>50</v>
          </cell>
          <cell r="B68">
            <v>41023</v>
          </cell>
          <cell r="C68">
            <v>0</v>
          </cell>
          <cell r="D68">
            <v>1684.6189974051019</v>
          </cell>
          <cell r="E68">
            <v>0</v>
          </cell>
          <cell r="F68">
            <v>0</v>
          </cell>
          <cell r="G68">
            <v>0</v>
          </cell>
          <cell r="H68">
            <v>0</v>
          </cell>
          <cell r="I68">
            <v>0</v>
          </cell>
          <cell r="J68">
            <v>7287.0000296069838</v>
          </cell>
        </row>
        <row r="69">
          <cell r="A69">
            <v>51</v>
          </cell>
          <cell r="B69">
            <v>41053</v>
          </cell>
          <cell r="C69">
            <v>0</v>
          </cell>
          <cell r="D69">
            <v>1684.6189974051019</v>
          </cell>
          <cell r="E69">
            <v>0</v>
          </cell>
          <cell r="F69">
            <v>0</v>
          </cell>
          <cell r="G69">
            <v>0</v>
          </cell>
          <cell r="H69">
            <v>0</v>
          </cell>
          <cell r="I69">
            <v>0</v>
          </cell>
          <cell r="J69">
            <v>7287.0000296069838</v>
          </cell>
        </row>
        <row r="70">
          <cell r="A70">
            <v>52</v>
          </cell>
          <cell r="B70">
            <v>41084</v>
          </cell>
          <cell r="C70">
            <v>0</v>
          </cell>
          <cell r="D70">
            <v>1684.6189974051019</v>
          </cell>
          <cell r="E70">
            <v>0</v>
          </cell>
          <cell r="F70">
            <v>0</v>
          </cell>
          <cell r="G70">
            <v>0</v>
          </cell>
          <cell r="H70">
            <v>0</v>
          </cell>
          <cell r="I70">
            <v>0</v>
          </cell>
          <cell r="J70">
            <v>7287.0000296069838</v>
          </cell>
        </row>
        <row r="71">
          <cell r="A71">
            <v>53</v>
          </cell>
          <cell r="B71">
            <v>41114</v>
          </cell>
          <cell r="C71">
            <v>0</v>
          </cell>
          <cell r="D71">
            <v>1684.6189974051019</v>
          </cell>
          <cell r="E71">
            <v>0</v>
          </cell>
          <cell r="F71">
            <v>0</v>
          </cell>
          <cell r="G71">
            <v>0</v>
          </cell>
          <cell r="H71">
            <v>0</v>
          </cell>
          <cell r="I71">
            <v>0</v>
          </cell>
          <cell r="J71">
            <v>7287.0000296069838</v>
          </cell>
        </row>
        <row r="72">
          <cell r="A72">
            <v>54</v>
          </cell>
          <cell r="B72">
            <v>41145</v>
          </cell>
          <cell r="C72">
            <v>0</v>
          </cell>
          <cell r="D72">
            <v>1684.6189974051019</v>
          </cell>
          <cell r="E72">
            <v>0</v>
          </cell>
          <cell r="F72">
            <v>0</v>
          </cell>
          <cell r="G72">
            <v>0</v>
          </cell>
          <cell r="H72">
            <v>0</v>
          </cell>
          <cell r="I72">
            <v>0</v>
          </cell>
          <cell r="J72">
            <v>7287.0000296069838</v>
          </cell>
        </row>
        <row r="73">
          <cell r="A73">
            <v>55</v>
          </cell>
          <cell r="B73">
            <v>41176</v>
          </cell>
          <cell r="C73">
            <v>0</v>
          </cell>
          <cell r="D73">
            <v>1684.6189974051019</v>
          </cell>
          <cell r="E73">
            <v>0</v>
          </cell>
          <cell r="F73">
            <v>0</v>
          </cell>
          <cell r="G73">
            <v>0</v>
          </cell>
          <cell r="H73">
            <v>0</v>
          </cell>
          <cell r="I73">
            <v>0</v>
          </cell>
          <cell r="J73">
            <v>7287.0000296069838</v>
          </cell>
        </row>
        <row r="74">
          <cell r="A74">
            <v>56</v>
          </cell>
          <cell r="B74">
            <v>41206</v>
          </cell>
          <cell r="C74">
            <v>0</v>
          </cell>
          <cell r="D74">
            <v>1684.6189974051019</v>
          </cell>
          <cell r="E74">
            <v>0</v>
          </cell>
          <cell r="F74">
            <v>0</v>
          </cell>
          <cell r="G74">
            <v>0</v>
          </cell>
          <cell r="H74">
            <v>0</v>
          </cell>
          <cell r="I74">
            <v>0</v>
          </cell>
          <cell r="J74">
            <v>7287.0000296069838</v>
          </cell>
        </row>
        <row r="75">
          <cell r="A75">
            <v>57</v>
          </cell>
          <cell r="B75">
            <v>41237</v>
          </cell>
          <cell r="C75">
            <v>0</v>
          </cell>
          <cell r="D75">
            <v>1684.6189974051019</v>
          </cell>
          <cell r="E75">
            <v>0</v>
          </cell>
          <cell r="F75">
            <v>0</v>
          </cell>
          <cell r="G75">
            <v>0</v>
          </cell>
          <cell r="H75">
            <v>0</v>
          </cell>
          <cell r="I75">
            <v>0</v>
          </cell>
          <cell r="J75">
            <v>7287.0000296069838</v>
          </cell>
        </row>
        <row r="76">
          <cell r="A76">
            <v>58</v>
          </cell>
          <cell r="B76">
            <v>41267</v>
          </cell>
          <cell r="C76">
            <v>0</v>
          </cell>
          <cell r="D76">
            <v>1684.6189974051019</v>
          </cell>
          <cell r="E76">
            <v>0</v>
          </cell>
          <cell r="F76">
            <v>0</v>
          </cell>
          <cell r="G76">
            <v>0</v>
          </cell>
          <cell r="H76">
            <v>0</v>
          </cell>
          <cell r="I76">
            <v>0</v>
          </cell>
          <cell r="J76">
            <v>7287.0000296069838</v>
          </cell>
        </row>
        <row r="77">
          <cell r="A77">
            <v>59</v>
          </cell>
          <cell r="B77">
            <v>41298</v>
          </cell>
          <cell r="C77">
            <v>0</v>
          </cell>
          <cell r="D77">
            <v>1684.6189974051019</v>
          </cell>
          <cell r="E77">
            <v>0</v>
          </cell>
          <cell r="F77">
            <v>0</v>
          </cell>
          <cell r="G77">
            <v>0</v>
          </cell>
          <cell r="H77">
            <v>0</v>
          </cell>
          <cell r="I77">
            <v>0</v>
          </cell>
          <cell r="J77">
            <v>7287.0000296069838</v>
          </cell>
        </row>
        <row r="78">
          <cell r="A78">
            <v>60</v>
          </cell>
          <cell r="B78">
            <v>41329</v>
          </cell>
          <cell r="C78">
            <v>0</v>
          </cell>
          <cell r="D78">
            <v>1684.6189974051019</v>
          </cell>
          <cell r="E78">
            <v>0</v>
          </cell>
          <cell r="F78">
            <v>0</v>
          </cell>
          <cell r="G78">
            <v>0</v>
          </cell>
          <cell r="H78">
            <v>0</v>
          </cell>
          <cell r="I78">
            <v>0</v>
          </cell>
          <cell r="J78">
            <v>7287.0000296069838</v>
          </cell>
        </row>
        <row r="79">
          <cell r="A79">
            <v>61</v>
          </cell>
          <cell r="B79">
            <v>41357</v>
          </cell>
          <cell r="C79">
            <v>0</v>
          </cell>
          <cell r="D79">
            <v>1684.6189974051019</v>
          </cell>
          <cell r="E79">
            <v>0</v>
          </cell>
          <cell r="F79">
            <v>0</v>
          </cell>
          <cell r="G79">
            <v>0</v>
          </cell>
          <cell r="H79">
            <v>0</v>
          </cell>
          <cell r="I79">
            <v>0</v>
          </cell>
          <cell r="J79">
            <v>7287.0000296069838</v>
          </cell>
        </row>
        <row r="80">
          <cell r="A80">
            <v>62</v>
          </cell>
          <cell r="B80">
            <v>41388</v>
          </cell>
          <cell r="C80">
            <v>0</v>
          </cell>
          <cell r="D80">
            <v>1684.6189974051019</v>
          </cell>
          <cell r="E80">
            <v>0</v>
          </cell>
          <cell r="F80">
            <v>0</v>
          </cell>
          <cell r="G80">
            <v>0</v>
          </cell>
          <cell r="H80">
            <v>0</v>
          </cell>
          <cell r="I80">
            <v>0</v>
          </cell>
          <cell r="J80">
            <v>7287.0000296069838</v>
          </cell>
        </row>
        <row r="81">
          <cell r="A81">
            <v>63</v>
          </cell>
          <cell r="B81">
            <v>41418</v>
          </cell>
          <cell r="C81">
            <v>0</v>
          </cell>
          <cell r="D81">
            <v>1684.6189974051019</v>
          </cell>
          <cell r="E81">
            <v>0</v>
          </cell>
          <cell r="F81">
            <v>0</v>
          </cell>
          <cell r="G81">
            <v>0</v>
          </cell>
          <cell r="H81">
            <v>0</v>
          </cell>
          <cell r="I81">
            <v>0</v>
          </cell>
          <cell r="J81">
            <v>7287.0000296069838</v>
          </cell>
        </row>
        <row r="82">
          <cell r="A82">
            <v>64</v>
          </cell>
          <cell r="B82">
            <v>41449</v>
          </cell>
          <cell r="C82">
            <v>0</v>
          </cell>
          <cell r="D82">
            <v>1684.6189974051019</v>
          </cell>
          <cell r="E82">
            <v>0</v>
          </cell>
          <cell r="F82">
            <v>0</v>
          </cell>
          <cell r="G82">
            <v>0</v>
          </cell>
          <cell r="H82">
            <v>0</v>
          </cell>
          <cell r="I82">
            <v>0</v>
          </cell>
          <cell r="J82">
            <v>7287.0000296069838</v>
          </cell>
        </row>
        <row r="83">
          <cell r="A83">
            <v>65</v>
          </cell>
          <cell r="B83">
            <v>41479</v>
          </cell>
          <cell r="C83">
            <v>0</v>
          </cell>
          <cell r="D83">
            <v>1684.6189974051019</v>
          </cell>
          <cell r="E83">
            <v>0</v>
          </cell>
          <cell r="F83">
            <v>0</v>
          </cell>
          <cell r="G83">
            <v>0</v>
          </cell>
          <cell r="H83">
            <v>0</v>
          </cell>
          <cell r="I83">
            <v>0</v>
          </cell>
          <cell r="J83">
            <v>7287.0000296069838</v>
          </cell>
        </row>
        <row r="84">
          <cell r="A84">
            <v>66</v>
          </cell>
          <cell r="B84">
            <v>41510</v>
          </cell>
          <cell r="C84">
            <v>0</v>
          </cell>
          <cell r="D84">
            <v>1684.6189974051019</v>
          </cell>
          <cell r="E84">
            <v>0</v>
          </cell>
          <cell r="F84">
            <v>0</v>
          </cell>
          <cell r="G84">
            <v>0</v>
          </cell>
          <cell r="H84">
            <v>0</v>
          </cell>
          <cell r="I84">
            <v>0</v>
          </cell>
          <cell r="J84">
            <v>7287.0000296069838</v>
          </cell>
        </row>
        <row r="85">
          <cell r="A85">
            <v>67</v>
          </cell>
          <cell r="B85">
            <v>41541</v>
          </cell>
          <cell r="C85">
            <v>0</v>
          </cell>
          <cell r="D85">
            <v>1684.6189974051019</v>
          </cell>
          <cell r="E85">
            <v>0</v>
          </cell>
          <cell r="F85">
            <v>0</v>
          </cell>
          <cell r="G85">
            <v>0</v>
          </cell>
          <cell r="H85">
            <v>0</v>
          </cell>
          <cell r="I85">
            <v>0</v>
          </cell>
          <cell r="J85">
            <v>7287.0000296069838</v>
          </cell>
        </row>
        <row r="86">
          <cell r="A86">
            <v>68</v>
          </cell>
          <cell r="B86">
            <v>41571</v>
          </cell>
          <cell r="C86">
            <v>0</v>
          </cell>
          <cell r="D86">
            <v>1684.6189974051019</v>
          </cell>
          <cell r="E86">
            <v>0</v>
          </cell>
          <cell r="F86">
            <v>0</v>
          </cell>
          <cell r="G86">
            <v>0</v>
          </cell>
          <cell r="H86">
            <v>0</v>
          </cell>
          <cell r="I86">
            <v>0</v>
          </cell>
          <cell r="J86">
            <v>7287.0000296069838</v>
          </cell>
        </row>
        <row r="87">
          <cell r="A87">
            <v>69</v>
          </cell>
          <cell r="B87">
            <v>41602</v>
          </cell>
          <cell r="C87">
            <v>0</v>
          </cell>
          <cell r="D87">
            <v>1684.6189974051019</v>
          </cell>
          <cell r="E87">
            <v>0</v>
          </cell>
          <cell r="F87">
            <v>0</v>
          </cell>
          <cell r="G87">
            <v>0</v>
          </cell>
          <cell r="H87">
            <v>0</v>
          </cell>
          <cell r="I87">
            <v>0</v>
          </cell>
          <cell r="J87">
            <v>7287.0000296069838</v>
          </cell>
        </row>
        <row r="88">
          <cell r="A88">
            <v>70</v>
          </cell>
          <cell r="B88">
            <v>41632</v>
          </cell>
          <cell r="C88">
            <v>0</v>
          </cell>
          <cell r="D88">
            <v>1684.6189974051019</v>
          </cell>
          <cell r="E88">
            <v>0</v>
          </cell>
          <cell r="F88">
            <v>0</v>
          </cell>
          <cell r="G88">
            <v>0</v>
          </cell>
          <cell r="H88">
            <v>0</v>
          </cell>
          <cell r="I88">
            <v>0</v>
          </cell>
          <cell r="J88">
            <v>7287.0000296069838</v>
          </cell>
        </row>
        <row r="89">
          <cell r="A89">
            <v>71</v>
          </cell>
          <cell r="B89">
            <v>41663</v>
          </cell>
          <cell r="C89">
            <v>0</v>
          </cell>
          <cell r="D89">
            <v>1684.6189974051019</v>
          </cell>
          <cell r="E89">
            <v>0</v>
          </cell>
          <cell r="F89">
            <v>0</v>
          </cell>
          <cell r="G89">
            <v>0</v>
          </cell>
          <cell r="H89">
            <v>0</v>
          </cell>
          <cell r="I89">
            <v>0</v>
          </cell>
          <cell r="J89">
            <v>7287.0000296069838</v>
          </cell>
        </row>
        <row r="90">
          <cell r="A90">
            <v>72</v>
          </cell>
          <cell r="B90">
            <v>41694</v>
          </cell>
          <cell r="C90">
            <v>0</v>
          </cell>
          <cell r="D90">
            <v>1684.6189974051019</v>
          </cell>
          <cell r="E90">
            <v>0</v>
          </cell>
          <cell r="F90">
            <v>0</v>
          </cell>
          <cell r="G90">
            <v>0</v>
          </cell>
          <cell r="H90">
            <v>0</v>
          </cell>
          <cell r="I90">
            <v>0</v>
          </cell>
          <cell r="J90">
            <v>7287.0000296069838</v>
          </cell>
        </row>
        <row r="91">
          <cell r="A91">
            <v>73</v>
          </cell>
          <cell r="B91">
            <v>41722</v>
          </cell>
          <cell r="C91">
            <v>0</v>
          </cell>
          <cell r="D91">
            <v>1684.6189974051019</v>
          </cell>
          <cell r="E91">
            <v>0</v>
          </cell>
          <cell r="F91">
            <v>0</v>
          </cell>
          <cell r="G91">
            <v>0</v>
          </cell>
          <cell r="H91">
            <v>0</v>
          </cell>
          <cell r="I91">
            <v>0</v>
          </cell>
          <cell r="J91">
            <v>7287.0000296069838</v>
          </cell>
        </row>
        <row r="92">
          <cell r="A92">
            <v>74</v>
          </cell>
          <cell r="B92">
            <v>41753</v>
          </cell>
          <cell r="C92">
            <v>0</v>
          </cell>
          <cell r="D92">
            <v>1684.6189974051019</v>
          </cell>
          <cell r="E92">
            <v>0</v>
          </cell>
          <cell r="F92">
            <v>0</v>
          </cell>
          <cell r="G92">
            <v>0</v>
          </cell>
          <cell r="H92">
            <v>0</v>
          </cell>
          <cell r="I92">
            <v>0</v>
          </cell>
          <cell r="J92">
            <v>7287.0000296069838</v>
          </cell>
        </row>
        <row r="93">
          <cell r="A93">
            <v>75</v>
          </cell>
          <cell r="B93">
            <v>41783</v>
          </cell>
          <cell r="C93">
            <v>0</v>
          </cell>
          <cell r="D93">
            <v>1684.6189974051019</v>
          </cell>
          <cell r="E93">
            <v>0</v>
          </cell>
          <cell r="F93">
            <v>0</v>
          </cell>
          <cell r="G93">
            <v>0</v>
          </cell>
          <cell r="H93">
            <v>0</v>
          </cell>
          <cell r="I93">
            <v>0</v>
          </cell>
          <cell r="J93">
            <v>7287.0000296069838</v>
          </cell>
        </row>
        <row r="94">
          <cell r="A94">
            <v>76</v>
          </cell>
          <cell r="B94">
            <v>41814</v>
          </cell>
          <cell r="C94">
            <v>0</v>
          </cell>
          <cell r="D94">
            <v>1684.6189974051019</v>
          </cell>
          <cell r="E94">
            <v>0</v>
          </cell>
          <cell r="F94">
            <v>0</v>
          </cell>
          <cell r="G94">
            <v>0</v>
          </cell>
          <cell r="H94">
            <v>0</v>
          </cell>
          <cell r="I94">
            <v>0</v>
          </cell>
          <cell r="J94">
            <v>7287.0000296069838</v>
          </cell>
        </row>
        <row r="95">
          <cell r="A95">
            <v>77</v>
          </cell>
          <cell r="B95">
            <v>41844</v>
          </cell>
          <cell r="C95">
            <v>0</v>
          </cell>
          <cell r="D95">
            <v>1684.6189974051019</v>
          </cell>
          <cell r="E95">
            <v>0</v>
          </cell>
          <cell r="F95">
            <v>0</v>
          </cell>
          <cell r="G95">
            <v>0</v>
          </cell>
          <cell r="H95">
            <v>0</v>
          </cell>
          <cell r="I95">
            <v>0</v>
          </cell>
          <cell r="J95">
            <v>7287.0000296069838</v>
          </cell>
        </row>
        <row r="96">
          <cell r="A96">
            <v>78</v>
          </cell>
          <cell r="B96">
            <v>41875</v>
          </cell>
          <cell r="C96">
            <v>0</v>
          </cell>
          <cell r="D96">
            <v>1684.6189974051019</v>
          </cell>
          <cell r="E96">
            <v>0</v>
          </cell>
          <cell r="F96">
            <v>0</v>
          </cell>
          <cell r="G96">
            <v>0</v>
          </cell>
          <cell r="H96">
            <v>0</v>
          </cell>
          <cell r="I96">
            <v>0</v>
          </cell>
          <cell r="J96">
            <v>7287.0000296069838</v>
          </cell>
        </row>
        <row r="97">
          <cell r="A97">
            <v>79</v>
          </cell>
          <cell r="B97">
            <v>41906</v>
          </cell>
          <cell r="C97">
            <v>0</v>
          </cell>
          <cell r="D97">
            <v>1684.6189974051019</v>
          </cell>
          <cell r="E97">
            <v>0</v>
          </cell>
          <cell r="F97">
            <v>0</v>
          </cell>
          <cell r="G97">
            <v>0</v>
          </cell>
          <cell r="H97">
            <v>0</v>
          </cell>
          <cell r="I97">
            <v>0</v>
          </cell>
          <cell r="J97">
            <v>7287.0000296069838</v>
          </cell>
        </row>
        <row r="98">
          <cell r="A98">
            <v>80</v>
          </cell>
          <cell r="B98">
            <v>41936</v>
          </cell>
          <cell r="C98">
            <v>0</v>
          </cell>
          <cell r="D98">
            <v>1684.6189974051019</v>
          </cell>
          <cell r="E98">
            <v>0</v>
          </cell>
          <cell r="F98">
            <v>0</v>
          </cell>
          <cell r="G98">
            <v>0</v>
          </cell>
          <cell r="H98">
            <v>0</v>
          </cell>
          <cell r="I98">
            <v>0</v>
          </cell>
          <cell r="J98">
            <v>7287.0000296069838</v>
          </cell>
        </row>
        <row r="99">
          <cell r="A99">
            <v>81</v>
          </cell>
          <cell r="B99">
            <v>41967</v>
          </cell>
          <cell r="C99">
            <v>0</v>
          </cell>
          <cell r="D99">
            <v>1684.6189974051019</v>
          </cell>
          <cell r="E99">
            <v>0</v>
          </cell>
          <cell r="F99">
            <v>0</v>
          </cell>
          <cell r="G99">
            <v>0</v>
          </cell>
          <cell r="H99">
            <v>0</v>
          </cell>
          <cell r="I99">
            <v>0</v>
          </cell>
          <cell r="J99">
            <v>7287.0000296069838</v>
          </cell>
        </row>
        <row r="100">
          <cell r="A100">
            <v>82</v>
          </cell>
          <cell r="B100">
            <v>41997</v>
          </cell>
          <cell r="C100">
            <v>0</v>
          </cell>
          <cell r="D100">
            <v>1684.6189974051019</v>
          </cell>
          <cell r="E100">
            <v>0</v>
          </cell>
          <cell r="F100">
            <v>0</v>
          </cell>
          <cell r="G100">
            <v>0</v>
          </cell>
          <cell r="H100">
            <v>0</v>
          </cell>
          <cell r="I100">
            <v>0</v>
          </cell>
          <cell r="J100">
            <v>7287.0000296069838</v>
          </cell>
        </row>
        <row r="101">
          <cell r="A101">
            <v>83</v>
          </cell>
          <cell r="B101">
            <v>42028</v>
          </cell>
          <cell r="C101">
            <v>0</v>
          </cell>
          <cell r="D101">
            <v>1684.6189974051019</v>
          </cell>
          <cell r="E101">
            <v>0</v>
          </cell>
          <cell r="F101">
            <v>0</v>
          </cell>
          <cell r="G101">
            <v>0</v>
          </cell>
          <cell r="H101">
            <v>0</v>
          </cell>
          <cell r="I101">
            <v>0</v>
          </cell>
          <cell r="J101">
            <v>7287.0000296069838</v>
          </cell>
        </row>
        <row r="102">
          <cell r="A102">
            <v>84</v>
          </cell>
          <cell r="B102">
            <v>42059</v>
          </cell>
          <cell r="C102">
            <v>0</v>
          </cell>
          <cell r="D102">
            <v>1684.6189974051019</v>
          </cell>
          <cell r="E102">
            <v>0</v>
          </cell>
          <cell r="F102">
            <v>0</v>
          </cell>
          <cell r="G102">
            <v>0</v>
          </cell>
          <cell r="H102">
            <v>0</v>
          </cell>
          <cell r="I102">
            <v>0</v>
          </cell>
          <cell r="J102">
            <v>7287.0000296069838</v>
          </cell>
        </row>
        <row r="103">
          <cell r="A103">
            <v>85</v>
          </cell>
          <cell r="B103">
            <v>42087</v>
          </cell>
          <cell r="C103">
            <v>0</v>
          </cell>
          <cell r="D103">
            <v>1684.6189974051019</v>
          </cell>
          <cell r="E103">
            <v>0</v>
          </cell>
          <cell r="F103">
            <v>0</v>
          </cell>
          <cell r="G103">
            <v>0</v>
          </cell>
          <cell r="H103">
            <v>0</v>
          </cell>
          <cell r="I103">
            <v>0</v>
          </cell>
          <cell r="J103">
            <v>7287.0000296069838</v>
          </cell>
        </row>
        <row r="104">
          <cell r="A104">
            <v>86</v>
          </cell>
          <cell r="B104">
            <v>42118</v>
          </cell>
          <cell r="C104">
            <v>0</v>
          </cell>
          <cell r="D104">
            <v>1684.6189974051019</v>
          </cell>
          <cell r="E104">
            <v>0</v>
          </cell>
          <cell r="F104">
            <v>0</v>
          </cell>
          <cell r="G104">
            <v>0</v>
          </cell>
          <cell r="H104">
            <v>0</v>
          </cell>
          <cell r="I104">
            <v>0</v>
          </cell>
          <cell r="J104">
            <v>7287.0000296069838</v>
          </cell>
        </row>
        <row r="105">
          <cell r="A105">
            <v>87</v>
          </cell>
          <cell r="B105">
            <v>42148</v>
          </cell>
          <cell r="C105">
            <v>0</v>
          </cell>
          <cell r="D105">
            <v>1684.6189974051019</v>
          </cell>
          <cell r="E105">
            <v>0</v>
          </cell>
          <cell r="F105">
            <v>0</v>
          </cell>
          <cell r="G105">
            <v>0</v>
          </cell>
          <cell r="H105">
            <v>0</v>
          </cell>
          <cell r="I105">
            <v>0</v>
          </cell>
          <cell r="J105">
            <v>7287.0000296069838</v>
          </cell>
        </row>
        <row r="106">
          <cell r="A106">
            <v>88</v>
          </cell>
          <cell r="B106">
            <v>42179</v>
          </cell>
          <cell r="C106">
            <v>0</v>
          </cell>
          <cell r="D106">
            <v>1684.6189974051019</v>
          </cell>
          <cell r="E106">
            <v>0</v>
          </cell>
          <cell r="F106">
            <v>0</v>
          </cell>
          <cell r="G106">
            <v>0</v>
          </cell>
          <cell r="H106">
            <v>0</v>
          </cell>
          <cell r="I106">
            <v>0</v>
          </cell>
          <cell r="J106">
            <v>7287.0000296069838</v>
          </cell>
        </row>
        <row r="107">
          <cell r="A107">
            <v>89</v>
          </cell>
          <cell r="B107">
            <v>42209</v>
          </cell>
          <cell r="C107">
            <v>0</v>
          </cell>
          <cell r="D107">
            <v>1684.6189974051019</v>
          </cell>
          <cell r="E107">
            <v>0</v>
          </cell>
          <cell r="F107">
            <v>0</v>
          </cell>
          <cell r="G107">
            <v>0</v>
          </cell>
          <cell r="H107">
            <v>0</v>
          </cell>
          <cell r="I107">
            <v>0</v>
          </cell>
          <cell r="J107">
            <v>7287.0000296069838</v>
          </cell>
        </row>
        <row r="108">
          <cell r="A108">
            <v>90</v>
          </cell>
          <cell r="B108">
            <v>42240</v>
          </cell>
          <cell r="C108">
            <v>0</v>
          </cell>
          <cell r="D108">
            <v>1684.6189974051019</v>
          </cell>
          <cell r="E108">
            <v>0</v>
          </cell>
          <cell r="F108">
            <v>0</v>
          </cell>
          <cell r="G108">
            <v>0</v>
          </cell>
          <cell r="H108">
            <v>0</v>
          </cell>
          <cell r="I108">
            <v>0</v>
          </cell>
          <cell r="J108">
            <v>7287.0000296069838</v>
          </cell>
        </row>
        <row r="109">
          <cell r="A109">
            <v>91</v>
          </cell>
          <cell r="B109">
            <v>42271</v>
          </cell>
          <cell r="C109">
            <v>0</v>
          </cell>
          <cell r="D109">
            <v>1684.6189974051019</v>
          </cell>
          <cell r="E109">
            <v>0</v>
          </cell>
          <cell r="F109">
            <v>0</v>
          </cell>
          <cell r="G109">
            <v>0</v>
          </cell>
          <cell r="H109">
            <v>0</v>
          </cell>
          <cell r="I109">
            <v>0</v>
          </cell>
          <cell r="J109">
            <v>7287.0000296069838</v>
          </cell>
        </row>
        <row r="110">
          <cell r="A110">
            <v>92</v>
          </cell>
          <cell r="B110">
            <v>42301</v>
          </cell>
          <cell r="C110">
            <v>0</v>
          </cell>
          <cell r="D110">
            <v>1684.6189974051019</v>
          </cell>
          <cell r="E110">
            <v>0</v>
          </cell>
          <cell r="F110">
            <v>0</v>
          </cell>
          <cell r="G110">
            <v>0</v>
          </cell>
          <cell r="H110">
            <v>0</v>
          </cell>
          <cell r="I110">
            <v>0</v>
          </cell>
          <cell r="J110">
            <v>7287.0000296069838</v>
          </cell>
        </row>
        <row r="111">
          <cell r="A111">
            <v>93</v>
          </cell>
          <cell r="B111">
            <v>42332</v>
          </cell>
          <cell r="C111">
            <v>0</v>
          </cell>
          <cell r="D111">
            <v>1684.6189974051019</v>
          </cell>
          <cell r="E111">
            <v>0</v>
          </cell>
          <cell r="F111">
            <v>0</v>
          </cell>
          <cell r="G111">
            <v>0</v>
          </cell>
          <cell r="H111">
            <v>0</v>
          </cell>
          <cell r="I111">
            <v>0</v>
          </cell>
          <cell r="J111">
            <v>7287.0000296069838</v>
          </cell>
        </row>
        <row r="112">
          <cell r="A112">
            <v>94</v>
          </cell>
          <cell r="B112">
            <v>42362</v>
          </cell>
          <cell r="C112">
            <v>0</v>
          </cell>
          <cell r="D112">
            <v>1684.6189974051019</v>
          </cell>
          <cell r="E112">
            <v>0</v>
          </cell>
          <cell r="F112">
            <v>0</v>
          </cell>
          <cell r="G112">
            <v>0</v>
          </cell>
          <cell r="H112">
            <v>0</v>
          </cell>
          <cell r="I112">
            <v>0</v>
          </cell>
          <cell r="J112">
            <v>7287.0000296069838</v>
          </cell>
        </row>
        <row r="113">
          <cell r="A113">
            <v>95</v>
          </cell>
          <cell r="B113">
            <v>42393</v>
          </cell>
          <cell r="C113">
            <v>0</v>
          </cell>
          <cell r="D113">
            <v>1684.6189974051019</v>
          </cell>
          <cell r="E113">
            <v>0</v>
          </cell>
          <cell r="F113">
            <v>0</v>
          </cell>
          <cell r="G113">
            <v>0</v>
          </cell>
          <cell r="H113">
            <v>0</v>
          </cell>
          <cell r="I113">
            <v>0</v>
          </cell>
          <cell r="J113">
            <v>7287.0000296069838</v>
          </cell>
        </row>
        <row r="114">
          <cell r="A114">
            <v>96</v>
          </cell>
          <cell r="B114">
            <v>42424</v>
          </cell>
          <cell r="C114">
            <v>0</v>
          </cell>
          <cell r="D114">
            <v>1684.6189974051019</v>
          </cell>
          <cell r="E114">
            <v>0</v>
          </cell>
          <cell r="F114">
            <v>0</v>
          </cell>
          <cell r="G114">
            <v>0</v>
          </cell>
          <cell r="H114">
            <v>0</v>
          </cell>
          <cell r="I114">
            <v>0</v>
          </cell>
          <cell r="J114">
            <v>7287.0000296069838</v>
          </cell>
        </row>
        <row r="115">
          <cell r="A115">
            <v>97</v>
          </cell>
          <cell r="B115">
            <v>42453</v>
          </cell>
          <cell r="C115">
            <v>0</v>
          </cell>
          <cell r="D115">
            <v>1684.6189974051019</v>
          </cell>
          <cell r="E115">
            <v>0</v>
          </cell>
          <cell r="F115">
            <v>0</v>
          </cell>
          <cell r="G115">
            <v>0</v>
          </cell>
          <cell r="H115">
            <v>0</v>
          </cell>
          <cell r="I115">
            <v>0</v>
          </cell>
          <cell r="J115">
            <v>7287.0000296069838</v>
          </cell>
        </row>
        <row r="116">
          <cell r="A116">
            <v>98</v>
          </cell>
          <cell r="B116">
            <v>42484</v>
          </cell>
          <cell r="C116">
            <v>0</v>
          </cell>
          <cell r="D116">
            <v>1684.6189974051019</v>
          </cell>
          <cell r="E116">
            <v>0</v>
          </cell>
          <cell r="F116">
            <v>0</v>
          </cell>
          <cell r="G116">
            <v>0</v>
          </cell>
          <cell r="H116">
            <v>0</v>
          </cell>
          <cell r="I116">
            <v>0</v>
          </cell>
          <cell r="J116">
            <v>7287.0000296069838</v>
          </cell>
        </row>
        <row r="117">
          <cell r="A117">
            <v>99</v>
          </cell>
          <cell r="B117">
            <v>42514</v>
          </cell>
          <cell r="C117">
            <v>0</v>
          </cell>
          <cell r="D117">
            <v>1684.6189974051019</v>
          </cell>
          <cell r="E117">
            <v>0</v>
          </cell>
          <cell r="F117">
            <v>0</v>
          </cell>
          <cell r="G117">
            <v>0</v>
          </cell>
          <cell r="H117">
            <v>0</v>
          </cell>
          <cell r="I117">
            <v>0</v>
          </cell>
          <cell r="J117">
            <v>7287.0000296069838</v>
          </cell>
        </row>
        <row r="118">
          <cell r="A118">
            <v>100</v>
          </cell>
          <cell r="B118">
            <v>42545</v>
          </cell>
          <cell r="C118">
            <v>0</v>
          </cell>
          <cell r="D118">
            <v>1684.6189974051019</v>
          </cell>
          <cell r="E118">
            <v>0</v>
          </cell>
          <cell r="F118">
            <v>0</v>
          </cell>
          <cell r="G118">
            <v>0</v>
          </cell>
          <cell r="H118">
            <v>0</v>
          </cell>
          <cell r="I118">
            <v>0</v>
          </cell>
          <cell r="J118">
            <v>7287.0000296069838</v>
          </cell>
        </row>
        <row r="119">
          <cell r="A119">
            <v>101</v>
          </cell>
          <cell r="B119">
            <v>42575</v>
          </cell>
          <cell r="C119">
            <v>0</v>
          </cell>
          <cell r="D119">
            <v>1684.6189974051019</v>
          </cell>
          <cell r="E119">
            <v>0</v>
          </cell>
          <cell r="F119">
            <v>0</v>
          </cell>
          <cell r="G119">
            <v>0</v>
          </cell>
          <cell r="H119">
            <v>0</v>
          </cell>
          <cell r="I119">
            <v>0</v>
          </cell>
          <cell r="J119">
            <v>7287.0000296069838</v>
          </cell>
        </row>
        <row r="120">
          <cell r="A120">
            <v>102</v>
          </cell>
          <cell r="B120">
            <v>42606</v>
          </cell>
          <cell r="C120">
            <v>0</v>
          </cell>
          <cell r="D120">
            <v>1684.6189974051019</v>
          </cell>
          <cell r="E120">
            <v>0</v>
          </cell>
          <cell r="F120">
            <v>0</v>
          </cell>
          <cell r="G120">
            <v>0</v>
          </cell>
          <cell r="H120">
            <v>0</v>
          </cell>
          <cell r="I120">
            <v>0</v>
          </cell>
          <cell r="J120">
            <v>7287.0000296069838</v>
          </cell>
        </row>
        <row r="121">
          <cell r="A121">
            <v>103</v>
          </cell>
          <cell r="B121">
            <v>42637</v>
          </cell>
          <cell r="C121">
            <v>0</v>
          </cell>
          <cell r="D121">
            <v>1684.6189974051019</v>
          </cell>
          <cell r="E121">
            <v>0</v>
          </cell>
          <cell r="F121">
            <v>0</v>
          </cell>
          <cell r="G121">
            <v>0</v>
          </cell>
          <cell r="H121">
            <v>0</v>
          </cell>
          <cell r="I121">
            <v>0</v>
          </cell>
          <cell r="J121">
            <v>7287.0000296069838</v>
          </cell>
        </row>
        <row r="122">
          <cell r="A122">
            <v>104</v>
          </cell>
          <cell r="B122">
            <v>42667</v>
          </cell>
          <cell r="C122">
            <v>0</v>
          </cell>
          <cell r="D122">
            <v>1684.6189974051019</v>
          </cell>
          <cell r="E122">
            <v>0</v>
          </cell>
          <cell r="F122">
            <v>0</v>
          </cell>
          <cell r="G122">
            <v>0</v>
          </cell>
          <cell r="H122">
            <v>0</v>
          </cell>
          <cell r="I122">
            <v>0</v>
          </cell>
          <cell r="J122">
            <v>7287.0000296069838</v>
          </cell>
        </row>
        <row r="123">
          <cell r="A123">
            <v>105</v>
          </cell>
          <cell r="B123">
            <v>42698</v>
          </cell>
          <cell r="C123">
            <v>0</v>
          </cell>
          <cell r="D123">
            <v>1684.6189974051019</v>
          </cell>
          <cell r="E123">
            <v>0</v>
          </cell>
          <cell r="F123">
            <v>0</v>
          </cell>
          <cell r="G123">
            <v>0</v>
          </cell>
          <cell r="H123">
            <v>0</v>
          </cell>
          <cell r="I123">
            <v>0</v>
          </cell>
          <cell r="J123">
            <v>7287.0000296069838</v>
          </cell>
        </row>
        <row r="124">
          <cell r="A124">
            <v>106</v>
          </cell>
          <cell r="B124">
            <v>42728</v>
          </cell>
          <cell r="C124">
            <v>0</v>
          </cell>
          <cell r="D124">
            <v>1684.6189974051019</v>
          </cell>
          <cell r="E124">
            <v>0</v>
          </cell>
          <cell r="F124">
            <v>0</v>
          </cell>
          <cell r="G124">
            <v>0</v>
          </cell>
          <cell r="H124">
            <v>0</v>
          </cell>
          <cell r="I124">
            <v>0</v>
          </cell>
          <cell r="J124">
            <v>7287.0000296069838</v>
          </cell>
        </row>
        <row r="125">
          <cell r="A125">
            <v>107</v>
          </cell>
          <cell r="B125">
            <v>42759</v>
          </cell>
          <cell r="C125">
            <v>0</v>
          </cell>
          <cell r="D125">
            <v>1684.6189974051019</v>
          </cell>
          <cell r="E125">
            <v>0</v>
          </cell>
          <cell r="F125">
            <v>0</v>
          </cell>
          <cell r="G125">
            <v>0</v>
          </cell>
          <cell r="H125">
            <v>0</v>
          </cell>
          <cell r="I125">
            <v>0</v>
          </cell>
          <cell r="J125">
            <v>7287.0000296069838</v>
          </cell>
        </row>
        <row r="126">
          <cell r="A126">
            <v>108</v>
          </cell>
          <cell r="B126">
            <v>42790</v>
          </cell>
          <cell r="C126">
            <v>0</v>
          </cell>
          <cell r="D126">
            <v>1684.6189974051019</v>
          </cell>
          <cell r="E126">
            <v>0</v>
          </cell>
          <cell r="F126">
            <v>0</v>
          </cell>
          <cell r="G126">
            <v>0</v>
          </cell>
          <cell r="H126">
            <v>0</v>
          </cell>
          <cell r="I126">
            <v>0</v>
          </cell>
          <cell r="J126">
            <v>7287.0000296069838</v>
          </cell>
        </row>
        <row r="127">
          <cell r="A127">
            <v>109</v>
          </cell>
          <cell r="B127">
            <v>42818</v>
          </cell>
          <cell r="C127">
            <v>0</v>
          </cell>
          <cell r="D127">
            <v>1684.6189974051019</v>
          </cell>
          <cell r="E127">
            <v>0</v>
          </cell>
          <cell r="F127">
            <v>0</v>
          </cell>
          <cell r="G127">
            <v>0</v>
          </cell>
          <cell r="H127">
            <v>0</v>
          </cell>
          <cell r="I127">
            <v>0</v>
          </cell>
          <cell r="J127">
            <v>7287.0000296069838</v>
          </cell>
        </row>
        <row r="128">
          <cell r="A128">
            <v>110</v>
          </cell>
          <cell r="B128">
            <v>42849</v>
          </cell>
          <cell r="C128">
            <v>0</v>
          </cell>
          <cell r="D128">
            <v>1684.6189974051019</v>
          </cell>
          <cell r="E128">
            <v>0</v>
          </cell>
          <cell r="F128">
            <v>0</v>
          </cell>
          <cell r="G128">
            <v>0</v>
          </cell>
          <cell r="H128">
            <v>0</v>
          </cell>
          <cell r="I128">
            <v>0</v>
          </cell>
          <cell r="J128">
            <v>7287.0000296069838</v>
          </cell>
        </row>
        <row r="129">
          <cell r="A129">
            <v>111</v>
          </cell>
          <cell r="B129">
            <v>42879</v>
          </cell>
          <cell r="C129">
            <v>0</v>
          </cell>
          <cell r="D129">
            <v>1684.6189974051019</v>
          </cell>
          <cell r="E129">
            <v>0</v>
          </cell>
          <cell r="F129">
            <v>0</v>
          </cell>
          <cell r="G129">
            <v>0</v>
          </cell>
          <cell r="H129">
            <v>0</v>
          </cell>
          <cell r="I129">
            <v>0</v>
          </cell>
          <cell r="J129">
            <v>7287.0000296069838</v>
          </cell>
        </row>
        <row r="130">
          <cell r="A130">
            <v>112</v>
          </cell>
          <cell r="B130">
            <v>42910</v>
          </cell>
          <cell r="C130">
            <v>0</v>
          </cell>
          <cell r="D130">
            <v>1684.6189974051019</v>
          </cell>
          <cell r="E130">
            <v>0</v>
          </cell>
          <cell r="F130">
            <v>0</v>
          </cell>
          <cell r="G130">
            <v>0</v>
          </cell>
          <cell r="H130">
            <v>0</v>
          </cell>
          <cell r="I130">
            <v>0</v>
          </cell>
          <cell r="J130">
            <v>7287.0000296069838</v>
          </cell>
        </row>
        <row r="131">
          <cell r="A131">
            <v>113</v>
          </cell>
          <cell r="B131">
            <v>42940</v>
          </cell>
          <cell r="C131">
            <v>0</v>
          </cell>
          <cell r="D131">
            <v>1684.6189974051019</v>
          </cell>
          <cell r="E131">
            <v>0</v>
          </cell>
          <cell r="F131">
            <v>0</v>
          </cell>
          <cell r="G131">
            <v>0</v>
          </cell>
          <cell r="H131">
            <v>0</v>
          </cell>
          <cell r="I131">
            <v>0</v>
          </cell>
          <cell r="J131">
            <v>7287.0000296069838</v>
          </cell>
        </row>
        <row r="132">
          <cell r="A132">
            <v>114</v>
          </cell>
          <cell r="B132">
            <v>42971</v>
          </cell>
          <cell r="C132">
            <v>0</v>
          </cell>
          <cell r="D132">
            <v>1684.6189974051019</v>
          </cell>
          <cell r="E132">
            <v>0</v>
          </cell>
          <cell r="F132">
            <v>0</v>
          </cell>
          <cell r="G132">
            <v>0</v>
          </cell>
          <cell r="H132">
            <v>0</v>
          </cell>
          <cell r="I132">
            <v>0</v>
          </cell>
          <cell r="J132">
            <v>7287.0000296069838</v>
          </cell>
        </row>
        <row r="133">
          <cell r="A133">
            <v>115</v>
          </cell>
          <cell r="B133">
            <v>43002</v>
          </cell>
          <cell r="C133">
            <v>0</v>
          </cell>
          <cell r="D133">
            <v>1684.6189974051019</v>
          </cell>
          <cell r="E133">
            <v>0</v>
          </cell>
          <cell r="F133">
            <v>0</v>
          </cell>
          <cell r="G133">
            <v>0</v>
          </cell>
          <cell r="H133">
            <v>0</v>
          </cell>
          <cell r="I133">
            <v>0</v>
          </cell>
          <cell r="J133">
            <v>7287.0000296069838</v>
          </cell>
        </row>
        <row r="134">
          <cell r="A134">
            <v>116</v>
          </cell>
          <cell r="B134">
            <v>43032</v>
          </cell>
          <cell r="C134">
            <v>0</v>
          </cell>
          <cell r="D134">
            <v>1684.6189974051019</v>
          </cell>
          <cell r="E134">
            <v>0</v>
          </cell>
          <cell r="F134">
            <v>0</v>
          </cell>
          <cell r="G134">
            <v>0</v>
          </cell>
          <cell r="H134">
            <v>0</v>
          </cell>
          <cell r="I134">
            <v>0</v>
          </cell>
          <cell r="J134">
            <v>7287.0000296069838</v>
          </cell>
        </row>
        <row r="135">
          <cell r="A135">
            <v>117</v>
          </cell>
          <cell r="B135">
            <v>43063</v>
          </cell>
          <cell r="C135">
            <v>0</v>
          </cell>
          <cell r="D135">
            <v>1684.6189974051019</v>
          </cell>
          <cell r="E135">
            <v>0</v>
          </cell>
          <cell r="F135">
            <v>0</v>
          </cell>
          <cell r="G135">
            <v>0</v>
          </cell>
          <cell r="H135">
            <v>0</v>
          </cell>
          <cell r="I135">
            <v>0</v>
          </cell>
          <cell r="J135">
            <v>7287.0000296069838</v>
          </cell>
        </row>
        <row r="136">
          <cell r="A136">
            <v>118</v>
          </cell>
          <cell r="B136">
            <v>43093</v>
          </cell>
          <cell r="C136">
            <v>0</v>
          </cell>
          <cell r="D136">
            <v>1684.6189974051019</v>
          </cell>
          <cell r="E136">
            <v>0</v>
          </cell>
          <cell r="F136">
            <v>0</v>
          </cell>
          <cell r="G136">
            <v>0</v>
          </cell>
          <cell r="H136">
            <v>0</v>
          </cell>
          <cell r="I136">
            <v>0</v>
          </cell>
          <cell r="J136">
            <v>7287.0000296069838</v>
          </cell>
        </row>
        <row r="137">
          <cell r="A137">
            <v>119</v>
          </cell>
          <cell r="B137">
            <v>43124</v>
          </cell>
          <cell r="C137">
            <v>0</v>
          </cell>
          <cell r="D137">
            <v>1684.6189974051019</v>
          </cell>
          <cell r="E137">
            <v>0</v>
          </cell>
          <cell r="F137">
            <v>0</v>
          </cell>
          <cell r="G137">
            <v>0</v>
          </cell>
          <cell r="H137">
            <v>0</v>
          </cell>
          <cell r="I137">
            <v>0</v>
          </cell>
          <cell r="J137">
            <v>7287.0000296069838</v>
          </cell>
        </row>
        <row r="138">
          <cell r="A138">
            <v>120</v>
          </cell>
          <cell r="B138">
            <v>43155</v>
          </cell>
          <cell r="C138">
            <v>0</v>
          </cell>
          <cell r="D138">
            <v>1684.6189974051019</v>
          </cell>
          <cell r="E138">
            <v>0</v>
          </cell>
          <cell r="F138">
            <v>0</v>
          </cell>
          <cell r="G138">
            <v>0</v>
          </cell>
          <cell r="H138">
            <v>0</v>
          </cell>
          <cell r="I138">
            <v>0</v>
          </cell>
          <cell r="J138">
            <v>7287.0000296069838</v>
          </cell>
        </row>
        <row r="139">
          <cell r="A139">
            <v>121</v>
          </cell>
          <cell r="B139">
            <v>43183</v>
          </cell>
          <cell r="C139">
            <v>0</v>
          </cell>
          <cell r="D139">
            <v>1684.6189974051019</v>
          </cell>
          <cell r="E139">
            <v>0</v>
          </cell>
          <cell r="F139">
            <v>0</v>
          </cell>
          <cell r="G139">
            <v>0</v>
          </cell>
          <cell r="H139">
            <v>0</v>
          </cell>
          <cell r="I139">
            <v>0</v>
          </cell>
          <cell r="J139">
            <v>7287.0000296069838</v>
          </cell>
        </row>
        <row r="140">
          <cell r="A140">
            <v>122</v>
          </cell>
          <cell r="B140">
            <v>43214</v>
          </cell>
          <cell r="C140">
            <v>0</v>
          </cell>
          <cell r="D140">
            <v>1684.6189974051019</v>
          </cell>
          <cell r="E140">
            <v>0</v>
          </cell>
          <cell r="F140">
            <v>0</v>
          </cell>
          <cell r="G140">
            <v>0</v>
          </cell>
          <cell r="H140">
            <v>0</v>
          </cell>
          <cell r="I140">
            <v>0</v>
          </cell>
          <cell r="J140">
            <v>7287.0000296069838</v>
          </cell>
        </row>
        <row r="141">
          <cell r="A141">
            <v>123</v>
          </cell>
          <cell r="B141">
            <v>43244</v>
          </cell>
          <cell r="C141">
            <v>0</v>
          </cell>
          <cell r="D141">
            <v>1684.6189974051019</v>
          </cell>
          <cell r="E141">
            <v>0</v>
          </cell>
          <cell r="F141">
            <v>0</v>
          </cell>
          <cell r="G141">
            <v>0</v>
          </cell>
          <cell r="H141">
            <v>0</v>
          </cell>
          <cell r="I141">
            <v>0</v>
          </cell>
          <cell r="J141">
            <v>7287.0000296069838</v>
          </cell>
        </row>
        <row r="142">
          <cell r="A142">
            <v>124</v>
          </cell>
          <cell r="B142">
            <v>43275</v>
          </cell>
          <cell r="C142">
            <v>0</v>
          </cell>
          <cell r="D142">
            <v>1684.6189974051019</v>
          </cell>
          <cell r="E142">
            <v>0</v>
          </cell>
          <cell r="F142">
            <v>0</v>
          </cell>
          <cell r="G142">
            <v>0</v>
          </cell>
          <cell r="H142">
            <v>0</v>
          </cell>
          <cell r="I142">
            <v>0</v>
          </cell>
          <cell r="J142">
            <v>7287.0000296069838</v>
          </cell>
        </row>
        <row r="143">
          <cell r="A143">
            <v>125</v>
          </cell>
          <cell r="B143">
            <v>43305</v>
          </cell>
          <cell r="C143">
            <v>0</v>
          </cell>
          <cell r="D143">
            <v>1684.6189974051019</v>
          </cell>
          <cell r="E143">
            <v>0</v>
          </cell>
          <cell r="F143">
            <v>0</v>
          </cell>
          <cell r="G143">
            <v>0</v>
          </cell>
          <cell r="H143">
            <v>0</v>
          </cell>
          <cell r="I143">
            <v>0</v>
          </cell>
          <cell r="J143">
            <v>7287.0000296069838</v>
          </cell>
        </row>
        <row r="144">
          <cell r="A144">
            <v>126</v>
          </cell>
          <cell r="B144">
            <v>43336</v>
          </cell>
          <cell r="C144">
            <v>0</v>
          </cell>
          <cell r="D144">
            <v>1684.6189974051019</v>
          </cell>
          <cell r="E144">
            <v>0</v>
          </cell>
          <cell r="F144">
            <v>0</v>
          </cell>
          <cell r="G144">
            <v>0</v>
          </cell>
          <cell r="H144">
            <v>0</v>
          </cell>
          <cell r="I144">
            <v>0</v>
          </cell>
          <cell r="J144">
            <v>7287.0000296069838</v>
          </cell>
        </row>
        <row r="145">
          <cell r="A145">
            <v>127</v>
          </cell>
          <cell r="B145">
            <v>43367</v>
          </cell>
          <cell r="C145">
            <v>0</v>
          </cell>
          <cell r="D145">
            <v>1684.6189974051019</v>
          </cell>
          <cell r="E145">
            <v>0</v>
          </cell>
          <cell r="F145">
            <v>0</v>
          </cell>
          <cell r="G145">
            <v>0</v>
          </cell>
          <cell r="H145">
            <v>0</v>
          </cell>
          <cell r="I145">
            <v>0</v>
          </cell>
          <cell r="J145">
            <v>7287.0000296069838</v>
          </cell>
        </row>
        <row r="146">
          <cell r="A146">
            <v>128</v>
          </cell>
          <cell r="B146">
            <v>43397</v>
          </cell>
          <cell r="C146">
            <v>0</v>
          </cell>
          <cell r="D146">
            <v>1684.6189974051019</v>
          </cell>
          <cell r="E146">
            <v>0</v>
          </cell>
          <cell r="F146">
            <v>0</v>
          </cell>
          <cell r="G146">
            <v>0</v>
          </cell>
          <cell r="H146">
            <v>0</v>
          </cell>
          <cell r="I146">
            <v>0</v>
          </cell>
          <cell r="J146">
            <v>7287.0000296069838</v>
          </cell>
        </row>
        <row r="147">
          <cell r="A147">
            <v>129</v>
          </cell>
          <cell r="B147">
            <v>43428</v>
          </cell>
          <cell r="C147">
            <v>0</v>
          </cell>
          <cell r="D147">
            <v>1684.6189974051019</v>
          </cell>
          <cell r="E147">
            <v>0</v>
          </cell>
          <cell r="F147">
            <v>0</v>
          </cell>
          <cell r="G147">
            <v>0</v>
          </cell>
          <cell r="H147">
            <v>0</v>
          </cell>
          <cell r="I147">
            <v>0</v>
          </cell>
          <cell r="J147">
            <v>7287.0000296069838</v>
          </cell>
        </row>
        <row r="148">
          <cell r="A148">
            <v>130</v>
          </cell>
          <cell r="B148">
            <v>43458</v>
          </cell>
          <cell r="C148">
            <v>0</v>
          </cell>
          <cell r="D148">
            <v>1684.6189974051019</v>
          </cell>
          <cell r="E148">
            <v>0</v>
          </cell>
          <cell r="F148">
            <v>0</v>
          </cell>
          <cell r="G148">
            <v>0</v>
          </cell>
          <cell r="H148">
            <v>0</v>
          </cell>
          <cell r="I148">
            <v>0</v>
          </cell>
          <cell r="J148">
            <v>7287.0000296069838</v>
          </cell>
        </row>
        <row r="149">
          <cell r="A149">
            <v>131</v>
          </cell>
          <cell r="B149">
            <v>43489</v>
          </cell>
          <cell r="C149">
            <v>0</v>
          </cell>
          <cell r="D149">
            <v>1684.6189974051019</v>
          </cell>
          <cell r="E149">
            <v>0</v>
          </cell>
          <cell r="F149">
            <v>0</v>
          </cell>
          <cell r="G149">
            <v>0</v>
          </cell>
          <cell r="H149">
            <v>0</v>
          </cell>
          <cell r="I149">
            <v>0</v>
          </cell>
          <cell r="J149">
            <v>7287.0000296069838</v>
          </cell>
        </row>
        <row r="150">
          <cell r="A150">
            <v>132</v>
          </cell>
          <cell r="B150">
            <v>43520</v>
          </cell>
          <cell r="C150">
            <v>0</v>
          </cell>
          <cell r="D150">
            <v>1684.6189974051019</v>
          </cell>
          <cell r="E150">
            <v>0</v>
          </cell>
          <cell r="F150">
            <v>0</v>
          </cell>
          <cell r="G150">
            <v>0</v>
          </cell>
          <cell r="H150">
            <v>0</v>
          </cell>
          <cell r="I150">
            <v>0</v>
          </cell>
          <cell r="J150">
            <v>7287.0000296069838</v>
          </cell>
        </row>
        <row r="151">
          <cell r="A151">
            <v>133</v>
          </cell>
          <cell r="B151">
            <v>43548</v>
          </cell>
          <cell r="C151">
            <v>0</v>
          </cell>
          <cell r="D151">
            <v>1684.6189974051019</v>
          </cell>
          <cell r="E151">
            <v>0</v>
          </cell>
          <cell r="F151">
            <v>0</v>
          </cell>
          <cell r="G151">
            <v>0</v>
          </cell>
          <cell r="H151">
            <v>0</v>
          </cell>
          <cell r="I151">
            <v>0</v>
          </cell>
          <cell r="J151">
            <v>7287.0000296069838</v>
          </cell>
        </row>
        <row r="152">
          <cell r="A152">
            <v>134</v>
          </cell>
          <cell r="B152">
            <v>43579</v>
          </cell>
          <cell r="C152">
            <v>0</v>
          </cell>
          <cell r="D152">
            <v>1684.6189974051019</v>
          </cell>
          <cell r="E152">
            <v>0</v>
          </cell>
          <cell r="F152">
            <v>0</v>
          </cell>
          <cell r="G152">
            <v>0</v>
          </cell>
          <cell r="H152">
            <v>0</v>
          </cell>
          <cell r="I152">
            <v>0</v>
          </cell>
          <cell r="J152">
            <v>7287.0000296069838</v>
          </cell>
        </row>
        <row r="153">
          <cell r="A153">
            <v>135</v>
          </cell>
          <cell r="B153">
            <v>43609</v>
          </cell>
          <cell r="C153">
            <v>0</v>
          </cell>
          <cell r="D153">
            <v>1684.6189974051019</v>
          </cell>
          <cell r="E153">
            <v>0</v>
          </cell>
          <cell r="F153">
            <v>0</v>
          </cell>
          <cell r="G153">
            <v>0</v>
          </cell>
          <cell r="H153">
            <v>0</v>
          </cell>
          <cell r="I153">
            <v>0</v>
          </cell>
          <cell r="J153">
            <v>7287.0000296069838</v>
          </cell>
        </row>
        <row r="154">
          <cell r="A154">
            <v>136</v>
          </cell>
          <cell r="B154">
            <v>43640</v>
          </cell>
          <cell r="C154">
            <v>0</v>
          </cell>
          <cell r="D154">
            <v>1684.6189974051019</v>
          </cell>
          <cell r="E154">
            <v>0</v>
          </cell>
          <cell r="F154">
            <v>0</v>
          </cell>
          <cell r="G154">
            <v>0</v>
          </cell>
          <cell r="H154">
            <v>0</v>
          </cell>
          <cell r="I154">
            <v>0</v>
          </cell>
          <cell r="J154">
            <v>7287.0000296069838</v>
          </cell>
        </row>
        <row r="155">
          <cell r="A155">
            <v>137</v>
          </cell>
          <cell r="B155">
            <v>43670</v>
          </cell>
          <cell r="C155">
            <v>0</v>
          </cell>
          <cell r="D155">
            <v>1684.6189974051019</v>
          </cell>
          <cell r="E155">
            <v>0</v>
          </cell>
          <cell r="F155">
            <v>0</v>
          </cell>
          <cell r="G155">
            <v>0</v>
          </cell>
          <cell r="H155">
            <v>0</v>
          </cell>
          <cell r="I155">
            <v>0</v>
          </cell>
          <cell r="J155">
            <v>7287.0000296069838</v>
          </cell>
        </row>
        <row r="156">
          <cell r="A156">
            <v>138</v>
          </cell>
          <cell r="B156">
            <v>43701</v>
          </cell>
          <cell r="C156">
            <v>0</v>
          </cell>
          <cell r="D156">
            <v>1684.6189974051019</v>
          </cell>
          <cell r="E156">
            <v>0</v>
          </cell>
          <cell r="F156">
            <v>0</v>
          </cell>
          <cell r="G156">
            <v>0</v>
          </cell>
          <cell r="H156">
            <v>0</v>
          </cell>
          <cell r="I156">
            <v>0</v>
          </cell>
          <cell r="J156">
            <v>7287.0000296069838</v>
          </cell>
        </row>
        <row r="157">
          <cell r="A157">
            <v>139</v>
          </cell>
          <cell r="B157">
            <v>43732</v>
          </cell>
          <cell r="C157">
            <v>0</v>
          </cell>
          <cell r="D157">
            <v>1684.6189974051019</v>
          </cell>
          <cell r="E157">
            <v>0</v>
          </cell>
          <cell r="F157">
            <v>0</v>
          </cell>
          <cell r="G157">
            <v>0</v>
          </cell>
          <cell r="H157">
            <v>0</v>
          </cell>
          <cell r="I157">
            <v>0</v>
          </cell>
          <cell r="J157">
            <v>7287.0000296069838</v>
          </cell>
        </row>
        <row r="158">
          <cell r="A158">
            <v>140</v>
          </cell>
          <cell r="B158">
            <v>43762</v>
          </cell>
          <cell r="C158">
            <v>0</v>
          </cell>
          <cell r="D158">
            <v>1684.6189974051019</v>
          </cell>
          <cell r="E158">
            <v>0</v>
          </cell>
          <cell r="F158">
            <v>0</v>
          </cell>
          <cell r="G158">
            <v>0</v>
          </cell>
          <cell r="H158">
            <v>0</v>
          </cell>
          <cell r="I158">
            <v>0</v>
          </cell>
          <cell r="J158">
            <v>7287.0000296069838</v>
          </cell>
        </row>
        <row r="159">
          <cell r="A159">
            <v>141</v>
          </cell>
          <cell r="B159">
            <v>43793</v>
          </cell>
          <cell r="C159">
            <v>0</v>
          </cell>
          <cell r="D159">
            <v>1684.6189974051019</v>
          </cell>
          <cell r="E159">
            <v>0</v>
          </cell>
          <cell r="F159">
            <v>0</v>
          </cell>
          <cell r="G159">
            <v>0</v>
          </cell>
          <cell r="H159">
            <v>0</v>
          </cell>
          <cell r="I159">
            <v>0</v>
          </cell>
          <cell r="J159">
            <v>7287.0000296069838</v>
          </cell>
        </row>
        <row r="160">
          <cell r="A160">
            <v>142</v>
          </cell>
          <cell r="B160">
            <v>43823</v>
          </cell>
          <cell r="C160">
            <v>0</v>
          </cell>
          <cell r="D160">
            <v>1684.6189974051019</v>
          </cell>
          <cell r="E160">
            <v>0</v>
          </cell>
          <cell r="F160">
            <v>0</v>
          </cell>
          <cell r="G160">
            <v>0</v>
          </cell>
          <cell r="H160">
            <v>0</v>
          </cell>
          <cell r="I160">
            <v>0</v>
          </cell>
          <cell r="J160">
            <v>7287.0000296069838</v>
          </cell>
        </row>
        <row r="161">
          <cell r="A161">
            <v>143</v>
          </cell>
          <cell r="B161">
            <v>43854</v>
          </cell>
          <cell r="C161">
            <v>0</v>
          </cell>
          <cell r="D161">
            <v>1684.6189974051019</v>
          </cell>
          <cell r="E161">
            <v>0</v>
          </cell>
          <cell r="F161">
            <v>0</v>
          </cell>
          <cell r="G161">
            <v>0</v>
          </cell>
          <cell r="H161">
            <v>0</v>
          </cell>
          <cell r="I161">
            <v>0</v>
          </cell>
          <cell r="J161">
            <v>7287.0000296069838</v>
          </cell>
        </row>
        <row r="162">
          <cell r="A162">
            <v>144</v>
          </cell>
          <cell r="B162">
            <v>43885</v>
          </cell>
          <cell r="C162">
            <v>0</v>
          </cell>
          <cell r="D162">
            <v>1684.6189974051019</v>
          </cell>
          <cell r="E162">
            <v>0</v>
          </cell>
          <cell r="F162">
            <v>0</v>
          </cell>
          <cell r="G162">
            <v>0</v>
          </cell>
          <cell r="H162">
            <v>0</v>
          </cell>
          <cell r="I162">
            <v>0</v>
          </cell>
          <cell r="J162">
            <v>7287.0000296069838</v>
          </cell>
        </row>
        <row r="163">
          <cell r="A163">
            <v>145</v>
          </cell>
          <cell r="B163">
            <v>43914</v>
          </cell>
          <cell r="C163">
            <v>0</v>
          </cell>
          <cell r="D163">
            <v>1684.6189974051019</v>
          </cell>
          <cell r="E163">
            <v>0</v>
          </cell>
          <cell r="F163">
            <v>0</v>
          </cell>
          <cell r="G163">
            <v>0</v>
          </cell>
          <cell r="H163">
            <v>0</v>
          </cell>
          <cell r="I163">
            <v>0</v>
          </cell>
          <cell r="J163">
            <v>7287.0000296069838</v>
          </cell>
        </row>
        <row r="164">
          <cell r="A164">
            <v>146</v>
          </cell>
          <cell r="B164">
            <v>43945</v>
          </cell>
          <cell r="C164">
            <v>0</v>
          </cell>
          <cell r="D164">
            <v>1684.6189974051019</v>
          </cell>
          <cell r="E164">
            <v>0</v>
          </cell>
          <cell r="F164">
            <v>0</v>
          </cell>
          <cell r="G164">
            <v>0</v>
          </cell>
          <cell r="H164">
            <v>0</v>
          </cell>
          <cell r="I164">
            <v>0</v>
          </cell>
          <cell r="J164">
            <v>7287.0000296069838</v>
          </cell>
        </row>
        <row r="165">
          <cell r="A165">
            <v>147</v>
          </cell>
          <cell r="B165">
            <v>43975</v>
          </cell>
          <cell r="C165">
            <v>0</v>
          </cell>
          <cell r="D165">
            <v>1684.6189974051019</v>
          </cell>
          <cell r="E165">
            <v>0</v>
          </cell>
          <cell r="F165">
            <v>0</v>
          </cell>
          <cell r="G165">
            <v>0</v>
          </cell>
          <cell r="H165">
            <v>0</v>
          </cell>
          <cell r="I165">
            <v>0</v>
          </cell>
          <cell r="J165">
            <v>7287.0000296069838</v>
          </cell>
        </row>
        <row r="166">
          <cell r="A166">
            <v>148</v>
          </cell>
          <cell r="B166">
            <v>44006</v>
          </cell>
          <cell r="C166">
            <v>0</v>
          </cell>
          <cell r="D166">
            <v>1684.6189974051019</v>
          </cell>
          <cell r="E166">
            <v>0</v>
          </cell>
          <cell r="F166">
            <v>0</v>
          </cell>
          <cell r="G166">
            <v>0</v>
          </cell>
          <cell r="H166">
            <v>0</v>
          </cell>
          <cell r="I166">
            <v>0</v>
          </cell>
          <cell r="J166">
            <v>7287.0000296069838</v>
          </cell>
        </row>
        <row r="167">
          <cell r="A167">
            <v>149</v>
          </cell>
          <cell r="B167">
            <v>44036</v>
          </cell>
          <cell r="C167">
            <v>0</v>
          </cell>
          <cell r="D167">
            <v>1684.6189974051019</v>
          </cell>
          <cell r="E167">
            <v>0</v>
          </cell>
          <cell r="F167">
            <v>0</v>
          </cell>
          <cell r="G167">
            <v>0</v>
          </cell>
          <cell r="H167">
            <v>0</v>
          </cell>
          <cell r="I167">
            <v>0</v>
          </cell>
          <cell r="J167">
            <v>7287.0000296069838</v>
          </cell>
        </row>
        <row r="168">
          <cell r="A168">
            <v>150</v>
          </cell>
          <cell r="B168">
            <v>44067</v>
          </cell>
          <cell r="C168">
            <v>0</v>
          </cell>
          <cell r="D168">
            <v>1684.6189974051019</v>
          </cell>
          <cell r="E168">
            <v>0</v>
          </cell>
          <cell r="F168">
            <v>0</v>
          </cell>
          <cell r="G168">
            <v>0</v>
          </cell>
          <cell r="H168">
            <v>0</v>
          </cell>
          <cell r="I168">
            <v>0</v>
          </cell>
          <cell r="J168">
            <v>7287.0000296069838</v>
          </cell>
        </row>
        <row r="169">
          <cell r="A169">
            <v>151</v>
          </cell>
          <cell r="B169">
            <v>44098</v>
          </cell>
          <cell r="C169">
            <v>0</v>
          </cell>
          <cell r="D169">
            <v>1684.6189974051019</v>
          </cell>
          <cell r="E169">
            <v>0</v>
          </cell>
          <cell r="F169">
            <v>0</v>
          </cell>
          <cell r="G169">
            <v>0</v>
          </cell>
          <cell r="H169">
            <v>0</v>
          </cell>
          <cell r="I169">
            <v>0</v>
          </cell>
          <cell r="J169">
            <v>7287.0000296069838</v>
          </cell>
        </row>
        <row r="170">
          <cell r="A170">
            <v>152</v>
          </cell>
          <cell r="B170">
            <v>44128</v>
          </cell>
          <cell r="C170">
            <v>0</v>
          </cell>
          <cell r="D170">
            <v>1684.6189974051019</v>
          </cell>
          <cell r="E170">
            <v>0</v>
          </cell>
          <cell r="F170">
            <v>0</v>
          </cell>
          <cell r="G170">
            <v>0</v>
          </cell>
          <cell r="H170">
            <v>0</v>
          </cell>
          <cell r="I170">
            <v>0</v>
          </cell>
          <cell r="J170">
            <v>7287.0000296069838</v>
          </cell>
        </row>
        <row r="171">
          <cell r="A171">
            <v>153</v>
          </cell>
          <cell r="B171">
            <v>44159</v>
          </cell>
          <cell r="C171">
            <v>0</v>
          </cell>
          <cell r="D171">
            <v>1684.6189974051019</v>
          </cell>
          <cell r="E171">
            <v>0</v>
          </cell>
          <cell r="F171">
            <v>0</v>
          </cell>
          <cell r="G171">
            <v>0</v>
          </cell>
          <cell r="H171">
            <v>0</v>
          </cell>
          <cell r="I171">
            <v>0</v>
          </cell>
          <cell r="J171">
            <v>7287.0000296069838</v>
          </cell>
        </row>
        <row r="172">
          <cell r="A172">
            <v>154</v>
          </cell>
          <cell r="B172">
            <v>44189</v>
          </cell>
          <cell r="C172">
            <v>0</v>
          </cell>
          <cell r="D172">
            <v>1684.6189974051019</v>
          </cell>
          <cell r="E172">
            <v>0</v>
          </cell>
          <cell r="F172">
            <v>0</v>
          </cell>
          <cell r="G172">
            <v>0</v>
          </cell>
          <cell r="H172">
            <v>0</v>
          </cell>
          <cell r="I172">
            <v>0</v>
          </cell>
          <cell r="J172">
            <v>7287.0000296069838</v>
          </cell>
        </row>
        <row r="173">
          <cell r="A173">
            <v>155</v>
          </cell>
          <cell r="B173">
            <v>44220</v>
          </cell>
          <cell r="C173">
            <v>0</v>
          </cell>
          <cell r="D173">
            <v>1684.6189974051019</v>
          </cell>
          <cell r="E173">
            <v>0</v>
          </cell>
          <cell r="F173">
            <v>0</v>
          </cell>
          <cell r="G173">
            <v>0</v>
          </cell>
          <cell r="H173">
            <v>0</v>
          </cell>
          <cell r="I173">
            <v>0</v>
          </cell>
          <cell r="J173">
            <v>7287.0000296069838</v>
          </cell>
        </row>
        <row r="174">
          <cell r="A174">
            <v>156</v>
          </cell>
          <cell r="B174">
            <v>44251</v>
          </cell>
          <cell r="C174">
            <v>0</v>
          </cell>
          <cell r="D174">
            <v>1684.6189974051019</v>
          </cell>
          <cell r="E174">
            <v>0</v>
          </cell>
          <cell r="F174">
            <v>0</v>
          </cell>
          <cell r="G174">
            <v>0</v>
          </cell>
          <cell r="H174">
            <v>0</v>
          </cell>
          <cell r="I174">
            <v>0</v>
          </cell>
          <cell r="J174">
            <v>7287.0000296069838</v>
          </cell>
        </row>
        <row r="175">
          <cell r="A175">
            <v>157</v>
          </cell>
          <cell r="B175">
            <v>44279</v>
          </cell>
          <cell r="C175">
            <v>0</v>
          </cell>
          <cell r="D175">
            <v>1684.6189974051019</v>
          </cell>
          <cell r="E175">
            <v>0</v>
          </cell>
          <cell r="F175">
            <v>0</v>
          </cell>
          <cell r="G175">
            <v>0</v>
          </cell>
          <cell r="H175">
            <v>0</v>
          </cell>
          <cell r="I175">
            <v>0</v>
          </cell>
          <cell r="J175">
            <v>7287.0000296069838</v>
          </cell>
        </row>
        <row r="176">
          <cell r="A176">
            <v>158</v>
          </cell>
          <cell r="B176">
            <v>44310</v>
          </cell>
          <cell r="C176">
            <v>0</v>
          </cell>
          <cell r="D176">
            <v>1684.6189974051019</v>
          </cell>
          <cell r="E176">
            <v>0</v>
          </cell>
          <cell r="F176">
            <v>0</v>
          </cell>
          <cell r="G176">
            <v>0</v>
          </cell>
          <cell r="H176">
            <v>0</v>
          </cell>
          <cell r="I176">
            <v>0</v>
          </cell>
          <cell r="J176">
            <v>7287.0000296069838</v>
          </cell>
        </row>
        <row r="177">
          <cell r="A177">
            <v>159</v>
          </cell>
          <cell r="B177">
            <v>44340</v>
          </cell>
          <cell r="C177">
            <v>0</v>
          </cell>
          <cell r="D177">
            <v>1684.6189974051019</v>
          </cell>
          <cell r="E177">
            <v>0</v>
          </cell>
          <cell r="F177">
            <v>0</v>
          </cell>
          <cell r="G177">
            <v>0</v>
          </cell>
          <cell r="H177">
            <v>0</v>
          </cell>
          <cell r="I177">
            <v>0</v>
          </cell>
          <cell r="J177">
            <v>7287.0000296069838</v>
          </cell>
        </row>
        <row r="178">
          <cell r="A178">
            <v>160</v>
          </cell>
          <cell r="B178">
            <v>44371</v>
          </cell>
          <cell r="C178">
            <v>0</v>
          </cell>
          <cell r="D178">
            <v>1684.6189974051019</v>
          </cell>
          <cell r="E178">
            <v>0</v>
          </cell>
          <cell r="F178">
            <v>0</v>
          </cell>
          <cell r="G178">
            <v>0</v>
          </cell>
          <cell r="H178">
            <v>0</v>
          </cell>
          <cell r="I178">
            <v>0</v>
          </cell>
          <cell r="J178">
            <v>7287.0000296069838</v>
          </cell>
        </row>
        <row r="179">
          <cell r="A179">
            <v>161</v>
          </cell>
          <cell r="B179">
            <v>44401</v>
          </cell>
          <cell r="C179">
            <v>0</v>
          </cell>
          <cell r="D179">
            <v>1684.6189974051019</v>
          </cell>
          <cell r="E179">
            <v>0</v>
          </cell>
          <cell r="F179">
            <v>0</v>
          </cell>
          <cell r="G179">
            <v>0</v>
          </cell>
          <cell r="H179">
            <v>0</v>
          </cell>
          <cell r="I179">
            <v>0</v>
          </cell>
          <cell r="J179">
            <v>7287.0000296069838</v>
          </cell>
        </row>
        <row r="180">
          <cell r="A180">
            <v>162</v>
          </cell>
          <cell r="B180">
            <v>44432</v>
          </cell>
          <cell r="C180">
            <v>0</v>
          </cell>
          <cell r="D180">
            <v>1684.6189974051019</v>
          </cell>
          <cell r="E180">
            <v>0</v>
          </cell>
          <cell r="F180">
            <v>0</v>
          </cell>
          <cell r="G180">
            <v>0</v>
          </cell>
          <cell r="H180">
            <v>0</v>
          </cell>
          <cell r="I180">
            <v>0</v>
          </cell>
          <cell r="J180">
            <v>7287.0000296069838</v>
          </cell>
        </row>
        <row r="181">
          <cell r="A181">
            <v>163</v>
          </cell>
          <cell r="B181">
            <v>44463</v>
          </cell>
          <cell r="C181">
            <v>0</v>
          </cell>
          <cell r="D181">
            <v>1684.6189974051019</v>
          </cell>
          <cell r="E181">
            <v>0</v>
          </cell>
          <cell r="F181">
            <v>0</v>
          </cell>
          <cell r="G181">
            <v>0</v>
          </cell>
          <cell r="H181">
            <v>0</v>
          </cell>
          <cell r="I181">
            <v>0</v>
          </cell>
          <cell r="J181">
            <v>7287.0000296069838</v>
          </cell>
        </row>
        <row r="182">
          <cell r="A182">
            <v>164</v>
          </cell>
          <cell r="B182">
            <v>44493</v>
          </cell>
          <cell r="C182">
            <v>0</v>
          </cell>
          <cell r="D182">
            <v>1684.6189974051019</v>
          </cell>
          <cell r="E182">
            <v>0</v>
          </cell>
          <cell r="F182">
            <v>0</v>
          </cell>
          <cell r="G182">
            <v>0</v>
          </cell>
          <cell r="H182">
            <v>0</v>
          </cell>
          <cell r="I182">
            <v>0</v>
          </cell>
          <cell r="J182">
            <v>7287.0000296069838</v>
          </cell>
        </row>
        <row r="183">
          <cell r="A183">
            <v>165</v>
          </cell>
          <cell r="B183">
            <v>44524</v>
          </cell>
          <cell r="C183">
            <v>0</v>
          </cell>
          <cell r="D183">
            <v>1684.6189974051019</v>
          </cell>
          <cell r="E183">
            <v>0</v>
          </cell>
          <cell r="F183">
            <v>0</v>
          </cell>
          <cell r="G183">
            <v>0</v>
          </cell>
          <cell r="H183">
            <v>0</v>
          </cell>
          <cell r="I183">
            <v>0</v>
          </cell>
          <cell r="J183">
            <v>7287.0000296069838</v>
          </cell>
        </row>
        <row r="184">
          <cell r="A184">
            <v>166</v>
          </cell>
          <cell r="B184">
            <v>44554</v>
          </cell>
          <cell r="C184">
            <v>0</v>
          </cell>
          <cell r="D184">
            <v>1684.6189974051019</v>
          </cell>
          <cell r="E184">
            <v>0</v>
          </cell>
          <cell r="F184">
            <v>0</v>
          </cell>
          <cell r="G184">
            <v>0</v>
          </cell>
          <cell r="H184">
            <v>0</v>
          </cell>
          <cell r="I184">
            <v>0</v>
          </cell>
          <cell r="J184">
            <v>7287.0000296069838</v>
          </cell>
        </row>
        <row r="185">
          <cell r="A185">
            <v>167</v>
          </cell>
          <cell r="B185">
            <v>44585</v>
          </cell>
          <cell r="C185">
            <v>0</v>
          </cell>
          <cell r="D185">
            <v>1684.6189974051019</v>
          </cell>
          <cell r="E185">
            <v>0</v>
          </cell>
          <cell r="F185">
            <v>0</v>
          </cell>
          <cell r="G185">
            <v>0</v>
          </cell>
          <cell r="H185">
            <v>0</v>
          </cell>
          <cell r="I185">
            <v>0</v>
          </cell>
          <cell r="J185">
            <v>7287.0000296069838</v>
          </cell>
        </row>
        <row r="186">
          <cell r="A186">
            <v>168</v>
          </cell>
          <cell r="B186">
            <v>44616</v>
          </cell>
          <cell r="C186">
            <v>0</v>
          </cell>
          <cell r="D186">
            <v>1684.6189974051019</v>
          </cell>
          <cell r="E186">
            <v>0</v>
          </cell>
          <cell r="F186">
            <v>0</v>
          </cell>
          <cell r="G186">
            <v>0</v>
          </cell>
          <cell r="H186">
            <v>0</v>
          </cell>
          <cell r="I186">
            <v>0</v>
          </cell>
          <cell r="J186">
            <v>7287.0000296069838</v>
          </cell>
        </row>
        <row r="187">
          <cell r="A187">
            <v>169</v>
          </cell>
          <cell r="B187">
            <v>44644</v>
          </cell>
          <cell r="C187">
            <v>0</v>
          </cell>
          <cell r="D187">
            <v>1684.6189974051019</v>
          </cell>
          <cell r="E187">
            <v>0</v>
          </cell>
          <cell r="F187">
            <v>0</v>
          </cell>
          <cell r="G187">
            <v>0</v>
          </cell>
          <cell r="H187">
            <v>0</v>
          </cell>
          <cell r="I187">
            <v>0</v>
          </cell>
          <cell r="J187">
            <v>7287.0000296069838</v>
          </cell>
        </row>
        <row r="188">
          <cell r="A188">
            <v>170</v>
          </cell>
          <cell r="B188">
            <v>44675</v>
          </cell>
          <cell r="C188">
            <v>0</v>
          </cell>
          <cell r="D188">
            <v>1684.6189974051019</v>
          </cell>
          <cell r="E188">
            <v>0</v>
          </cell>
          <cell r="F188">
            <v>0</v>
          </cell>
          <cell r="G188">
            <v>0</v>
          </cell>
          <cell r="H188">
            <v>0</v>
          </cell>
          <cell r="I188">
            <v>0</v>
          </cell>
          <cell r="J188">
            <v>7287.0000296069838</v>
          </cell>
        </row>
        <row r="189">
          <cell r="A189">
            <v>171</v>
          </cell>
          <cell r="B189">
            <v>44705</v>
          </cell>
          <cell r="C189">
            <v>0</v>
          </cell>
          <cell r="D189">
            <v>1684.6189974051019</v>
          </cell>
          <cell r="E189">
            <v>0</v>
          </cell>
          <cell r="F189">
            <v>0</v>
          </cell>
          <cell r="G189">
            <v>0</v>
          </cell>
          <cell r="H189">
            <v>0</v>
          </cell>
          <cell r="I189">
            <v>0</v>
          </cell>
          <cell r="J189">
            <v>7287.0000296069838</v>
          </cell>
        </row>
        <row r="190">
          <cell r="A190">
            <v>172</v>
          </cell>
          <cell r="B190">
            <v>44736</v>
          </cell>
          <cell r="C190">
            <v>0</v>
          </cell>
          <cell r="D190">
            <v>1684.6189974051019</v>
          </cell>
          <cell r="E190">
            <v>0</v>
          </cell>
          <cell r="F190">
            <v>0</v>
          </cell>
          <cell r="G190">
            <v>0</v>
          </cell>
          <cell r="H190">
            <v>0</v>
          </cell>
          <cell r="I190">
            <v>0</v>
          </cell>
          <cell r="J190">
            <v>7287.0000296069838</v>
          </cell>
        </row>
        <row r="191">
          <cell r="A191">
            <v>173</v>
          </cell>
          <cell r="B191">
            <v>44766</v>
          </cell>
          <cell r="C191">
            <v>0</v>
          </cell>
          <cell r="D191">
            <v>1684.6189974051019</v>
          </cell>
          <cell r="E191">
            <v>0</v>
          </cell>
          <cell r="F191">
            <v>0</v>
          </cell>
          <cell r="G191">
            <v>0</v>
          </cell>
          <cell r="H191">
            <v>0</v>
          </cell>
          <cell r="I191">
            <v>0</v>
          </cell>
          <cell r="J191">
            <v>7287.0000296069838</v>
          </cell>
        </row>
        <row r="192">
          <cell r="A192">
            <v>174</v>
          </cell>
          <cell r="B192">
            <v>44797</v>
          </cell>
          <cell r="C192">
            <v>0</v>
          </cell>
          <cell r="D192">
            <v>1684.6189974051019</v>
          </cell>
          <cell r="E192">
            <v>0</v>
          </cell>
          <cell r="F192">
            <v>0</v>
          </cell>
          <cell r="G192">
            <v>0</v>
          </cell>
          <cell r="H192">
            <v>0</v>
          </cell>
          <cell r="I192">
            <v>0</v>
          </cell>
          <cell r="J192">
            <v>7287.0000296069838</v>
          </cell>
        </row>
        <row r="193">
          <cell r="A193">
            <v>175</v>
          </cell>
          <cell r="B193">
            <v>44828</v>
          </cell>
          <cell r="C193">
            <v>0</v>
          </cell>
          <cell r="D193">
            <v>1684.6189974051019</v>
          </cell>
          <cell r="E193">
            <v>0</v>
          </cell>
          <cell r="F193">
            <v>0</v>
          </cell>
          <cell r="G193">
            <v>0</v>
          </cell>
          <cell r="H193">
            <v>0</v>
          </cell>
          <cell r="I193">
            <v>0</v>
          </cell>
          <cell r="J193">
            <v>7287.0000296069838</v>
          </cell>
        </row>
        <row r="194">
          <cell r="A194">
            <v>176</v>
          </cell>
          <cell r="B194">
            <v>44858</v>
          </cell>
          <cell r="C194">
            <v>0</v>
          </cell>
          <cell r="D194">
            <v>1684.6189974051019</v>
          </cell>
          <cell r="E194">
            <v>0</v>
          </cell>
          <cell r="F194">
            <v>0</v>
          </cell>
          <cell r="G194">
            <v>0</v>
          </cell>
          <cell r="H194">
            <v>0</v>
          </cell>
          <cell r="I194">
            <v>0</v>
          </cell>
          <cell r="J194">
            <v>7287.0000296069838</v>
          </cell>
        </row>
        <row r="195">
          <cell r="A195">
            <v>177</v>
          </cell>
          <cell r="B195">
            <v>44889</v>
          </cell>
          <cell r="C195">
            <v>0</v>
          </cell>
          <cell r="D195">
            <v>1684.6189974051019</v>
          </cell>
          <cell r="E195">
            <v>0</v>
          </cell>
          <cell r="F195">
            <v>0</v>
          </cell>
          <cell r="G195">
            <v>0</v>
          </cell>
          <cell r="H195">
            <v>0</v>
          </cell>
          <cell r="I195">
            <v>0</v>
          </cell>
          <cell r="J195">
            <v>7287.0000296069838</v>
          </cell>
        </row>
        <row r="196">
          <cell r="A196">
            <v>178</v>
          </cell>
          <cell r="B196">
            <v>44919</v>
          </cell>
          <cell r="C196">
            <v>0</v>
          </cell>
          <cell r="D196">
            <v>1684.6189974051019</v>
          </cell>
          <cell r="E196">
            <v>0</v>
          </cell>
          <cell r="F196">
            <v>0</v>
          </cell>
          <cell r="G196">
            <v>0</v>
          </cell>
          <cell r="H196">
            <v>0</v>
          </cell>
          <cell r="I196">
            <v>0</v>
          </cell>
          <cell r="J196">
            <v>7287.0000296069838</v>
          </cell>
        </row>
        <row r="197">
          <cell r="A197">
            <v>179</v>
          </cell>
          <cell r="B197">
            <v>44950</v>
          </cell>
          <cell r="C197">
            <v>0</v>
          </cell>
          <cell r="D197">
            <v>1684.6189974051019</v>
          </cell>
          <cell r="E197">
            <v>0</v>
          </cell>
          <cell r="F197">
            <v>0</v>
          </cell>
          <cell r="G197">
            <v>0</v>
          </cell>
          <cell r="H197">
            <v>0</v>
          </cell>
          <cell r="I197">
            <v>0</v>
          </cell>
          <cell r="J197">
            <v>7287.0000296069838</v>
          </cell>
        </row>
        <row r="198">
          <cell r="A198">
            <v>180</v>
          </cell>
          <cell r="B198">
            <v>44981</v>
          </cell>
          <cell r="C198">
            <v>0</v>
          </cell>
          <cell r="D198">
            <v>1684.6189974051019</v>
          </cell>
          <cell r="E198">
            <v>0</v>
          </cell>
          <cell r="F198">
            <v>0</v>
          </cell>
          <cell r="G198">
            <v>0</v>
          </cell>
          <cell r="H198">
            <v>0</v>
          </cell>
          <cell r="I198">
            <v>0</v>
          </cell>
          <cell r="J198">
            <v>7287.0000296069838</v>
          </cell>
        </row>
        <row r="199">
          <cell r="A199">
            <v>181</v>
          </cell>
          <cell r="B199">
            <v>45009</v>
          </cell>
          <cell r="C199">
            <v>0</v>
          </cell>
          <cell r="D199">
            <v>1684.6189974051019</v>
          </cell>
          <cell r="E199">
            <v>0</v>
          </cell>
          <cell r="F199">
            <v>0</v>
          </cell>
          <cell r="G199">
            <v>0</v>
          </cell>
          <cell r="H199">
            <v>0</v>
          </cell>
          <cell r="I199">
            <v>0</v>
          </cell>
          <cell r="J199">
            <v>7287.0000296069838</v>
          </cell>
        </row>
        <row r="200">
          <cell r="A200">
            <v>182</v>
          </cell>
          <cell r="B200">
            <v>45040</v>
          </cell>
          <cell r="C200">
            <v>0</v>
          </cell>
          <cell r="D200">
            <v>1684.6189974051019</v>
          </cell>
          <cell r="E200">
            <v>0</v>
          </cell>
          <cell r="F200">
            <v>0</v>
          </cell>
          <cell r="G200">
            <v>0</v>
          </cell>
          <cell r="H200">
            <v>0</v>
          </cell>
          <cell r="I200">
            <v>0</v>
          </cell>
          <cell r="J200">
            <v>7287.0000296069838</v>
          </cell>
        </row>
        <row r="201">
          <cell r="A201">
            <v>183</v>
          </cell>
          <cell r="B201">
            <v>45070</v>
          </cell>
          <cell r="C201">
            <v>0</v>
          </cell>
          <cell r="D201">
            <v>1684.6189974051019</v>
          </cell>
          <cell r="E201">
            <v>0</v>
          </cell>
          <cell r="F201">
            <v>0</v>
          </cell>
          <cell r="G201">
            <v>0</v>
          </cell>
          <cell r="H201">
            <v>0</v>
          </cell>
          <cell r="I201">
            <v>0</v>
          </cell>
          <cell r="J201">
            <v>7287.0000296069838</v>
          </cell>
        </row>
        <row r="202">
          <cell r="A202">
            <v>184</v>
          </cell>
          <cell r="B202">
            <v>45101</v>
          </cell>
          <cell r="C202">
            <v>0</v>
          </cell>
          <cell r="D202">
            <v>1684.6189974051019</v>
          </cell>
          <cell r="E202">
            <v>0</v>
          </cell>
          <cell r="F202">
            <v>0</v>
          </cell>
          <cell r="G202">
            <v>0</v>
          </cell>
          <cell r="H202">
            <v>0</v>
          </cell>
          <cell r="I202">
            <v>0</v>
          </cell>
          <cell r="J202">
            <v>7287.0000296069838</v>
          </cell>
        </row>
        <row r="203">
          <cell r="A203">
            <v>185</v>
          </cell>
          <cell r="B203">
            <v>45131</v>
          </cell>
          <cell r="C203">
            <v>0</v>
          </cell>
          <cell r="D203">
            <v>1684.6189974051019</v>
          </cell>
          <cell r="E203">
            <v>0</v>
          </cell>
          <cell r="F203">
            <v>0</v>
          </cell>
          <cell r="G203">
            <v>0</v>
          </cell>
          <cell r="H203">
            <v>0</v>
          </cell>
          <cell r="I203">
            <v>0</v>
          </cell>
          <cell r="J203">
            <v>7287.0000296069838</v>
          </cell>
        </row>
        <row r="204">
          <cell r="A204">
            <v>186</v>
          </cell>
          <cell r="B204">
            <v>45162</v>
          </cell>
          <cell r="C204">
            <v>0</v>
          </cell>
          <cell r="D204">
            <v>1684.6189974051019</v>
          </cell>
          <cell r="E204">
            <v>0</v>
          </cell>
          <cell r="F204">
            <v>0</v>
          </cell>
          <cell r="G204">
            <v>0</v>
          </cell>
          <cell r="H204">
            <v>0</v>
          </cell>
          <cell r="I204">
            <v>0</v>
          </cell>
          <cell r="J204">
            <v>7287.0000296069838</v>
          </cell>
        </row>
        <row r="205">
          <cell r="A205">
            <v>187</v>
          </cell>
          <cell r="B205">
            <v>45193</v>
          </cell>
          <cell r="C205">
            <v>0</v>
          </cell>
          <cell r="D205">
            <v>1684.6189974051019</v>
          </cell>
          <cell r="E205">
            <v>0</v>
          </cell>
          <cell r="F205">
            <v>0</v>
          </cell>
          <cell r="G205">
            <v>0</v>
          </cell>
          <cell r="H205">
            <v>0</v>
          </cell>
          <cell r="I205">
            <v>0</v>
          </cell>
          <cell r="J205">
            <v>7287.0000296069838</v>
          </cell>
        </row>
        <row r="206">
          <cell r="A206">
            <v>188</v>
          </cell>
          <cell r="B206">
            <v>45223</v>
          </cell>
          <cell r="C206">
            <v>0</v>
          </cell>
          <cell r="D206">
            <v>1684.6189974051019</v>
          </cell>
          <cell r="E206">
            <v>0</v>
          </cell>
          <cell r="F206">
            <v>0</v>
          </cell>
          <cell r="G206">
            <v>0</v>
          </cell>
          <cell r="H206">
            <v>0</v>
          </cell>
          <cell r="I206">
            <v>0</v>
          </cell>
          <cell r="J206">
            <v>7287.0000296069838</v>
          </cell>
        </row>
        <row r="207">
          <cell r="A207">
            <v>189</v>
          </cell>
          <cell r="B207">
            <v>45254</v>
          </cell>
          <cell r="C207">
            <v>0</v>
          </cell>
          <cell r="D207">
            <v>1684.6189974051019</v>
          </cell>
          <cell r="E207">
            <v>0</v>
          </cell>
          <cell r="F207">
            <v>0</v>
          </cell>
          <cell r="G207">
            <v>0</v>
          </cell>
          <cell r="H207">
            <v>0</v>
          </cell>
          <cell r="I207">
            <v>0</v>
          </cell>
          <cell r="J207">
            <v>7287.0000296069838</v>
          </cell>
        </row>
        <row r="208">
          <cell r="A208">
            <v>190</v>
          </cell>
          <cell r="B208">
            <v>45284</v>
          </cell>
          <cell r="C208">
            <v>0</v>
          </cell>
          <cell r="D208">
            <v>1684.6189974051019</v>
          </cell>
          <cell r="E208">
            <v>0</v>
          </cell>
          <cell r="F208">
            <v>0</v>
          </cell>
          <cell r="G208">
            <v>0</v>
          </cell>
          <cell r="H208">
            <v>0</v>
          </cell>
          <cell r="I208">
            <v>0</v>
          </cell>
          <cell r="J208">
            <v>7287.0000296069838</v>
          </cell>
        </row>
        <row r="209">
          <cell r="A209">
            <v>191</v>
          </cell>
          <cell r="B209">
            <v>45315</v>
          </cell>
          <cell r="C209">
            <v>0</v>
          </cell>
          <cell r="D209">
            <v>1684.6189974051019</v>
          </cell>
          <cell r="E209">
            <v>0</v>
          </cell>
          <cell r="F209">
            <v>0</v>
          </cell>
          <cell r="G209">
            <v>0</v>
          </cell>
          <cell r="H209">
            <v>0</v>
          </cell>
          <cell r="I209">
            <v>0</v>
          </cell>
          <cell r="J209">
            <v>7287.0000296069838</v>
          </cell>
        </row>
        <row r="210">
          <cell r="A210">
            <v>192</v>
          </cell>
          <cell r="B210">
            <v>45346</v>
          </cell>
          <cell r="C210">
            <v>0</v>
          </cell>
          <cell r="D210">
            <v>1684.6189974051019</v>
          </cell>
          <cell r="E210">
            <v>0</v>
          </cell>
          <cell r="F210">
            <v>0</v>
          </cell>
          <cell r="G210">
            <v>0</v>
          </cell>
          <cell r="H210">
            <v>0</v>
          </cell>
          <cell r="I210">
            <v>0</v>
          </cell>
          <cell r="J210">
            <v>7287.0000296069838</v>
          </cell>
        </row>
        <row r="211">
          <cell r="A211">
            <v>193</v>
          </cell>
          <cell r="B211">
            <v>45375</v>
          </cell>
          <cell r="C211">
            <v>0</v>
          </cell>
          <cell r="D211">
            <v>1684.6189974051019</v>
          </cell>
          <cell r="E211">
            <v>0</v>
          </cell>
          <cell r="F211">
            <v>0</v>
          </cell>
          <cell r="G211">
            <v>0</v>
          </cell>
          <cell r="H211">
            <v>0</v>
          </cell>
          <cell r="I211">
            <v>0</v>
          </cell>
          <cell r="J211">
            <v>7287.0000296069838</v>
          </cell>
        </row>
        <row r="212">
          <cell r="A212">
            <v>194</v>
          </cell>
          <cell r="B212">
            <v>45406</v>
          </cell>
          <cell r="C212">
            <v>0</v>
          </cell>
          <cell r="D212">
            <v>1684.6189974051019</v>
          </cell>
          <cell r="E212">
            <v>0</v>
          </cell>
          <cell r="F212">
            <v>0</v>
          </cell>
          <cell r="G212">
            <v>0</v>
          </cell>
          <cell r="H212">
            <v>0</v>
          </cell>
          <cell r="I212">
            <v>0</v>
          </cell>
          <cell r="J212">
            <v>7287.0000296069838</v>
          </cell>
        </row>
        <row r="213">
          <cell r="A213">
            <v>195</v>
          </cell>
          <cell r="B213">
            <v>45436</v>
          </cell>
          <cell r="C213">
            <v>0</v>
          </cell>
          <cell r="D213">
            <v>1684.6189974051019</v>
          </cell>
          <cell r="E213">
            <v>0</v>
          </cell>
          <cell r="F213">
            <v>0</v>
          </cell>
          <cell r="G213">
            <v>0</v>
          </cell>
          <cell r="H213">
            <v>0</v>
          </cell>
          <cell r="I213">
            <v>0</v>
          </cell>
          <cell r="J213">
            <v>7287.0000296069838</v>
          </cell>
        </row>
        <row r="214">
          <cell r="A214">
            <v>196</v>
          </cell>
          <cell r="B214">
            <v>45467</v>
          </cell>
          <cell r="C214">
            <v>0</v>
          </cell>
          <cell r="D214">
            <v>1684.6189974051019</v>
          </cell>
          <cell r="E214">
            <v>0</v>
          </cell>
          <cell r="F214">
            <v>0</v>
          </cell>
          <cell r="G214">
            <v>0</v>
          </cell>
          <cell r="H214">
            <v>0</v>
          </cell>
          <cell r="I214">
            <v>0</v>
          </cell>
          <cell r="J214">
            <v>7287.0000296069838</v>
          </cell>
        </row>
        <row r="215">
          <cell r="A215">
            <v>197</v>
          </cell>
          <cell r="B215">
            <v>45497</v>
          </cell>
          <cell r="C215">
            <v>0</v>
          </cell>
          <cell r="D215">
            <v>1684.6189974051019</v>
          </cell>
          <cell r="E215">
            <v>0</v>
          </cell>
          <cell r="F215">
            <v>0</v>
          </cell>
          <cell r="G215">
            <v>0</v>
          </cell>
          <cell r="H215">
            <v>0</v>
          </cell>
          <cell r="I215">
            <v>0</v>
          </cell>
          <cell r="J215">
            <v>7287.0000296069838</v>
          </cell>
        </row>
        <row r="216">
          <cell r="A216">
            <v>198</v>
          </cell>
          <cell r="B216">
            <v>45528</v>
          </cell>
          <cell r="C216">
            <v>0</v>
          </cell>
          <cell r="D216">
            <v>1684.6189974051019</v>
          </cell>
          <cell r="E216">
            <v>0</v>
          </cell>
          <cell r="F216">
            <v>0</v>
          </cell>
          <cell r="G216">
            <v>0</v>
          </cell>
          <cell r="H216">
            <v>0</v>
          </cell>
          <cell r="I216">
            <v>0</v>
          </cell>
          <cell r="J216">
            <v>7287.0000296069838</v>
          </cell>
        </row>
        <row r="217">
          <cell r="A217">
            <v>199</v>
          </cell>
          <cell r="B217">
            <v>45559</v>
          </cell>
          <cell r="C217">
            <v>0</v>
          </cell>
          <cell r="D217">
            <v>1684.6189974051019</v>
          </cell>
          <cell r="E217">
            <v>0</v>
          </cell>
          <cell r="F217">
            <v>0</v>
          </cell>
          <cell r="G217">
            <v>0</v>
          </cell>
          <cell r="H217">
            <v>0</v>
          </cell>
          <cell r="I217">
            <v>0</v>
          </cell>
          <cell r="J217">
            <v>7287.0000296069838</v>
          </cell>
        </row>
        <row r="218">
          <cell r="A218">
            <v>200</v>
          </cell>
          <cell r="B218">
            <v>45589</v>
          </cell>
          <cell r="C218">
            <v>0</v>
          </cell>
          <cell r="D218">
            <v>1684.6189974051019</v>
          </cell>
          <cell r="E218">
            <v>0</v>
          </cell>
          <cell r="F218">
            <v>0</v>
          </cell>
          <cell r="G218">
            <v>0</v>
          </cell>
          <cell r="H218">
            <v>0</v>
          </cell>
          <cell r="I218">
            <v>0</v>
          </cell>
          <cell r="J218">
            <v>7287.0000296069838</v>
          </cell>
        </row>
        <row r="219">
          <cell r="A219">
            <v>201</v>
          </cell>
          <cell r="B219">
            <v>45620</v>
          </cell>
          <cell r="C219">
            <v>0</v>
          </cell>
          <cell r="D219">
            <v>1684.6189974051019</v>
          </cell>
          <cell r="E219">
            <v>0</v>
          </cell>
          <cell r="F219">
            <v>0</v>
          </cell>
          <cell r="G219">
            <v>0</v>
          </cell>
          <cell r="H219">
            <v>0</v>
          </cell>
          <cell r="I219">
            <v>0</v>
          </cell>
          <cell r="J219">
            <v>7287.0000296069838</v>
          </cell>
        </row>
        <row r="220">
          <cell r="A220">
            <v>202</v>
          </cell>
          <cell r="B220">
            <v>45650</v>
          </cell>
          <cell r="C220">
            <v>0</v>
          </cell>
          <cell r="D220">
            <v>1684.6189974051019</v>
          </cell>
          <cell r="E220">
            <v>0</v>
          </cell>
          <cell r="F220">
            <v>0</v>
          </cell>
          <cell r="G220">
            <v>0</v>
          </cell>
          <cell r="H220">
            <v>0</v>
          </cell>
          <cell r="I220">
            <v>0</v>
          </cell>
          <cell r="J220">
            <v>7287.0000296069838</v>
          </cell>
        </row>
        <row r="221">
          <cell r="A221">
            <v>203</v>
          </cell>
          <cell r="B221">
            <v>45681</v>
          </cell>
          <cell r="C221">
            <v>0</v>
          </cell>
          <cell r="D221">
            <v>1684.6189974051019</v>
          </cell>
          <cell r="E221">
            <v>0</v>
          </cell>
          <cell r="F221">
            <v>0</v>
          </cell>
          <cell r="G221">
            <v>0</v>
          </cell>
          <cell r="H221">
            <v>0</v>
          </cell>
          <cell r="I221">
            <v>0</v>
          </cell>
          <cell r="J221">
            <v>7287.0000296069838</v>
          </cell>
        </row>
        <row r="222">
          <cell r="A222">
            <v>204</v>
          </cell>
          <cell r="B222">
            <v>45712</v>
          </cell>
          <cell r="C222">
            <v>0</v>
          </cell>
          <cell r="D222">
            <v>1684.6189974051019</v>
          </cell>
          <cell r="E222">
            <v>0</v>
          </cell>
          <cell r="F222">
            <v>0</v>
          </cell>
          <cell r="G222">
            <v>0</v>
          </cell>
          <cell r="H222">
            <v>0</v>
          </cell>
          <cell r="I222">
            <v>0</v>
          </cell>
          <cell r="J222">
            <v>7287.0000296069838</v>
          </cell>
        </row>
        <row r="223">
          <cell r="A223">
            <v>205</v>
          </cell>
          <cell r="B223">
            <v>45740</v>
          </cell>
          <cell r="C223">
            <v>0</v>
          </cell>
          <cell r="D223">
            <v>1684.6189974051019</v>
          </cell>
          <cell r="E223">
            <v>0</v>
          </cell>
          <cell r="F223">
            <v>0</v>
          </cell>
          <cell r="G223">
            <v>0</v>
          </cell>
          <cell r="H223">
            <v>0</v>
          </cell>
          <cell r="I223">
            <v>0</v>
          </cell>
          <cell r="J223">
            <v>7287.0000296069838</v>
          </cell>
        </row>
        <row r="224">
          <cell r="A224">
            <v>206</v>
          </cell>
          <cell r="B224">
            <v>45771</v>
          </cell>
          <cell r="C224">
            <v>0</v>
          </cell>
          <cell r="D224">
            <v>1684.6189974051019</v>
          </cell>
          <cell r="E224">
            <v>0</v>
          </cell>
          <cell r="F224">
            <v>0</v>
          </cell>
          <cell r="G224">
            <v>0</v>
          </cell>
          <cell r="H224">
            <v>0</v>
          </cell>
          <cell r="I224">
            <v>0</v>
          </cell>
          <cell r="J224">
            <v>7287.0000296069838</v>
          </cell>
        </row>
        <row r="225">
          <cell r="A225">
            <v>207</v>
          </cell>
          <cell r="B225">
            <v>45801</v>
          </cell>
          <cell r="C225">
            <v>0</v>
          </cell>
          <cell r="D225">
            <v>1684.6189974051019</v>
          </cell>
          <cell r="E225">
            <v>0</v>
          </cell>
          <cell r="F225">
            <v>0</v>
          </cell>
          <cell r="G225">
            <v>0</v>
          </cell>
          <cell r="H225">
            <v>0</v>
          </cell>
          <cell r="I225">
            <v>0</v>
          </cell>
          <cell r="J225">
            <v>7287.0000296069838</v>
          </cell>
        </row>
        <row r="226">
          <cell r="A226">
            <v>208</v>
          </cell>
          <cell r="B226">
            <v>45832</v>
          </cell>
          <cell r="C226">
            <v>0</v>
          </cell>
          <cell r="D226">
            <v>1684.6189974051019</v>
          </cell>
          <cell r="E226">
            <v>0</v>
          </cell>
          <cell r="F226">
            <v>0</v>
          </cell>
          <cell r="G226">
            <v>0</v>
          </cell>
          <cell r="H226">
            <v>0</v>
          </cell>
          <cell r="I226">
            <v>0</v>
          </cell>
          <cell r="J226">
            <v>7287.0000296069838</v>
          </cell>
        </row>
        <row r="227">
          <cell r="A227">
            <v>209</v>
          </cell>
          <cell r="B227">
            <v>45862</v>
          </cell>
          <cell r="C227">
            <v>0</v>
          </cell>
          <cell r="D227">
            <v>1684.6189974051019</v>
          </cell>
          <cell r="E227">
            <v>0</v>
          </cell>
          <cell r="F227">
            <v>0</v>
          </cell>
          <cell r="G227">
            <v>0</v>
          </cell>
          <cell r="H227">
            <v>0</v>
          </cell>
          <cell r="I227">
            <v>0</v>
          </cell>
          <cell r="J227">
            <v>7287.0000296069838</v>
          </cell>
        </row>
        <row r="228">
          <cell r="A228">
            <v>210</v>
          </cell>
          <cell r="B228">
            <v>45893</v>
          </cell>
          <cell r="C228">
            <v>0</v>
          </cell>
          <cell r="D228">
            <v>1684.6189974051019</v>
          </cell>
          <cell r="E228">
            <v>0</v>
          </cell>
          <cell r="F228">
            <v>0</v>
          </cell>
          <cell r="G228">
            <v>0</v>
          </cell>
          <cell r="H228">
            <v>0</v>
          </cell>
          <cell r="I228">
            <v>0</v>
          </cell>
          <cell r="J228">
            <v>7287.0000296069838</v>
          </cell>
        </row>
        <row r="229">
          <cell r="A229">
            <v>211</v>
          </cell>
          <cell r="B229">
            <v>45924</v>
          </cell>
          <cell r="C229">
            <v>0</v>
          </cell>
          <cell r="D229">
            <v>1684.6189974051019</v>
          </cell>
          <cell r="E229">
            <v>0</v>
          </cell>
          <cell r="F229">
            <v>0</v>
          </cell>
          <cell r="G229">
            <v>0</v>
          </cell>
          <cell r="H229">
            <v>0</v>
          </cell>
          <cell r="I229">
            <v>0</v>
          </cell>
          <cell r="J229">
            <v>7287.0000296069838</v>
          </cell>
        </row>
        <row r="230">
          <cell r="A230">
            <v>212</v>
          </cell>
          <cell r="B230">
            <v>45954</v>
          </cell>
          <cell r="C230">
            <v>0</v>
          </cell>
          <cell r="D230">
            <v>1684.6189974051019</v>
          </cell>
          <cell r="E230">
            <v>0</v>
          </cell>
          <cell r="F230">
            <v>0</v>
          </cell>
          <cell r="G230">
            <v>0</v>
          </cell>
          <cell r="H230">
            <v>0</v>
          </cell>
          <cell r="I230">
            <v>0</v>
          </cell>
          <cell r="J230">
            <v>7287.0000296069838</v>
          </cell>
        </row>
        <row r="231">
          <cell r="A231">
            <v>213</v>
          </cell>
          <cell r="B231">
            <v>45985</v>
          </cell>
          <cell r="C231">
            <v>0</v>
          </cell>
          <cell r="D231">
            <v>1684.6189974051019</v>
          </cell>
          <cell r="E231">
            <v>0</v>
          </cell>
          <cell r="F231">
            <v>0</v>
          </cell>
          <cell r="G231">
            <v>0</v>
          </cell>
          <cell r="H231">
            <v>0</v>
          </cell>
          <cell r="I231">
            <v>0</v>
          </cell>
          <cell r="J231">
            <v>7287.0000296069838</v>
          </cell>
        </row>
        <row r="232">
          <cell r="A232">
            <v>214</v>
          </cell>
          <cell r="B232">
            <v>46015</v>
          </cell>
          <cell r="C232">
            <v>0</v>
          </cell>
          <cell r="D232">
            <v>1684.6189974051019</v>
          </cell>
          <cell r="E232">
            <v>0</v>
          </cell>
          <cell r="F232">
            <v>0</v>
          </cell>
          <cell r="G232">
            <v>0</v>
          </cell>
          <cell r="H232">
            <v>0</v>
          </cell>
          <cell r="I232">
            <v>0</v>
          </cell>
          <cell r="J232">
            <v>7287.0000296069838</v>
          </cell>
        </row>
        <row r="233">
          <cell r="A233">
            <v>215</v>
          </cell>
          <cell r="B233">
            <v>46046</v>
          </cell>
          <cell r="C233">
            <v>0</v>
          </cell>
          <cell r="D233">
            <v>1684.6189974051019</v>
          </cell>
          <cell r="E233">
            <v>0</v>
          </cell>
          <cell r="F233">
            <v>0</v>
          </cell>
          <cell r="G233">
            <v>0</v>
          </cell>
          <cell r="H233">
            <v>0</v>
          </cell>
          <cell r="I233">
            <v>0</v>
          </cell>
          <cell r="J233">
            <v>7287.0000296069838</v>
          </cell>
        </row>
        <row r="234">
          <cell r="A234">
            <v>216</v>
          </cell>
          <cell r="B234">
            <v>46077</v>
          </cell>
          <cell r="C234">
            <v>0</v>
          </cell>
          <cell r="D234">
            <v>1684.6189974051019</v>
          </cell>
          <cell r="E234">
            <v>0</v>
          </cell>
          <cell r="F234">
            <v>0</v>
          </cell>
          <cell r="G234">
            <v>0</v>
          </cell>
          <cell r="H234">
            <v>0</v>
          </cell>
          <cell r="I234">
            <v>0</v>
          </cell>
          <cell r="J234">
            <v>7287.0000296069838</v>
          </cell>
        </row>
        <row r="235">
          <cell r="A235">
            <v>217</v>
          </cell>
          <cell r="B235">
            <v>46105</v>
          </cell>
          <cell r="C235">
            <v>0</v>
          </cell>
          <cell r="D235">
            <v>1684.6189974051019</v>
          </cell>
          <cell r="E235">
            <v>0</v>
          </cell>
          <cell r="F235">
            <v>0</v>
          </cell>
          <cell r="G235">
            <v>0</v>
          </cell>
          <cell r="H235">
            <v>0</v>
          </cell>
          <cell r="I235">
            <v>0</v>
          </cell>
          <cell r="J235">
            <v>7287.0000296069838</v>
          </cell>
        </row>
        <row r="236">
          <cell r="A236">
            <v>218</v>
          </cell>
          <cell r="B236">
            <v>46136</v>
          </cell>
          <cell r="C236">
            <v>0</v>
          </cell>
          <cell r="D236">
            <v>1684.6189974051019</v>
          </cell>
          <cell r="E236">
            <v>0</v>
          </cell>
          <cell r="F236">
            <v>0</v>
          </cell>
          <cell r="G236">
            <v>0</v>
          </cell>
          <cell r="H236">
            <v>0</v>
          </cell>
          <cell r="I236">
            <v>0</v>
          </cell>
          <cell r="J236">
            <v>7287.0000296069838</v>
          </cell>
        </row>
        <row r="237">
          <cell r="A237">
            <v>219</v>
          </cell>
          <cell r="B237">
            <v>46166</v>
          </cell>
          <cell r="C237">
            <v>0</v>
          </cell>
          <cell r="D237">
            <v>1684.6189974051019</v>
          </cell>
          <cell r="E237">
            <v>0</v>
          </cell>
          <cell r="F237">
            <v>0</v>
          </cell>
          <cell r="G237">
            <v>0</v>
          </cell>
          <cell r="H237">
            <v>0</v>
          </cell>
          <cell r="I237">
            <v>0</v>
          </cell>
          <cell r="J237">
            <v>7287.0000296069838</v>
          </cell>
        </row>
        <row r="238">
          <cell r="A238">
            <v>220</v>
          </cell>
          <cell r="B238">
            <v>46197</v>
          </cell>
          <cell r="C238">
            <v>0</v>
          </cell>
          <cell r="D238">
            <v>1684.6189974051019</v>
          </cell>
          <cell r="E238">
            <v>0</v>
          </cell>
          <cell r="F238">
            <v>0</v>
          </cell>
          <cell r="G238">
            <v>0</v>
          </cell>
          <cell r="H238">
            <v>0</v>
          </cell>
          <cell r="I238">
            <v>0</v>
          </cell>
          <cell r="J238">
            <v>7287.0000296069838</v>
          </cell>
        </row>
        <row r="239">
          <cell r="A239">
            <v>221</v>
          </cell>
          <cell r="B239">
            <v>46227</v>
          </cell>
          <cell r="C239">
            <v>0</v>
          </cell>
          <cell r="D239">
            <v>1684.6189974051019</v>
          </cell>
          <cell r="E239">
            <v>0</v>
          </cell>
          <cell r="F239">
            <v>0</v>
          </cell>
          <cell r="G239">
            <v>0</v>
          </cell>
          <cell r="H239">
            <v>0</v>
          </cell>
          <cell r="I239">
            <v>0</v>
          </cell>
          <cell r="J239">
            <v>7287.0000296069838</v>
          </cell>
        </row>
        <row r="240">
          <cell r="A240">
            <v>222</v>
          </cell>
          <cell r="B240">
            <v>46258</v>
          </cell>
          <cell r="C240">
            <v>0</v>
          </cell>
          <cell r="D240">
            <v>1684.6189974051019</v>
          </cell>
          <cell r="E240">
            <v>0</v>
          </cell>
          <cell r="F240">
            <v>0</v>
          </cell>
          <cell r="G240">
            <v>0</v>
          </cell>
          <cell r="H240">
            <v>0</v>
          </cell>
          <cell r="I240">
            <v>0</v>
          </cell>
          <cell r="J240">
            <v>7287.0000296069838</v>
          </cell>
        </row>
        <row r="241">
          <cell r="A241">
            <v>223</v>
          </cell>
          <cell r="B241">
            <v>46289</v>
          </cell>
          <cell r="C241">
            <v>0</v>
          </cell>
          <cell r="D241">
            <v>1684.6189974051019</v>
          </cell>
          <cell r="E241">
            <v>0</v>
          </cell>
          <cell r="F241">
            <v>0</v>
          </cell>
          <cell r="G241">
            <v>0</v>
          </cell>
          <cell r="H241">
            <v>0</v>
          </cell>
          <cell r="I241">
            <v>0</v>
          </cell>
          <cell r="J241">
            <v>7287.0000296069838</v>
          </cell>
        </row>
        <row r="242">
          <cell r="A242">
            <v>224</v>
          </cell>
          <cell r="B242">
            <v>46319</v>
          </cell>
          <cell r="C242">
            <v>0</v>
          </cell>
          <cell r="D242">
            <v>1684.6189974051019</v>
          </cell>
          <cell r="E242">
            <v>0</v>
          </cell>
          <cell r="F242">
            <v>0</v>
          </cell>
          <cell r="G242">
            <v>0</v>
          </cell>
          <cell r="H242">
            <v>0</v>
          </cell>
          <cell r="I242">
            <v>0</v>
          </cell>
          <cell r="J242">
            <v>7287.0000296069838</v>
          </cell>
        </row>
        <row r="243">
          <cell r="A243">
            <v>225</v>
          </cell>
          <cell r="B243">
            <v>46350</v>
          </cell>
          <cell r="C243">
            <v>0</v>
          </cell>
          <cell r="D243">
            <v>1684.6189974051019</v>
          </cell>
          <cell r="E243">
            <v>0</v>
          </cell>
          <cell r="F243">
            <v>0</v>
          </cell>
          <cell r="G243">
            <v>0</v>
          </cell>
          <cell r="H243">
            <v>0</v>
          </cell>
          <cell r="I243">
            <v>0</v>
          </cell>
          <cell r="J243">
            <v>7287.0000296069838</v>
          </cell>
        </row>
        <row r="244">
          <cell r="A244">
            <v>226</v>
          </cell>
          <cell r="B244">
            <v>46380</v>
          </cell>
          <cell r="C244">
            <v>0</v>
          </cell>
          <cell r="D244">
            <v>1684.6189974051019</v>
          </cell>
          <cell r="E244">
            <v>0</v>
          </cell>
          <cell r="F244">
            <v>0</v>
          </cell>
          <cell r="G244">
            <v>0</v>
          </cell>
          <cell r="H244">
            <v>0</v>
          </cell>
          <cell r="I244">
            <v>0</v>
          </cell>
          <cell r="J244">
            <v>7287.0000296069838</v>
          </cell>
        </row>
        <row r="245">
          <cell r="A245">
            <v>227</v>
          </cell>
          <cell r="B245">
            <v>46411</v>
          </cell>
          <cell r="C245">
            <v>0</v>
          </cell>
          <cell r="D245">
            <v>1684.6189974051019</v>
          </cell>
          <cell r="E245">
            <v>0</v>
          </cell>
          <cell r="F245">
            <v>0</v>
          </cell>
          <cell r="G245">
            <v>0</v>
          </cell>
          <cell r="H245">
            <v>0</v>
          </cell>
          <cell r="I245">
            <v>0</v>
          </cell>
          <cell r="J245">
            <v>7287.0000296069838</v>
          </cell>
        </row>
        <row r="246">
          <cell r="A246">
            <v>228</v>
          </cell>
          <cell r="B246">
            <v>46442</v>
          </cell>
          <cell r="C246">
            <v>0</v>
          </cell>
          <cell r="D246">
            <v>1684.6189974051019</v>
          </cell>
          <cell r="E246">
            <v>0</v>
          </cell>
          <cell r="F246">
            <v>0</v>
          </cell>
          <cell r="G246">
            <v>0</v>
          </cell>
          <cell r="H246">
            <v>0</v>
          </cell>
          <cell r="I246">
            <v>0</v>
          </cell>
          <cell r="J246">
            <v>7287.0000296069838</v>
          </cell>
        </row>
        <row r="247">
          <cell r="A247">
            <v>229</v>
          </cell>
          <cell r="B247">
            <v>46470</v>
          </cell>
          <cell r="C247">
            <v>0</v>
          </cell>
          <cell r="D247">
            <v>1684.6189974051019</v>
          </cell>
          <cell r="E247">
            <v>0</v>
          </cell>
          <cell r="F247">
            <v>0</v>
          </cell>
          <cell r="G247">
            <v>0</v>
          </cell>
          <cell r="H247">
            <v>0</v>
          </cell>
          <cell r="I247">
            <v>0</v>
          </cell>
          <cell r="J247">
            <v>7287.0000296069838</v>
          </cell>
        </row>
        <row r="248">
          <cell r="A248">
            <v>230</v>
          </cell>
          <cell r="B248">
            <v>46501</v>
          </cell>
          <cell r="C248">
            <v>0</v>
          </cell>
          <cell r="D248">
            <v>1684.6189974051019</v>
          </cell>
          <cell r="E248">
            <v>0</v>
          </cell>
          <cell r="F248">
            <v>0</v>
          </cell>
          <cell r="G248">
            <v>0</v>
          </cell>
          <cell r="H248">
            <v>0</v>
          </cell>
          <cell r="I248">
            <v>0</v>
          </cell>
          <cell r="J248">
            <v>7287.0000296069838</v>
          </cell>
        </row>
        <row r="249">
          <cell r="A249">
            <v>231</v>
          </cell>
          <cell r="B249">
            <v>46531</v>
          </cell>
          <cell r="C249">
            <v>0</v>
          </cell>
          <cell r="D249">
            <v>1684.6189974051019</v>
          </cell>
          <cell r="E249">
            <v>0</v>
          </cell>
          <cell r="F249">
            <v>0</v>
          </cell>
          <cell r="G249">
            <v>0</v>
          </cell>
          <cell r="H249">
            <v>0</v>
          </cell>
          <cell r="I249">
            <v>0</v>
          </cell>
          <cell r="J249">
            <v>7287.0000296069838</v>
          </cell>
        </row>
        <row r="250">
          <cell r="A250">
            <v>232</v>
          </cell>
          <cell r="B250">
            <v>46562</v>
          </cell>
          <cell r="C250">
            <v>0</v>
          </cell>
          <cell r="D250">
            <v>1684.6189974051019</v>
          </cell>
          <cell r="E250">
            <v>0</v>
          </cell>
          <cell r="F250">
            <v>0</v>
          </cell>
          <cell r="G250">
            <v>0</v>
          </cell>
          <cell r="H250">
            <v>0</v>
          </cell>
          <cell r="I250">
            <v>0</v>
          </cell>
          <cell r="J250">
            <v>7287.0000296069838</v>
          </cell>
        </row>
        <row r="251">
          <cell r="A251">
            <v>233</v>
          </cell>
          <cell r="B251">
            <v>46592</v>
          </cell>
          <cell r="C251">
            <v>0</v>
          </cell>
          <cell r="D251">
            <v>1684.6189974051019</v>
          </cell>
          <cell r="E251">
            <v>0</v>
          </cell>
          <cell r="F251">
            <v>0</v>
          </cell>
          <cell r="G251">
            <v>0</v>
          </cell>
          <cell r="H251">
            <v>0</v>
          </cell>
          <cell r="I251">
            <v>0</v>
          </cell>
          <cell r="J251">
            <v>7287.0000296069838</v>
          </cell>
        </row>
        <row r="252">
          <cell r="A252">
            <v>234</v>
          </cell>
          <cell r="B252">
            <v>46623</v>
          </cell>
          <cell r="C252">
            <v>0</v>
          </cell>
          <cell r="D252">
            <v>1684.6189974051019</v>
          </cell>
          <cell r="E252">
            <v>0</v>
          </cell>
          <cell r="F252">
            <v>0</v>
          </cell>
          <cell r="G252">
            <v>0</v>
          </cell>
          <cell r="H252">
            <v>0</v>
          </cell>
          <cell r="I252">
            <v>0</v>
          </cell>
          <cell r="J252">
            <v>7287.0000296069838</v>
          </cell>
        </row>
        <row r="253">
          <cell r="A253">
            <v>235</v>
          </cell>
          <cell r="B253">
            <v>46654</v>
          </cell>
          <cell r="C253">
            <v>0</v>
          </cell>
          <cell r="D253">
            <v>1684.6189974051019</v>
          </cell>
          <cell r="E253">
            <v>0</v>
          </cell>
          <cell r="F253">
            <v>0</v>
          </cell>
          <cell r="G253">
            <v>0</v>
          </cell>
          <cell r="H253">
            <v>0</v>
          </cell>
          <cell r="I253">
            <v>0</v>
          </cell>
          <cell r="J253">
            <v>7287.0000296069838</v>
          </cell>
        </row>
        <row r="254">
          <cell r="A254">
            <v>236</v>
          </cell>
          <cell r="B254">
            <v>46684</v>
          </cell>
          <cell r="C254">
            <v>0</v>
          </cell>
          <cell r="D254">
            <v>1684.6189974051019</v>
          </cell>
          <cell r="E254">
            <v>0</v>
          </cell>
          <cell r="F254">
            <v>0</v>
          </cell>
          <cell r="G254">
            <v>0</v>
          </cell>
          <cell r="H254">
            <v>0</v>
          </cell>
          <cell r="I254">
            <v>0</v>
          </cell>
          <cell r="J254">
            <v>7287.0000296069838</v>
          </cell>
        </row>
        <row r="255">
          <cell r="A255">
            <v>237</v>
          </cell>
          <cell r="B255">
            <v>46715</v>
          </cell>
          <cell r="C255">
            <v>0</v>
          </cell>
          <cell r="D255">
            <v>1684.6189974051019</v>
          </cell>
          <cell r="E255">
            <v>0</v>
          </cell>
          <cell r="F255">
            <v>0</v>
          </cell>
          <cell r="G255">
            <v>0</v>
          </cell>
          <cell r="H255">
            <v>0</v>
          </cell>
          <cell r="I255">
            <v>0</v>
          </cell>
          <cell r="J255">
            <v>7287.0000296069838</v>
          </cell>
        </row>
        <row r="256">
          <cell r="A256">
            <v>238</v>
          </cell>
          <cell r="B256">
            <v>46745</v>
          </cell>
          <cell r="C256">
            <v>0</v>
          </cell>
          <cell r="D256">
            <v>1684.6189974051019</v>
          </cell>
          <cell r="E256">
            <v>0</v>
          </cell>
          <cell r="F256">
            <v>0</v>
          </cell>
          <cell r="G256">
            <v>0</v>
          </cell>
          <cell r="H256">
            <v>0</v>
          </cell>
          <cell r="I256">
            <v>0</v>
          </cell>
          <cell r="J256">
            <v>7287.0000296069838</v>
          </cell>
        </row>
        <row r="257">
          <cell r="A257">
            <v>239</v>
          </cell>
          <cell r="B257">
            <v>46776</v>
          </cell>
          <cell r="C257">
            <v>0</v>
          </cell>
          <cell r="D257">
            <v>1684.6189974051019</v>
          </cell>
          <cell r="E257">
            <v>0</v>
          </cell>
          <cell r="F257">
            <v>0</v>
          </cell>
          <cell r="G257">
            <v>0</v>
          </cell>
          <cell r="H257">
            <v>0</v>
          </cell>
          <cell r="I257">
            <v>0</v>
          </cell>
          <cell r="J257">
            <v>7287.0000296069838</v>
          </cell>
        </row>
        <row r="258">
          <cell r="A258">
            <v>240</v>
          </cell>
          <cell r="B258">
            <v>46807</v>
          </cell>
          <cell r="C258">
            <v>0</v>
          </cell>
          <cell r="D258">
            <v>1684.6189974051019</v>
          </cell>
          <cell r="E258">
            <v>0</v>
          </cell>
          <cell r="F258">
            <v>0</v>
          </cell>
          <cell r="G258">
            <v>0</v>
          </cell>
          <cell r="H258">
            <v>0</v>
          </cell>
          <cell r="I258">
            <v>0</v>
          </cell>
          <cell r="J258">
            <v>7287.0000296069838</v>
          </cell>
        </row>
        <row r="259">
          <cell r="A259">
            <v>241</v>
          </cell>
          <cell r="B259">
            <v>46836</v>
          </cell>
          <cell r="C259">
            <v>0</v>
          </cell>
          <cell r="D259">
            <v>1684.6189974051019</v>
          </cell>
          <cell r="E259">
            <v>0</v>
          </cell>
          <cell r="F259">
            <v>0</v>
          </cell>
          <cell r="G259">
            <v>0</v>
          </cell>
          <cell r="H259">
            <v>0</v>
          </cell>
          <cell r="I259">
            <v>0</v>
          </cell>
          <cell r="J259">
            <v>7287.0000296069838</v>
          </cell>
        </row>
        <row r="260">
          <cell r="A260">
            <v>242</v>
          </cell>
          <cell r="B260">
            <v>46867</v>
          </cell>
          <cell r="C260">
            <v>0</v>
          </cell>
          <cell r="D260">
            <v>1684.6189974051019</v>
          </cell>
          <cell r="E260">
            <v>0</v>
          </cell>
          <cell r="F260">
            <v>0</v>
          </cell>
          <cell r="G260">
            <v>0</v>
          </cell>
          <cell r="H260">
            <v>0</v>
          </cell>
          <cell r="I260">
            <v>0</v>
          </cell>
          <cell r="J260">
            <v>7287.0000296069838</v>
          </cell>
        </row>
        <row r="261">
          <cell r="A261">
            <v>243</v>
          </cell>
          <cell r="B261">
            <v>46897</v>
          </cell>
          <cell r="C261">
            <v>0</v>
          </cell>
          <cell r="D261">
            <v>1684.6189974051019</v>
          </cell>
          <cell r="E261">
            <v>0</v>
          </cell>
          <cell r="F261">
            <v>0</v>
          </cell>
          <cell r="G261">
            <v>0</v>
          </cell>
          <cell r="H261">
            <v>0</v>
          </cell>
          <cell r="I261">
            <v>0</v>
          </cell>
          <cell r="J261">
            <v>7287.0000296069838</v>
          </cell>
        </row>
        <row r="262">
          <cell r="A262">
            <v>244</v>
          </cell>
          <cell r="B262">
            <v>46928</v>
          </cell>
          <cell r="C262">
            <v>0</v>
          </cell>
          <cell r="D262">
            <v>1684.6189974051019</v>
          </cell>
          <cell r="E262">
            <v>0</v>
          </cell>
          <cell r="F262">
            <v>0</v>
          </cell>
          <cell r="G262">
            <v>0</v>
          </cell>
          <cell r="H262">
            <v>0</v>
          </cell>
          <cell r="I262">
            <v>0</v>
          </cell>
          <cell r="J262">
            <v>7287.0000296069838</v>
          </cell>
        </row>
        <row r="263">
          <cell r="A263">
            <v>245</v>
          </cell>
          <cell r="B263">
            <v>46958</v>
          </cell>
          <cell r="C263">
            <v>0</v>
          </cell>
          <cell r="D263">
            <v>1684.6189974051019</v>
          </cell>
          <cell r="E263">
            <v>0</v>
          </cell>
          <cell r="F263">
            <v>0</v>
          </cell>
          <cell r="G263">
            <v>0</v>
          </cell>
          <cell r="H263">
            <v>0</v>
          </cell>
          <cell r="I263">
            <v>0</v>
          </cell>
          <cell r="J263">
            <v>7287.0000296069838</v>
          </cell>
        </row>
        <row r="264">
          <cell r="A264">
            <v>246</v>
          </cell>
          <cell r="B264">
            <v>46989</v>
          </cell>
          <cell r="C264">
            <v>0</v>
          </cell>
          <cell r="D264">
            <v>1684.6189974051019</v>
          </cell>
          <cell r="E264">
            <v>0</v>
          </cell>
          <cell r="F264">
            <v>0</v>
          </cell>
          <cell r="G264">
            <v>0</v>
          </cell>
          <cell r="H264">
            <v>0</v>
          </cell>
          <cell r="I264">
            <v>0</v>
          </cell>
          <cell r="J264">
            <v>7287.0000296069838</v>
          </cell>
        </row>
        <row r="265">
          <cell r="A265">
            <v>247</v>
          </cell>
          <cell r="B265">
            <v>47020</v>
          </cell>
          <cell r="C265">
            <v>0</v>
          </cell>
          <cell r="D265">
            <v>1684.6189974051019</v>
          </cell>
          <cell r="E265">
            <v>0</v>
          </cell>
          <cell r="F265">
            <v>0</v>
          </cell>
          <cell r="G265">
            <v>0</v>
          </cell>
          <cell r="H265">
            <v>0</v>
          </cell>
          <cell r="I265">
            <v>0</v>
          </cell>
          <cell r="J265">
            <v>7287.0000296069838</v>
          </cell>
        </row>
        <row r="266">
          <cell r="A266">
            <v>248</v>
          </cell>
          <cell r="B266">
            <v>47050</v>
          </cell>
          <cell r="C266">
            <v>0</v>
          </cell>
          <cell r="D266">
            <v>1684.6189974051019</v>
          </cell>
          <cell r="E266">
            <v>0</v>
          </cell>
          <cell r="F266">
            <v>0</v>
          </cell>
          <cell r="G266">
            <v>0</v>
          </cell>
          <cell r="H266">
            <v>0</v>
          </cell>
          <cell r="I266">
            <v>0</v>
          </cell>
          <cell r="J266">
            <v>7287.0000296069838</v>
          </cell>
        </row>
        <row r="267">
          <cell r="A267">
            <v>249</v>
          </cell>
          <cell r="B267">
            <v>47081</v>
          </cell>
          <cell r="C267">
            <v>0</v>
          </cell>
          <cell r="D267">
            <v>1684.6189974051019</v>
          </cell>
          <cell r="E267">
            <v>0</v>
          </cell>
          <cell r="F267">
            <v>0</v>
          </cell>
          <cell r="G267">
            <v>0</v>
          </cell>
          <cell r="H267">
            <v>0</v>
          </cell>
          <cell r="I267">
            <v>0</v>
          </cell>
          <cell r="J267">
            <v>7287.0000296069838</v>
          </cell>
        </row>
        <row r="268">
          <cell r="A268">
            <v>250</v>
          </cell>
          <cell r="B268">
            <v>47111</v>
          </cell>
          <cell r="C268">
            <v>0</v>
          </cell>
          <cell r="D268">
            <v>1684.6189974051019</v>
          </cell>
          <cell r="E268">
            <v>0</v>
          </cell>
          <cell r="F268">
            <v>0</v>
          </cell>
          <cell r="G268">
            <v>0</v>
          </cell>
          <cell r="H268">
            <v>0</v>
          </cell>
          <cell r="I268">
            <v>0</v>
          </cell>
          <cell r="J268">
            <v>7287.0000296069838</v>
          </cell>
        </row>
        <row r="269">
          <cell r="A269">
            <v>251</v>
          </cell>
          <cell r="B269">
            <v>47142</v>
          </cell>
          <cell r="C269">
            <v>0</v>
          </cell>
          <cell r="D269">
            <v>1684.6189974051019</v>
          </cell>
          <cell r="E269">
            <v>0</v>
          </cell>
          <cell r="F269">
            <v>0</v>
          </cell>
          <cell r="G269">
            <v>0</v>
          </cell>
          <cell r="H269">
            <v>0</v>
          </cell>
          <cell r="I269">
            <v>0</v>
          </cell>
          <cell r="J269">
            <v>7287.0000296069838</v>
          </cell>
        </row>
        <row r="270">
          <cell r="A270">
            <v>252</v>
          </cell>
          <cell r="B270">
            <v>47173</v>
          </cell>
          <cell r="C270">
            <v>0</v>
          </cell>
          <cell r="D270">
            <v>1684.6189974051019</v>
          </cell>
          <cell r="E270">
            <v>0</v>
          </cell>
          <cell r="F270">
            <v>0</v>
          </cell>
          <cell r="G270">
            <v>0</v>
          </cell>
          <cell r="H270">
            <v>0</v>
          </cell>
          <cell r="I270">
            <v>0</v>
          </cell>
          <cell r="J270">
            <v>7287.0000296069838</v>
          </cell>
        </row>
        <row r="271">
          <cell r="A271">
            <v>253</v>
          </cell>
          <cell r="B271">
            <v>47201</v>
          </cell>
          <cell r="C271">
            <v>0</v>
          </cell>
          <cell r="D271">
            <v>1684.6189974051019</v>
          </cell>
          <cell r="E271">
            <v>0</v>
          </cell>
          <cell r="F271">
            <v>0</v>
          </cell>
          <cell r="G271">
            <v>0</v>
          </cell>
          <cell r="H271">
            <v>0</v>
          </cell>
          <cell r="I271">
            <v>0</v>
          </cell>
          <cell r="J271">
            <v>7287.0000296069838</v>
          </cell>
        </row>
        <row r="272">
          <cell r="A272">
            <v>254</v>
          </cell>
          <cell r="B272">
            <v>47232</v>
          </cell>
          <cell r="C272">
            <v>0</v>
          </cell>
          <cell r="D272">
            <v>1684.6189974051019</v>
          </cell>
          <cell r="E272">
            <v>0</v>
          </cell>
          <cell r="F272">
            <v>0</v>
          </cell>
          <cell r="G272">
            <v>0</v>
          </cell>
          <cell r="H272">
            <v>0</v>
          </cell>
          <cell r="I272">
            <v>0</v>
          </cell>
          <cell r="J272">
            <v>7287.0000296069838</v>
          </cell>
        </row>
        <row r="273">
          <cell r="A273">
            <v>255</v>
          </cell>
          <cell r="B273">
            <v>47262</v>
          </cell>
          <cell r="C273">
            <v>0</v>
          </cell>
          <cell r="D273">
            <v>1684.6189974051019</v>
          </cell>
          <cell r="E273">
            <v>0</v>
          </cell>
          <cell r="F273">
            <v>0</v>
          </cell>
          <cell r="G273">
            <v>0</v>
          </cell>
          <cell r="H273">
            <v>0</v>
          </cell>
          <cell r="I273">
            <v>0</v>
          </cell>
          <cell r="J273">
            <v>7287.0000296069838</v>
          </cell>
        </row>
        <row r="274">
          <cell r="A274">
            <v>256</v>
          </cell>
          <cell r="B274">
            <v>47293</v>
          </cell>
          <cell r="C274">
            <v>0</v>
          </cell>
          <cell r="D274">
            <v>1684.6189974051019</v>
          </cell>
          <cell r="E274">
            <v>0</v>
          </cell>
          <cell r="F274">
            <v>0</v>
          </cell>
          <cell r="G274">
            <v>0</v>
          </cell>
          <cell r="H274">
            <v>0</v>
          </cell>
          <cell r="I274">
            <v>0</v>
          </cell>
          <cell r="J274">
            <v>7287.0000296069838</v>
          </cell>
        </row>
        <row r="275">
          <cell r="A275">
            <v>257</v>
          </cell>
          <cell r="B275">
            <v>47323</v>
          </cell>
          <cell r="C275">
            <v>0</v>
          </cell>
          <cell r="D275">
            <v>1684.6189974051019</v>
          </cell>
          <cell r="E275">
            <v>0</v>
          </cell>
          <cell r="F275">
            <v>0</v>
          </cell>
          <cell r="G275">
            <v>0</v>
          </cell>
          <cell r="H275">
            <v>0</v>
          </cell>
          <cell r="I275">
            <v>0</v>
          </cell>
          <cell r="J275">
            <v>7287.0000296069838</v>
          </cell>
        </row>
        <row r="276">
          <cell r="A276">
            <v>258</v>
          </cell>
          <cell r="B276">
            <v>47354</v>
          </cell>
          <cell r="C276">
            <v>0</v>
          </cell>
          <cell r="D276">
            <v>1684.6189974051019</v>
          </cell>
          <cell r="E276">
            <v>0</v>
          </cell>
          <cell r="F276">
            <v>0</v>
          </cell>
          <cell r="G276">
            <v>0</v>
          </cell>
          <cell r="H276">
            <v>0</v>
          </cell>
          <cell r="I276">
            <v>0</v>
          </cell>
          <cell r="J276">
            <v>7287.0000296069838</v>
          </cell>
        </row>
        <row r="277">
          <cell r="A277">
            <v>259</v>
          </cell>
          <cell r="B277">
            <v>47385</v>
          </cell>
          <cell r="C277">
            <v>0</v>
          </cell>
          <cell r="D277">
            <v>1684.6189974051019</v>
          </cell>
          <cell r="E277">
            <v>0</v>
          </cell>
          <cell r="F277">
            <v>0</v>
          </cell>
          <cell r="G277">
            <v>0</v>
          </cell>
          <cell r="H277">
            <v>0</v>
          </cell>
          <cell r="I277">
            <v>0</v>
          </cell>
          <cell r="J277">
            <v>7287.0000296069838</v>
          </cell>
        </row>
        <row r="278">
          <cell r="A278">
            <v>260</v>
          </cell>
          <cell r="B278">
            <v>47415</v>
          </cell>
          <cell r="C278">
            <v>0</v>
          </cell>
          <cell r="D278">
            <v>1684.6189974051019</v>
          </cell>
          <cell r="E278">
            <v>0</v>
          </cell>
          <cell r="F278">
            <v>0</v>
          </cell>
          <cell r="G278">
            <v>0</v>
          </cell>
          <cell r="H278">
            <v>0</v>
          </cell>
          <cell r="I278">
            <v>0</v>
          </cell>
          <cell r="J278">
            <v>7287.0000296069838</v>
          </cell>
        </row>
        <row r="279">
          <cell r="A279">
            <v>261</v>
          </cell>
          <cell r="B279">
            <v>47446</v>
          </cell>
          <cell r="C279">
            <v>0</v>
          </cell>
          <cell r="D279">
            <v>1684.6189974051019</v>
          </cell>
          <cell r="E279">
            <v>0</v>
          </cell>
          <cell r="F279">
            <v>0</v>
          </cell>
          <cell r="G279">
            <v>0</v>
          </cell>
          <cell r="H279">
            <v>0</v>
          </cell>
          <cell r="I279">
            <v>0</v>
          </cell>
          <cell r="J279">
            <v>7287.0000296069838</v>
          </cell>
        </row>
        <row r="280">
          <cell r="A280">
            <v>262</v>
          </cell>
          <cell r="B280">
            <v>47476</v>
          </cell>
          <cell r="C280">
            <v>0</v>
          </cell>
          <cell r="D280">
            <v>1684.6189974051019</v>
          </cell>
          <cell r="E280">
            <v>0</v>
          </cell>
          <cell r="F280">
            <v>0</v>
          </cell>
          <cell r="G280">
            <v>0</v>
          </cell>
          <cell r="H280">
            <v>0</v>
          </cell>
          <cell r="I280">
            <v>0</v>
          </cell>
          <cell r="J280">
            <v>7287.0000296069838</v>
          </cell>
        </row>
        <row r="281">
          <cell r="A281">
            <v>263</v>
          </cell>
          <cell r="B281">
            <v>47507</v>
          </cell>
          <cell r="C281">
            <v>0</v>
          </cell>
          <cell r="D281">
            <v>1684.6189974051019</v>
          </cell>
          <cell r="E281">
            <v>0</v>
          </cell>
          <cell r="F281">
            <v>0</v>
          </cell>
          <cell r="G281">
            <v>0</v>
          </cell>
          <cell r="H281">
            <v>0</v>
          </cell>
          <cell r="I281">
            <v>0</v>
          </cell>
          <cell r="J281">
            <v>7287.0000296069838</v>
          </cell>
        </row>
        <row r="282">
          <cell r="A282">
            <v>264</v>
          </cell>
          <cell r="B282">
            <v>47538</v>
          </cell>
          <cell r="C282">
            <v>0</v>
          </cell>
          <cell r="D282">
            <v>1684.6189974051019</v>
          </cell>
          <cell r="E282">
            <v>0</v>
          </cell>
          <cell r="F282">
            <v>0</v>
          </cell>
          <cell r="G282">
            <v>0</v>
          </cell>
          <cell r="H282">
            <v>0</v>
          </cell>
          <cell r="I282">
            <v>0</v>
          </cell>
          <cell r="J282">
            <v>7287.0000296069838</v>
          </cell>
        </row>
        <row r="283">
          <cell r="A283">
            <v>265</v>
          </cell>
          <cell r="B283">
            <v>47566</v>
          </cell>
          <cell r="C283">
            <v>0</v>
          </cell>
          <cell r="D283">
            <v>1684.6189974051019</v>
          </cell>
          <cell r="E283">
            <v>0</v>
          </cell>
          <cell r="F283">
            <v>0</v>
          </cell>
          <cell r="G283">
            <v>0</v>
          </cell>
          <cell r="H283">
            <v>0</v>
          </cell>
          <cell r="I283">
            <v>0</v>
          </cell>
          <cell r="J283">
            <v>7287.0000296069838</v>
          </cell>
        </row>
        <row r="284">
          <cell r="A284">
            <v>266</v>
          </cell>
          <cell r="B284">
            <v>47597</v>
          </cell>
          <cell r="C284">
            <v>0</v>
          </cell>
          <cell r="D284">
            <v>1684.6189974051019</v>
          </cell>
          <cell r="E284">
            <v>0</v>
          </cell>
          <cell r="F284">
            <v>0</v>
          </cell>
          <cell r="G284">
            <v>0</v>
          </cell>
          <cell r="H284">
            <v>0</v>
          </cell>
          <cell r="I284">
            <v>0</v>
          </cell>
          <cell r="J284">
            <v>7287.0000296069838</v>
          </cell>
        </row>
        <row r="285">
          <cell r="A285">
            <v>267</v>
          </cell>
          <cell r="B285">
            <v>47627</v>
          </cell>
          <cell r="C285">
            <v>0</v>
          </cell>
          <cell r="D285">
            <v>1684.6189974051019</v>
          </cell>
          <cell r="E285">
            <v>0</v>
          </cell>
          <cell r="F285">
            <v>0</v>
          </cell>
          <cell r="G285">
            <v>0</v>
          </cell>
          <cell r="H285">
            <v>0</v>
          </cell>
          <cell r="I285">
            <v>0</v>
          </cell>
          <cell r="J285">
            <v>7287.0000296069838</v>
          </cell>
        </row>
        <row r="286">
          <cell r="A286">
            <v>268</v>
          </cell>
          <cell r="B286">
            <v>47658</v>
          </cell>
          <cell r="C286">
            <v>0</v>
          </cell>
          <cell r="D286">
            <v>1684.6189974051019</v>
          </cell>
          <cell r="E286">
            <v>0</v>
          </cell>
          <cell r="F286">
            <v>0</v>
          </cell>
          <cell r="G286">
            <v>0</v>
          </cell>
          <cell r="H286">
            <v>0</v>
          </cell>
          <cell r="I286">
            <v>0</v>
          </cell>
          <cell r="J286">
            <v>7287.0000296069838</v>
          </cell>
        </row>
        <row r="287">
          <cell r="A287">
            <v>269</v>
          </cell>
          <cell r="B287">
            <v>47688</v>
          </cell>
          <cell r="C287">
            <v>0</v>
          </cell>
          <cell r="D287">
            <v>1684.6189974051019</v>
          </cell>
          <cell r="E287">
            <v>0</v>
          </cell>
          <cell r="F287">
            <v>0</v>
          </cell>
          <cell r="G287">
            <v>0</v>
          </cell>
          <cell r="H287">
            <v>0</v>
          </cell>
          <cell r="I287">
            <v>0</v>
          </cell>
          <cell r="J287">
            <v>7287.0000296069838</v>
          </cell>
        </row>
        <row r="288">
          <cell r="A288">
            <v>270</v>
          </cell>
          <cell r="B288">
            <v>47719</v>
          </cell>
          <cell r="C288">
            <v>0</v>
          </cell>
          <cell r="D288">
            <v>1684.6189974051019</v>
          </cell>
          <cell r="E288">
            <v>0</v>
          </cell>
          <cell r="F288">
            <v>0</v>
          </cell>
          <cell r="G288">
            <v>0</v>
          </cell>
          <cell r="H288">
            <v>0</v>
          </cell>
          <cell r="I288">
            <v>0</v>
          </cell>
          <cell r="J288">
            <v>7287.0000296069838</v>
          </cell>
        </row>
        <row r="289">
          <cell r="A289">
            <v>271</v>
          </cell>
          <cell r="B289">
            <v>47750</v>
          </cell>
          <cell r="C289">
            <v>0</v>
          </cell>
          <cell r="D289">
            <v>1684.6189974051019</v>
          </cell>
          <cell r="E289">
            <v>0</v>
          </cell>
          <cell r="F289">
            <v>0</v>
          </cell>
          <cell r="G289">
            <v>0</v>
          </cell>
          <cell r="H289">
            <v>0</v>
          </cell>
          <cell r="I289">
            <v>0</v>
          </cell>
          <cell r="J289">
            <v>7287.0000296069838</v>
          </cell>
        </row>
        <row r="290">
          <cell r="A290">
            <v>272</v>
          </cell>
          <cell r="B290">
            <v>47780</v>
          </cell>
          <cell r="C290">
            <v>0</v>
          </cell>
          <cell r="D290">
            <v>1684.6189974051019</v>
          </cell>
          <cell r="E290">
            <v>0</v>
          </cell>
          <cell r="F290">
            <v>0</v>
          </cell>
          <cell r="G290">
            <v>0</v>
          </cell>
          <cell r="H290">
            <v>0</v>
          </cell>
          <cell r="I290">
            <v>0</v>
          </cell>
          <cell r="J290">
            <v>7287.0000296069838</v>
          </cell>
        </row>
        <row r="291">
          <cell r="A291">
            <v>273</v>
          </cell>
          <cell r="B291">
            <v>47811</v>
          </cell>
          <cell r="C291">
            <v>0</v>
          </cell>
          <cell r="D291">
            <v>1684.6189974051019</v>
          </cell>
          <cell r="E291">
            <v>0</v>
          </cell>
          <cell r="F291">
            <v>0</v>
          </cell>
          <cell r="G291">
            <v>0</v>
          </cell>
          <cell r="H291">
            <v>0</v>
          </cell>
          <cell r="I291">
            <v>0</v>
          </cell>
          <cell r="J291">
            <v>7287.0000296069838</v>
          </cell>
        </row>
        <row r="292">
          <cell r="A292">
            <v>274</v>
          </cell>
          <cell r="B292">
            <v>47841</v>
          </cell>
          <cell r="C292">
            <v>0</v>
          </cell>
          <cell r="D292">
            <v>1684.6189974051019</v>
          </cell>
          <cell r="E292">
            <v>0</v>
          </cell>
          <cell r="F292">
            <v>0</v>
          </cell>
          <cell r="G292">
            <v>0</v>
          </cell>
          <cell r="H292">
            <v>0</v>
          </cell>
          <cell r="I292">
            <v>0</v>
          </cell>
          <cell r="J292">
            <v>7287.0000296069838</v>
          </cell>
        </row>
        <row r="293">
          <cell r="A293">
            <v>275</v>
          </cell>
          <cell r="B293">
            <v>47872</v>
          </cell>
          <cell r="C293">
            <v>0</v>
          </cell>
          <cell r="D293">
            <v>1684.6189974051019</v>
          </cell>
          <cell r="E293">
            <v>0</v>
          </cell>
          <cell r="F293">
            <v>0</v>
          </cell>
          <cell r="G293">
            <v>0</v>
          </cell>
          <cell r="H293">
            <v>0</v>
          </cell>
          <cell r="I293">
            <v>0</v>
          </cell>
          <cell r="J293">
            <v>7287.0000296069838</v>
          </cell>
        </row>
        <row r="294">
          <cell r="A294">
            <v>276</v>
          </cell>
          <cell r="B294">
            <v>47903</v>
          </cell>
          <cell r="C294">
            <v>0</v>
          </cell>
          <cell r="D294">
            <v>1684.6189974051019</v>
          </cell>
          <cell r="E294">
            <v>0</v>
          </cell>
          <cell r="F294">
            <v>0</v>
          </cell>
          <cell r="G294">
            <v>0</v>
          </cell>
          <cell r="H294">
            <v>0</v>
          </cell>
          <cell r="I294">
            <v>0</v>
          </cell>
          <cell r="J294">
            <v>7287.0000296069838</v>
          </cell>
        </row>
        <row r="295">
          <cell r="A295">
            <v>277</v>
          </cell>
          <cell r="B295">
            <v>47931</v>
          </cell>
          <cell r="C295">
            <v>0</v>
          </cell>
          <cell r="D295">
            <v>1684.6189974051019</v>
          </cell>
          <cell r="E295">
            <v>0</v>
          </cell>
          <cell r="F295">
            <v>0</v>
          </cell>
          <cell r="G295">
            <v>0</v>
          </cell>
          <cell r="H295">
            <v>0</v>
          </cell>
          <cell r="I295">
            <v>0</v>
          </cell>
          <cell r="J295">
            <v>7287.0000296069838</v>
          </cell>
        </row>
        <row r="296">
          <cell r="A296">
            <v>278</v>
          </cell>
          <cell r="B296">
            <v>47962</v>
          </cell>
          <cell r="C296">
            <v>0</v>
          </cell>
          <cell r="D296">
            <v>1684.6189974051019</v>
          </cell>
          <cell r="E296">
            <v>0</v>
          </cell>
          <cell r="F296">
            <v>0</v>
          </cell>
          <cell r="G296">
            <v>0</v>
          </cell>
          <cell r="H296">
            <v>0</v>
          </cell>
          <cell r="I296">
            <v>0</v>
          </cell>
          <cell r="J296">
            <v>7287.0000296069838</v>
          </cell>
        </row>
        <row r="297">
          <cell r="A297">
            <v>279</v>
          </cell>
          <cell r="B297">
            <v>47992</v>
          </cell>
          <cell r="C297">
            <v>0</v>
          </cell>
          <cell r="D297">
            <v>1684.6189974051019</v>
          </cell>
          <cell r="E297">
            <v>0</v>
          </cell>
          <cell r="F297">
            <v>0</v>
          </cell>
          <cell r="G297">
            <v>0</v>
          </cell>
          <cell r="H297">
            <v>0</v>
          </cell>
          <cell r="I297">
            <v>0</v>
          </cell>
          <cell r="J297">
            <v>7287.0000296069838</v>
          </cell>
        </row>
        <row r="298">
          <cell r="A298">
            <v>280</v>
          </cell>
          <cell r="B298">
            <v>48023</v>
          </cell>
          <cell r="C298">
            <v>0</v>
          </cell>
          <cell r="D298">
            <v>1684.6189974051019</v>
          </cell>
          <cell r="E298">
            <v>0</v>
          </cell>
          <cell r="F298">
            <v>0</v>
          </cell>
          <cell r="G298">
            <v>0</v>
          </cell>
          <cell r="H298">
            <v>0</v>
          </cell>
          <cell r="I298">
            <v>0</v>
          </cell>
          <cell r="J298">
            <v>7287.0000296069838</v>
          </cell>
        </row>
        <row r="299">
          <cell r="A299">
            <v>281</v>
          </cell>
          <cell r="B299">
            <v>48053</v>
          </cell>
          <cell r="C299">
            <v>0</v>
          </cell>
          <cell r="D299">
            <v>1684.6189974051019</v>
          </cell>
          <cell r="E299">
            <v>0</v>
          </cell>
          <cell r="F299">
            <v>0</v>
          </cell>
          <cell r="G299">
            <v>0</v>
          </cell>
          <cell r="H299">
            <v>0</v>
          </cell>
          <cell r="I299">
            <v>0</v>
          </cell>
          <cell r="J299">
            <v>7287.0000296069838</v>
          </cell>
        </row>
        <row r="300">
          <cell r="A300">
            <v>282</v>
          </cell>
          <cell r="B300">
            <v>48084</v>
          </cell>
          <cell r="C300">
            <v>0</v>
          </cell>
          <cell r="D300">
            <v>1684.6189974051019</v>
          </cell>
          <cell r="E300">
            <v>0</v>
          </cell>
          <cell r="F300">
            <v>0</v>
          </cell>
          <cell r="G300">
            <v>0</v>
          </cell>
          <cell r="H300">
            <v>0</v>
          </cell>
          <cell r="I300">
            <v>0</v>
          </cell>
          <cell r="J300">
            <v>7287.0000296069838</v>
          </cell>
        </row>
        <row r="301">
          <cell r="A301">
            <v>283</v>
          </cell>
          <cell r="B301">
            <v>48115</v>
          </cell>
          <cell r="C301">
            <v>0</v>
          </cell>
          <cell r="D301">
            <v>1684.6189974051019</v>
          </cell>
          <cell r="E301">
            <v>0</v>
          </cell>
          <cell r="F301">
            <v>0</v>
          </cell>
          <cell r="G301">
            <v>0</v>
          </cell>
          <cell r="H301">
            <v>0</v>
          </cell>
          <cell r="I301">
            <v>0</v>
          </cell>
          <cell r="J301">
            <v>7287.0000296069838</v>
          </cell>
        </row>
        <row r="302">
          <cell r="A302">
            <v>284</v>
          </cell>
          <cell r="B302">
            <v>48145</v>
          </cell>
          <cell r="C302">
            <v>0</v>
          </cell>
          <cell r="D302">
            <v>1684.6189974051019</v>
          </cell>
          <cell r="E302">
            <v>0</v>
          </cell>
          <cell r="F302">
            <v>0</v>
          </cell>
          <cell r="G302">
            <v>0</v>
          </cell>
          <cell r="H302">
            <v>0</v>
          </cell>
          <cell r="I302">
            <v>0</v>
          </cell>
          <cell r="J302">
            <v>7287.0000296069838</v>
          </cell>
        </row>
        <row r="303">
          <cell r="A303">
            <v>285</v>
          </cell>
          <cell r="B303">
            <v>48176</v>
          </cell>
          <cell r="C303">
            <v>0</v>
          </cell>
          <cell r="D303">
            <v>1684.6189974051019</v>
          </cell>
          <cell r="E303">
            <v>0</v>
          </cell>
          <cell r="F303">
            <v>0</v>
          </cell>
          <cell r="G303">
            <v>0</v>
          </cell>
          <cell r="H303">
            <v>0</v>
          </cell>
          <cell r="I303">
            <v>0</v>
          </cell>
          <cell r="J303">
            <v>7287.0000296069838</v>
          </cell>
        </row>
        <row r="304">
          <cell r="A304">
            <v>286</v>
          </cell>
          <cell r="B304">
            <v>48206</v>
          </cell>
          <cell r="C304">
            <v>0</v>
          </cell>
          <cell r="D304">
            <v>1684.6189974051019</v>
          </cell>
          <cell r="E304">
            <v>0</v>
          </cell>
          <cell r="F304">
            <v>0</v>
          </cell>
          <cell r="G304">
            <v>0</v>
          </cell>
          <cell r="H304">
            <v>0</v>
          </cell>
          <cell r="I304">
            <v>0</v>
          </cell>
          <cell r="J304">
            <v>7287.0000296069838</v>
          </cell>
        </row>
        <row r="305">
          <cell r="A305">
            <v>287</v>
          </cell>
          <cell r="B305">
            <v>48237</v>
          </cell>
          <cell r="C305">
            <v>0</v>
          </cell>
          <cell r="D305">
            <v>1684.6189974051019</v>
          </cell>
          <cell r="E305">
            <v>0</v>
          </cell>
          <cell r="F305">
            <v>0</v>
          </cell>
          <cell r="G305">
            <v>0</v>
          </cell>
          <cell r="H305">
            <v>0</v>
          </cell>
          <cell r="I305">
            <v>0</v>
          </cell>
          <cell r="J305">
            <v>7287.0000296069838</v>
          </cell>
        </row>
        <row r="306">
          <cell r="A306">
            <v>288</v>
          </cell>
          <cell r="B306">
            <v>48268</v>
          </cell>
          <cell r="C306">
            <v>0</v>
          </cell>
          <cell r="D306">
            <v>1684.6189974051019</v>
          </cell>
          <cell r="E306">
            <v>0</v>
          </cell>
          <cell r="F306">
            <v>0</v>
          </cell>
          <cell r="G306">
            <v>0</v>
          </cell>
          <cell r="H306">
            <v>0</v>
          </cell>
          <cell r="I306">
            <v>0</v>
          </cell>
          <cell r="J306">
            <v>7287.0000296069838</v>
          </cell>
        </row>
        <row r="307">
          <cell r="A307">
            <v>289</v>
          </cell>
          <cell r="B307">
            <v>48297</v>
          </cell>
          <cell r="C307">
            <v>0</v>
          </cell>
          <cell r="D307">
            <v>1684.6189974051019</v>
          </cell>
          <cell r="E307">
            <v>0</v>
          </cell>
          <cell r="F307">
            <v>0</v>
          </cell>
          <cell r="G307">
            <v>0</v>
          </cell>
          <cell r="H307">
            <v>0</v>
          </cell>
          <cell r="I307">
            <v>0</v>
          </cell>
          <cell r="J307">
            <v>7287.0000296069838</v>
          </cell>
        </row>
        <row r="308">
          <cell r="A308">
            <v>290</v>
          </cell>
          <cell r="B308">
            <v>48328</v>
          </cell>
          <cell r="C308">
            <v>0</v>
          </cell>
          <cell r="D308">
            <v>1684.6189974051019</v>
          </cell>
          <cell r="E308">
            <v>0</v>
          </cell>
          <cell r="F308">
            <v>0</v>
          </cell>
          <cell r="G308">
            <v>0</v>
          </cell>
          <cell r="H308">
            <v>0</v>
          </cell>
          <cell r="I308">
            <v>0</v>
          </cell>
          <cell r="J308">
            <v>7287.0000296069838</v>
          </cell>
        </row>
        <row r="309">
          <cell r="A309">
            <v>291</v>
          </cell>
          <cell r="B309">
            <v>48358</v>
          </cell>
          <cell r="C309">
            <v>0</v>
          </cell>
          <cell r="D309">
            <v>1684.6189974051019</v>
          </cell>
          <cell r="E309">
            <v>0</v>
          </cell>
          <cell r="F309">
            <v>0</v>
          </cell>
          <cell r="G309">
            <v>0</v>
          </cell>
          <cell r="H309">
            <v>0</v>
          </cell>
          <cell r="I309">
            <v>0</v>
          </cell>
          <cell r="J309">
            <v>7287.0000296069838</v>
          </cell>
        </row>
        <row r="310">
          <cell r="A310">
            <v>292</v>
          </cell>
          <cell r="B310">
            <v>48389</v>
          </cell>
          <cell r="C310">
            <v>0</v>
          </cell>
          <cell r="D310">
            <v>1684.6189974051019</v>
          </cell>
          <cell r="E310">
            <v>0</v>
          </cell>
          <cell r="F310">
            <v>0</v>
          </cell>
          <cell r="G310">
            <v>0</v>
          </cell>
          <cell r="H310">
            <v>0</v>
          </cell>
          <cell r="I310">
            <v>0</v>
          </cell>
          <cell r="J310">
            <v>7287.0000296069838</v>
          </cell>
        </row>
        <row r="311">
          <cell r="A311">
            <v>293</v>
          </cell>
          <cell r="B311">
            <v>48419</v>
          </cell>
          <cell r="C311">
            <v>0</v>
          </cell>
          <cell r="D311">
            <v>1684.6189974051019</v>
          </cell>
          <cell r="E311">
            <v>0</v>
          </cell>
          <cell r="F311">
            <v>0</v>
          </cell>
          <cell r="G311">
            <v>0</v>
          </cell>
          <cell r="H311">
            <v>0</v>
          </cell>
          <cell r="I311">
            <v>0</v>
          </cell>
          <cell r="J311">
            <v>7287.0000296069838</v>
          </cell>
        </row>
        <row r="312">
          <cell r="A312">
            <v>294</v>
          </cell>
          <cell r="B312">
            <v>48450</v>
          </cell>
          <cell r="C312">
            <v>0</v>
          </cell>
          <cell r="D312">
            <v>1684.6189974051019</v>
          </cell>
          <cell r="E312">
            <v>0</v>
          </cell>
          <cell r="F312">
            <v>0</v>
          </cell>
          <cell r="G312">
            <v>0</v>
          </cell>
          <cell r="H312">
            <v>0</v>
          </cell>
          <cell r="I312">
            <v>0</v>
          </cell>
          <cell r="J312">
            <v>7287.0000296069838</v>
          </cell>
        </row>
        <row r="313">
          <cell r="A313">
            <v>295</v>
          </cell>
          <cell r="B313">
            <v>48481</v>
          </cell>
          <cell r="C313">
            <v>0</v>
          </cell>
          <cell r="D313">
            <v>1684.6189974051019</v>
          </cell>
          <cell r="E313">
            <v>0</v>
          </cell>
          <cell r="F313">
            <v>0</v>
          </cell>
          <cell r="G313">
            <v>0</v>
          </cell>
          <cell r="H313">
            <v>0</v>
          </cell>
          <cell r="I313">
            <v>0</v>
          </cell>
          <cell r="J313">
            <v>7287.0000296069838</v>
          </cell>
        </row>
        <row r="314">
          <cell r="A314">
            <v>296</v>
          </cell>
          <cell r="B314">
            <v>48511</v>
          </cell>
          <cell r="C314">
            <v>0</v>
          </cell>
          <cell r="D314">
            <v>1684.6189974051019</v>
          </cell>
          <cell r="E314">
            <v>0</v>
          </cell>
          <cell r="F314">
            <v>0</v>
          </cell>
          <cell r="G314">
            <v>0</v>
          </cell>
          <cell r="H314">
            <v>0</v>
          </cell>
          <cell r="I314">
            <v>0</v>
          </cell>
          <cell r="J314">
            <v>7287.0000296069838</v>
          </cell>
        </row>
        <row r="315">
          <cell r="A315">
            <v>297</v>
          </cell>
          <cell r="B315">
            <v>48542</v>
          </cell>
          <cell r="C315">
            <v>0</v>
          </cell>
          <cell r="D315">
            <v>1684.6189974051019</v>
          </cell>
          <cell r="E315">
            <v>0</v>
          </cell>
          <cell r="F315">
            <v>0</v>
          </cell>
          <cell r="G315">
            <v>0</v>
          </cell>
          <cell r="H315">
            <v>0</v>
          </cell>
          <cell r="I315">
            <v>0</v>
          </cell>
          <cell r="J315">
            <v>7287.0000296069838</v>
          </cell>
        </row>
        <row r="316">
          <cell r="A316">
            <v>298</v>
          </cell>
          <cell r="B316">
            <v>48572</v>
          </cell>
          <cell r="C316">
            <v>0</v>
          </cell>
          <cell r="D316">
            <v>1684.6189974051019</v>
          </cell>
          <cell r="E316">
            <v>0</v>
          </cell>
          <cell r="F316">
            <v>0</v>
          </cell>
          <cell r="G316">
            <v>0</v>
          </cell>
          <cell r="H316">
            <v>0</v>
          </cell>
          <cell r="I316">
            <v>0</v>
          </cell>
          <cell r="J316">
            <v>7287.0000296069838</v>
          </cell>
        </row>
        <row r="317">
          <cell r="A317">
            <v>299</v>
          </cell>
          <cell r="B317">
            <v>48603</v>
          </cell>
          <cell r="C317">
            <v>0</v>
          </cell>
          <cell r="D317">
            <v>1684.6189974051019</v>
          </cell>
          <cell r="E317">
            <v>0</v>
          </cell>
          <cell r="F317">
            <v>0</v>
          </cell>
          <cell r="G317">
            <v>0</v>
          </cell>
          <cell r="H317">
            <v>0</v>
          </cell>
          <cell r="I317">
            <v>0</v>
          </cell>
          <cell r="J317">
            <v>7287.0000296069838</v>
          </cell>
        </row>
        <row r="318">
          <cell r="A318">
            <v>300</v>
          </cell>
          <cell r="B318">
            <v>48634</v>
          </cell>
          <cell r="C318">
            <v>0</v>
          </cell>
          <cell r="D318">
            <v>1684.6189974051019</v>
          </cell>
          <cell r="E318">
            <v>0</v>
          </cell>
          <cell r="F318">
            <v>0</v>
          </cell>
          <cell r="G318">
            <v>0</v>
          </cell>
          <cell r="H318">
            <v>0</v>
          </cell>
          <cell r="I318">
            <v>0</v>
          </cell>
          <cell r="J318">
            <v>7287.0000296069838</v>
          </cell>
        </row>
        <row r="319">
          <cell r="A319">
            <v>301</v>
          </cell>
          <cell r="B319">
            <v>48662</v>
          </cell>
          <cell r="C319">
            <v>0</v>
          </cell>
          <cell r="D319">
            <v>1684.6189974051019</v>
          </cell>
          <cell r="E319">
            <v>0</v>
          </cell>
          <cell r="F319">
            <v>0</v>
          </cell>
          <cell r="G319">
            <v>0</v>
          </cell>
          <cell r="H319">
            <v>0</v>
          </cell>
          <cell r="I319">
            <v>0</v>
          </cell>
          <cell r="J319">
            <v>7287.0000296069838</v>
          </cell>
        </row>
        <row r="320">
          <cell r="A320">
            <v>302</v>
          </cell>
          <cell r="B320">
            <v>48693</v>
          </cell>
          <cell r="C320">
            <v>0</v>
          </cell>
          <cell r="D320">
            <v>1684.6189974051019</v>
          </cell>
          <cell r="E320">
            <v>0</v>
          </cell>
          <cell r="F320">
            <v>0</v>
          </cell>
          <cell r="G320">
            <v>0</v>
          </cell>
          <cell r="H320">
            <v>0</v>
          </cell>
          <cell r="I320">
            <v>0</v>
          </cell>
          <cell r="J320">
            <v>7287.0000296069838</v>
          </cell>
        </row>
        <row r="321">
          <cell r="A321">
            <v>303</v>
          </cell>
          <cell r="B321">
            <v>48723</v>
          </cell>
          <cell r="C321">
            <v>0</v>
          </cell>
          <cell r="D321">
            <v>1684.6189974051019</v>
          </cell>
          <cell r="E321">
            <v>0</v>
          </cell>
          <cell r="F321">
            <v>0</v>
          </cell>
          <cell r="G321">
            <v>0</v>
          </cell>
          <cell r="H321">
            <v>0</v>
          </cell>
          <cell r="I321">
            <v>0</v>
          </cell>
          <cell r="J321">
            <v>7287.0000296069838</v>
          </cell>
        </row>
        <row r="322">
          <cell r="A322">
            <v>304</v>
          </cell>
          <cell r="B322">
            <v>48754</v>
          </cell>
          <cell r="C322">
            <v>0</v>
          </cell>
          <cell r="D322">
            <v>1684.6189974051019</v>
          </cell>
          <cell r="E322">
            <v>0</v>
          </cell>
          <cell r="F322">
            <v>0</v>
          </cell>
          <cell r="G322">
            <v>0</v>
          </cell>
          <cell r="H322">
            <v>0</v>
          </cell>
          <cell r="I322">
            <v>0</v>
          </cell>
          <cell r="J322">
            <v>7287.0000296069838</v>
          </cell>
        </row>
        <row r="323">
          <cell r="A323">
            <v>305</v>
          </cell>
          <cell r="B323">
            <v>48784</v>
          </cell>
          <cell r="C323">
            <v>0</v>
          </cell>
          <cell r="D323">
            <v>1684.6189974051019</v>
          </cell>
          <cell r="E323">
            <v>0</v>
          </cell>
          <cell r="F323">
            <v>0</v>
          </cell>
          <cell r="G323">
            <v>0</v>
          </cell>
          <cell r="H323">
            <v>0</v>
          </cell>
          <cell r="I323">
            <v>0</v>
          </cell>
          <cell r="J323">
            <v>7287.0000296069838</v>
          </cell>
        </row>
        <row r="324">
          <cell r="A324">
            <v>306</v>
          </cell>
          <cell r="B324">
            <v>48815</v>
          </cell>
          <cell r="C324">
            <v>0</v>
          </cell>
          <cell r="D324">
            <v>1684.6189974051019</v>
          </cell>
          <cell r="E324">
            <v>0</v>
          </cell>
          <cell r="F324">
            <v>0</v>
          </cell>
          <cell r="G324">
            <v>0</v>
          </cell>
          <cell r="H324">
            <v>0</v>
          </cell>
          <cell r="I324">
            <v>0</v>
          </cell>
          <cell r="J324">
            <v>7287.0000296069838</v>
          </cell>
        </row>
        <row r="325">
          <cell r="A325">
            <v>307</v>
          </cell>
          <cell r="B325">
            <v>48846</v>
          </cell>
          <cell r="C325">
            <v>0</v>
          </cell>
          <cell r="D325">
            <v>1684.6189974051019</v>
          </cell>
          <cell r="E325">
            <v>0</v>
          </cell>
          <cell r="F325">
            <v>0</v>
          </cell>
          <cell r="G325">
            <v>0</v>
          </cell>
          <cell r="H325">
            <v>0</v>
          </cell>
          <cell r="I325">
            <v>0</v>
          </cell>
          <cell r="J325">
            <v>7287.0000296069838</v>
          </cell>
        </row>
        <row r="326">
          <cell r="A326">
            <v>308</v>
          </cell>
          <cell r="B326">
            <v>48876</v>
          </cell>
          <cell r="C326">
            <v>0</v>
          </cell>
          <cell r="D326">
            <v>1684.6189974051019</v>
          </cell>
          <cell r="E326">
            <v>0</v>
          </cell>
          <cell r="F326">
            <v>0</v>
          </cell>
          <cell r="G326">
            <v>0</v>
          </cell>
          <cell r="H326">
            <v>0</v>
          </cell>
          <cell r="I326">
            <v>0</v>
          </cell>
          <cell r="J326">
            <v>7287.0000296069838</v>
          </cell>
        </row>
        <row r="327">
          <cell r="A327">
            <v>309</v>
          </cell>
          <cell r="B327">
            <v>48907</v>
          </cell>
          <cell r="C327">
            <v>0</v>
          </cell>
          <cell r="D327">
            <v>1684.6189974051019</v>
          </cell>
          <cell r="E327">
            <v>0</v>
          </cell>
          <cell r="F327">
            <v>0</v>
          </cell>
          <cell r="G327">
            <v>0</v>
          </cell>
          <cell r="H327">
            <v>0</v>
          </cell>
          <cell r="I327">
            <v>0</v>
          </cell>
          <cell r="J327">
            <v>7287.0000296069838</v>
          </cell>
        </row>
        <row r="328">
          <cell r="A328">
            <v>310</v>
          </cell>
          <cell r="B328">
            <v>48937</v>
          </cell>
          <cell r="C328">
            <v>0</v>
          </cell>
          <cell r="D328">
            <v>1684.6189974051019</v>
          </cell>
          <cell r="E328">
            <v>0</v>
          </cell>
          <cell r="F328">
            <v>0</v>
          </cell>
          <cell r="G328">
            <v>0</v>
          </cell>
          <cell r="H328">
            <v>0</v>
          </cell>
          <cell r="I328">
            <v>0</v>
          </cell>
          <cell r="J328">
            <v>7287.0000296069838</v>
          </cell>
        </row>
        <row r="329">
          <cell r="A329">
            <v>311</v>
          </cell>
          <cell r="B329">
            <v>48968</v>
          </cell>
          <cell r="C329">
            <v>0</v>
          </cell>
          <cell r="D329">
            <v>1684.6189974051019</v>
          </cell>
          <cell r="E329">
            <v>0</v>
          </cell>
          <cell r="F329">
            <v>0</v>
          </cell>
          <cell r="G329">
            <v>0</v>
          </cell>
          <cell r="H329">
            <v>0</v>
          </cell>
          <cell r="I329">
            <v>0</v>
          </cell>
          <cell r="J329">
            <v>7287.0000296069838</v>
          </cell>
        </row>
        <row r="330">
          <cell r="A330">
            <v>312</v>
          </cell>
          <cell r="B330">
            <v>48999</v>
          </cell>
          <cell r="C330">
            <v>0</v>
          </cell>
          <cell r="D330">
            <v>1684.6189974051019</v>
          </cell>
          <cell r="E330">
            <v>0</v>
          </cell>
          <cell r="F330">
            <v>0</v>
          </cell>
          <cell r="G330">
            <v>0</v>
          </cell>
          <cell r="H330">
            <v>0</v>
          </cell>
          <cell r="I330">
            <v>0</v>
          </cell>
          <cell r="J330">
            <v>7287.0000296069838</v>
          </cell>
        </row>
        <row r="331">
          <cell r="A331">
            <v>313</v>
          </cell>
          <cell r="B331">
            <v>49027</v>
          </cell>
          <cell r="C331">
            <v>0</v>
          </cell>
          <cell r="D331">
            <v>1684.6189974051019</v>
          </cell>
          <cell r="E331">
            <v>0</v>
          </cell>
          <cell r="F331">
            <v>0</v>
          </cell>
          <cell r="G331">
            <v>0</v>
          </cell>
          <cell r="H331">
            <v>0</v>
          </cell>
          <cell r="I331">
            <v>0</v>
          </cell>
          <cell r="J331">
            <v>7287.0000296069838</v>
          </cell>
        </row>
        <row r="332">
          <cell r="A332">
            <v>314</v>
          </cell>
          <cell r="B332">
            <v>49058</v>
          </cell>
          <cell r="C332">
            <v>0</v>
          </cell>
          <cell r="D332">
            <v>1684.6189974051019</v>
          </cell>
          <cell r="E332">
            <v>0</v>
          </cell>
          <cell r="F332">
            <v>0</v>
          </cell>
          <cell r="G332">
            <v>0</v>
          </cell>
          <cell r="H332">
            <v>0</v>
          </cell>
          <cell r="I332">
            <v>0</v>
          </cell>
          <cell r="J332">
            <v>7287.0000296069838</v>
          </cell>
        </row>
        <row r="333">
          <cell r="A333">
            <v>315</v>
          </cell>
          <cell r="B333">
            <v>49088</v>
          </cell>
          <cell r="C333">
            <v>0</v>
          </cell>
          <cell r="D333">
            <v>1684.6189974051019</v>
          </cell>
          <cell r="E333">
            <v>0</v>
          </cell>
          <cell r="F333">
            <v>0</v>
          </cell>
          <cell r="G333">
            <v>0</v>
          </cell>
          <cell r="H333">
            <v>0</v>
          </cell>
          <cell r="I333">
            <v>0</v>
          </cell>
          <cell r="J333">
            <v>7287.0000296069838</v>
          </cell>
        </row>
        <row r="334">
          <cell r="A334">
            <v>316</v>
          </cell>
          <cell r="B334">
            <v>49119</v>
          </cell>
          <cell r="C334">
            <v>0</v>
          </cell>
          <cell r="D334">
            <v>1684.6189974051019</v>
          </cell>
          <cell r="E334">
            <v>0</v>
          </cell>
          <cell r="F334">
            <v>0</v>
          </cell>
          <cell r="G334">
            <v>0</v>
          </cell>
          <cell r="H334">
            <v>0</v>
          </cell>
          <cell r="I334">
            <v>0</v>
          </cell>
          <cell r="J334">
            <v>7287.0000296069838</v>
          </cell>
        </row>
        <row r="335">
          <cell r="A335">
            <v>317</v>
          </cell>
          <cell r="B335">
            <v>49149</v>
          </cell>
          <cell r="C335">
            <v>0</v>
          </cell>
          <cell r="D335">
            <v>1684.6189974051019</v>
          </cell>
          <cell r="E335">
            <v>0</v>
          </cell>
          <cell r="F335">
            <v>0</v>
          </cell>
          <cell r="G335">
            <v>0</v>
          </cell>
          <cell r="H335">
            <v>0</v>
          </cell>
          <cell r="I335">
            <v>0</v>
          </cell>
          <cell r="J335">
            <v>7287.0000296069838</v>
          </cell>
        </row>
        <row r="336">
          <cell r="A336">
            <v>318</v>
          </cell>
          <cell r="B336">
            <v>49180</v>
          </cell>
          <cell r="C336">
            <v>0</v>
          </cell>
          <cell r="D336">
            <v>1684.6189974051019</v>
          </cell>
          <cell r="E336">
            <v>0</v>
          </cell>
          <cell r="F336">
            <v>0</v>
          </cell>
          <cell r="G336">
            <v>0</v>
          </cell>
          <cell r="H336">
            <v>0</v>
          </cell>
          <cell r="I336">
            <v>0</v>
          </cell>
          <cell r="J336">
            <v>7287.0000296069838</v>
          </cell>
        </row>
        <row r="337">
          <cell r="A337">
            <v>319</v>
          </cell>
          <cell r="B337">
            <v>49211</v>
          </cell>
          <cell r="C337">
            <v>0</v>
          </cell>
          <cell r="D337">
            <v>1684.6189974051019</v>
          </cell>
          <cell r="E337">
            <v>0</v>
          </cell>
          <cell r="F337">
            <v>0</v>
          </cell>
          <cell r="G337">
            <v>0</v>
          </cell>
          <cell r="H337">
            <v>0</v>
          </cell>
          <cell r="I337">
            <v>0</v>
          </cell>
          <cell r="J337">
            <v>7287.0000296069838</v>
          </cell>
        </row>
        <row r="338">
          <cell r="A338">
            <v>320</v>
          </cell>
          <cell r="B338">
            <v>49241</v>
          </cell>
          <cell r="C338">
            <v>0</v>
          </cell>
          <cell r="D338">
            <v>1684.6189974051019</v>
          </cell>
          <cell r="E338">
            <v>0</v>
          </cell>
          <cell r="F338">
            <v>0</v>
          </cell>
          <cell r="G338">
            <v>0</v>
          </cell>
          <cell r="H338">
            <v>0</v>
          </cell>
          <cell r="I338">
            <v>0</v>
          </cell>
          <cell r="J338">
            <v>7287.0000296069838</v>
          </cell>
        </row>
        <row r="339">
          <cell r="A339">
            <v>321</v>
          </cell>
          <cell r="B339">
            <v>49272</v>
          </cell>
          <cell r="C339">
            <v>0</v>
          </cell>
          <cell r="D339">
            <v>1684.6189974051019</v>
          </cell>
          <cell r="E339">
            <v>0</v>
          </cell>
          <cell r="F339">
            <v>0</v>
          </cell>
          <cell r="G339">
            <v>0</v>
          </cell>
          <cell r="H339">
            <v>0</v>
          </cell>
          <cell r="I339">
            <v>0</v>
          </cell>
          <cell r="J339">
            <v>7287.0000296069838</v>
          </cell>
        </row>
        <row r="340">
          <cell r="A340">
            <v>322</v>
          </cell>
          <cell r="B340">
            <v>49302</v>
          </cell>
          <cell r="C340">
            <v>0</v>
          </cell>
          <cell r="D340">
            <v>1684.6189974051019</v>
          </cell>
          <cell r="E340">
            <v>0</v>
          </cell>
          <cell r="F340">
            <v>0</v>
          </cell>
          <cell r="G340">
            <v>0</v>
          </cell>
          <cell r="H340">
            <v>0</v>
          </cell>
          <cell r="I340">
            <v>0</v>
          </cell>
          <cell r="J340">
            <v>7287.0000296069838</v>
          </cell>
        </row>
        <row r="341">
          <cell r="A341">
            <v>323</v>
          </cell>
          <cell r="B341">
            <v>49333</v>
          </cell>
          <cell r="C341">
            <v>0</v>
          </cell>
          <cell r="D341">
            <v>1684.6189974051019</v>
          </cell>
          <cell r="E341">
            <v>0</v>
          </cell>
          <cell r="F341">
            <v>0</v>
          </cell>
          <cell r="G341">
            <v>0</v>
          </cell>
          <cell r="H341">
            <v>0</v>
          </cell>
          <cell r="I341">
            <v>0</v>
          </cell>
          <cell r="J341">
            <v>7287.0000296069838</v>
          </cell>
        </row>
        <row r="342">
          <cell r="A342">
            <v>324</v>
          </cell>
          <cell r="B342">
            <v>49364</v>
          </cell>
          <cell r="C342">
            <v>0</v>
          </cell>
          <cell r="D342">
            <v>1684.6189974051019</v>
          </cell>
          <cell r="E342">
            <v>0</v>
          </cell>
          <cell r="F342">
            <v>0</v>
          </cell>
          <cell r="G342">
            <v>0</v>
          </cell>
          <cell r="H342">
            <v>0</v>
          </cell>
          <cell r="I342">
            <v>0</v>
          </cell>
          <cell r="J342">
            <v>7287.0000296069838</v>
          </cell>
        </row>
        <row r="343">
          <cell r="A343">
            <v>325</v>
          </cell>
          <cell r="B343">
            <v>49392</v>
          </cell>
          <cell r="C343">
            <v>0</v>
          </cell>
          <cell r="D343">
            <v>1684.6189974051019</v>
          </cell>
          <cell r="E343">
            <v>0</v>
          </cell>
          <cell r="F343">
            <v>0</v>
          </cell>
          <cell r="G343">
            <v>0</v>
          </cell>
          <cell r="H343">
            <v>0</v>
          </cell>
          <cell r="I343">
            <v>0</v>
          </cell>
          <cell r="J343">
            <v>7287.0000296069838</v>
          </cell>
        </row>
        <row r="344">
          <cell r="A344">
            <v>326</v>
          </cell>
          <cell r="B344">
            <v>49423</v>
          </cell>
          <cell r="C344">
            <v>0</v>
          </cell>
          <cell r="D344">
            <v>1684.6189974051019</v>
          </cell>
          <cell r="E344">
            <v>0</v>
          </cell>
          <cell r="F344">
            <v>0</v>
          </cell>
          <cell r="G344">
            <v>0</v>
          </cell>
          <cell r="H344">
            <v>0</v>
          </cell>
          <cell r="I344">
            <v>0</v>
          </cell>
          <cell r="J344">
            <v>7287.0000296069838</v>
          </cell>
        </row>
        <row r="345">
          <cell r="A345">
            <v>327</v>
          </cell>
          <cell r="B345">
            <v>49453</v>
          </cell>
          <cell r="C345">
            <v>0</v>
          </cell>
          <cell r="D345">
            <v>1684.6189974051019</v>
          </cell>
          <cell r="E345">
            <v>0</v>
          </cell>
          <cell r="F345">
            <v>0</v>
          </cell>
          <cell r="G345">
            <v>0</v>
          </cell>
          <cell r="H345">
            <v>0</v>
          </cell>
          <cell r="I345">
            <v>0</v>
          </cell>
          <cell r="J345">
            <v>7287.0000296069838</v>
          </cell>
        </row>
        <row r="346">
          <cell r="A346">
            <v>328</v>
          </cell>
          <cell r="B346">
            <v>49484</v>
          </cell>
          <cell r="C346">
            <v>0</v>
          </cell>
          <cell r="D346">
            <v>1684.6189974051019</v>
          </cell>
          <cell r="E346">
            <v>0</v>
          </cell>
          <cell r="F346">
            <v>0</v>
          </cell>
          <cell r="G346">
            <v>0</v>
          </cell>
          <cell r="H346">
            <v>0</v>
          </cell>
          <cell r="I346">
            <v>0</v>
          </cell>
          <cell r="J346">
            <v>7287.0000296069838</v>
          </cell>
        </row>
        <row r="347">
          <cell r="A347">
            <v>329</v>
          </cell>
          <cell r="B347">
            <v>49514</v>
          </cell>
          <cell r="C347">
            <v>0</v>
          </cell>
          <cell r="D347">
            <v>1684.6189974051019</v>
          </cell>
          <cell r="E347">
            <v>0</v>
          </cell>
          <cell r="F347">
            <v>0</v>
          </cell>
          <cell r="G347">
            <v>0</v>
          </cell>
          <cell r="H347">
            <v>0</v>
          </cell>
          <cell r="I347">
            <v>0</v>
          </cell>
          <cell r="J347">
            <v>7287.0000296069838</v>
          </cell>
        </row>
        <row r="348">
          <cell r="A348">
            <v>330</v>
          </cell>
          <cell r="B348">
            <v>49545</v>
          </cell>
          <cell r="C348">
            <v>0</v>
          </cell>
          <cell r="D348">
            <v>1684.6189974051019</v>
          </cell>
          <cell r="E348">
            <v>0</v>
          </cell>
          <cell r="F348">
            <v>0</v>
          </cell>
          <cell r="G348">
            <v>0</v>
          </cell>
          <cell r="H348">
            <v>0</v>
          </cell>
          <cell r="I348">
            <v>0</v>
          </cell>
          <cell r="J348">
            <v>7287.0000296069838</v>
          </cell>
        </row>
        <row r="349">
          <cell r="A349">
            <v>331</v>
          </cell>
          <cell r="B349">
            <v>49576</v>
          </cell>
          <cell r="C349">
            <v>0</v>
          </cell>
          <cell r="D349">
            <v>1684.6189974051019</v>
          </cell>
          <cell r="E349">
            <v>0</v>
          </cell>
          <cell r="F349">
            <v>0</v>
          </cell>
          <cell r="G349">
            <v>0</v>
          </cell>
          <cell r="H349">
            <v>0</v>
          </cell>
          <cell r="I349">
            <v>0</v>
          </cell>
          <cell r="J349">
            <v>7287.0000296069838</v>
          </cell>
        </row>
        <row r="350">
          <cell r="A350">
            <v>332</v>
          </cell>
          <cell r="B350">
            <v>49606</v>
          </cell>
          <cell r="C350">
            <v>0</v>
          </cell>
          <cell r="D350">
            <v>1684.6189974051019</v>
          </cell>
          <cell r="E350">
            <v>0</v>
          </cell>
          <cell r="F350">
            <v>0</v>
          </cell>
          <cell r="G350">
            <v>0</v>
          </cell>
          <cell r="H350">
            <v>0</v>
          </cell>
          <cell r="I350">
            <v>0</v>
          </cell>
          <cell r="J350">
            <v>7287.0000296069838</v>
          </cell>
        </row>
        <row r="351">
          <cell r="A351">
            <v>333</v>
          </cell>
          <cell r="B351">
            <v>49637</v>
          </cell>
          <cell r="C351">
            <v>0</v>
          </cell>
          <cell r="D351">
            <v>1684.6189974051019</v>
          </cell>
          <cell r="E351">
            <v>0</v>
          </cell>
          <cell r="F351">
            <v>0</v>
          </cell>
          <cell r="G351">
            <v>0</v>
          </cell>
          <cell r="H351">
            <v>0</v>
          </cell>
          <cell r="I351">
            <v>0</v>
          </cell>
          <cell r="J351">
            <v>7287.0000296069838</v>
          </cell>
        </row>
        <row r="352">
          <cell r="A352">
            <v>334</v>
          </cell>
          <cell r="B352">
            <v>49667</v>
          </cell>
          <cell r="C352">
            <v>0</v>
          </cell>
          <cell r="D352">
            <v>1684.6189974051019</v>
          </cell>
          <cell r="E352">
            <v>0</v>
          </cell>
          <cell r="F352">
            <v>0</v>
          </cell>
          <cell r="G352">
            <v>0</v>
          </cell>
          <cell r="H352">
            <v>0</v>
          </cell>
          <cell r="I352">
            <v>0</v>
          </cell>
          <cell r="J352">
            <v>7287.0000296069838</v>
          </cell>
        </row>
        <row r="353">
          <cell r="A353">
            <v>335</v>
          </cell>
          <cell r="B353">
            <v>49698</v>
          </cell>
          <cell r="C353">
            <v>0</v>
          </cell>
          <cell r="D353">
            <v>1684.6189974051019</v>
          </cell>
          <cell r="E353">
            <v>0</v>
          </cell>
          <cell r="F353">
            <v>0</v>
          </cell>
          <cell r="G353">
            <v>0</v>
          </cell>
          <cell r="H353">
            <v>0</v>
          </cell>
          <cell r="I353">
            <v>0</v>
          </cell>
          <cell r="J353">
            <v>7287.0000296069838</v>
          </cell>
        </row>
        <row r="354">
          <cell r="A354">
            <v>336</v>
          </cell>
          <cell r="B354">
            <v>49729</v>
          </cell>
          <cell r="C354">
            <v>0</v>
          </cell>
          <cell r="D354">
            <v>1684.6189974051019</v>
          </cell>
          <cell r="E354">
            <v>0</v>
          </cell>
          <cell r="F354">
            <v>0</v>
          </cell>
          <cell r="G354">
            <v>0</v>
          </cell>
          <cell r="H354">
            <v>0</v>
          </cell>
          <cell r="I354">
            <v>0</v>
          </cell>
          <cell r="J354">
            <v>7287.0000296069838</v>
          </cell>
        </row>
        <row r="355">
          <cell r="A355">
            <v>337</v>
          </cell>
          <cell r="B355">
            <v>49758</v>
          </cell>
          <cell r="C355">
            <v>0</v>
          </cell>
          <cell r="D355">
            <v>1684.6189974051019</v>
          </cell>
          <cell r="E355">
            <v>0</v>
          </cell>
          <cell r="F355">
            <v>0</v>
          </cell>
          <cell r="G355">
            <v>0</v>
          </cell>
          <cell r="H355">
            <v>0</v>
          </cell>
          <cell r="I355">
            <v>0</v>
          </cell>
          <cell r="J355">
            <v>7287.0000296069838</v>
          </cell>
        </row>
        <row r="356">
          <cell r="A356">
            <v>338</v>
          </cell>
          <cell r="B356">
            <v>49789</v>
          </cell>
          <cell r="C356">
            <v>0</v>
          </cell>
          <cell r="D356">
            <v>1684.6189974051019</v>
          </cell>
          <cell r="E356">
            <v>0</v>
          </cell>
          <cell r="F356">
            <v>0</v>
          </cell>
          <cell r="G356">
            <v>0</v>
          </cell>
          <cell r="H356">
            <v>0</v>
          </cell>
          <cell r="I356">
            <v>0</v>
          </cell>
          <cell r="J356">
            <v>7287.0000296069838</v>
          </cell>
        </row>
        <row r="357">
          <cell r="A357">
            <v>339</v>
          </cell>
          <cell r="B357">
            <v>49819</v>
          </cell>
          <cell r="C357">
            <v>0</v>
          </cell>
          <cell r="D357">
            <v>1684.6189974051019</v>
          </cell>
          <cell r="E357">
            <v>0</v>
          </cell>
          <cell r="F357">
            <v>0</v>
          </cell>
          <cell r="G357">
            <v>0</v>
          </cell>
          <cell r="H357">
            <v>0</v>
          </cell>
          <cell r="I357">
            <v>0</v>
          </cell>
          <cell r="J357">
            <v>7287.0000296069838</v>
          </cell>
        </row>
        <row r="358">
          <cell r="A358">
            <v>340</v>
          </cell>
          <cell r="B358">
            <v>49850</v>
          </cell>
          <cell r="C358">
            <v>0</v>
          </cell>
          <cell r="D358">
            <v>1684.6189974051019</v>
          </cell>
          <cell r="E358">
            <v>0</v>
          </cell>
          <cell r="F358">
            <v>0</v>
          </cell>
          <cell r="G358">
            <v>0</v>
          </cell>
          <cell r="H358">
            <v>0</v>
          </cell>
          <cell r="I358">
            <v>0</v>
          </cell>
          <cell r="J358">
            <v>7287.0000296069838</v>
          </cell>
        </row>
        <row r="359">
          <cell r="A359">
            <v>341</v>
          </cell>
          <cell r="B359">
            <v>49880</v>
          </cell>
          <cell r="C359">
            <v>0</v>
          </cell>
          <cell r="D359">
            <v>1684.6189974051019</v>
          </cell>
          <cell r="E359">
            <v>0</v>
          </cell>
          <cell r="F359">
            <v>0</v>
          </cell>
          <cell r="G359">
            <v>0</v>
          </cell>
          <cell r="H359">
            <v>0</v>
          </cell>
          <cell r="I359">
            <v>0</v>
          </cell>
          <cell r="J359">
            <v>7287.0000296069838</v>
          </cell>
        </row>
        <row r="360">
          <cell r="A360">
            <v>342</v>
          </cell>
          <cell r="B360">
            <v>49911</v>
          </cell>
          <cell r="C360">
            <v>0</v>
          </cell>
          <cell r="D360">
            <v>1684.6189974051019</v>
          </cell>
          <cell r="E360">
            <v>0</v>
          </cell>
          <cell r="F360">
            <v>0</v>
          </cell>
          <cell r="G360">
            <v>0</v>
          </cell>
          <cell r="H360">
            <v>0</v>
          </cell>
          <cell r="I360">
            <v>0</v>
          </cell>
          <cell r="J360">
            <v>7287.0000296069838</v>
          </cell>
        </row>
        <row r="361">
          <cell r="A361">
            <v>343</v>
          </cell>
          <cell r="B361">
            <v>49942</v>
          </cell>
          <cell r="C361">
            <v>0</v>
          </cell>
          <cell r="D361">
            <v>1684.6189974051019</v>
          </cell>
          <cell r="E361">
            <v>0</v>
          </cell>
          <cell r="F361">
            <v>0</v>
          </cell>
          <cell r="G361">
            <v>0</v>
          </cell>
          <cell r="H361">
            <v>0</v>
          </cell>
          <cell r="I361">
            <v>0</v>
          </cell>
          <cell r="J361">
            <v>7287.0000296069838</v>
          </cell>
        </row>
        <row r="362">
          <cell r="A362">
            <v>344</v>
          </cell>
          <cell r="B362">
            <v>49972</v>
          </cell>
          <cell r="C362">
            <v>0</v>
          </cell>
          <cell r="D362">
            <v>1684.6189974051019</v>
          </cell>
          <cell r="E362">
            <v>0</v>
          </cell>
          <cell r="F362">
            <v>0</v>
          </cell>
          <cell r="G362">
            <v>0</v>
          </cell>
          <cell r="H362">
            <v>0</v>
          </cell>
          <cell r="I362">
            <v>0</v>
          </cell>
          <cell r="J362">
            <v>7287.0000296069838</v>
          </cell>
        </row>
        <row r="363">
          <cell r="A363">
            <v>345</v>
          </cell>
          <cell r="B363">
            <v>50003</v>
          </cell>
          <cell r="C363">
            <v>0</v>
          </cell>
          <cell r="D363">
            <v>1684.6189974051019</v>
          </cell>
          <cell r="E363">
            <v>0</v>
          </cell>
          <cell r="F363">
            <v>0</v>
          </cell>
          <cell r="G363">
            <v>0</v>
          </cell>
          <cell r="H363">
            <v>0</v>
          </cell>
          <cell r="I363">
            <v>0</v>
          </cell>
          <cell r="J363">
            <v>7287.0000296069838</v>
          </cell>
        </row>
        <row r="364">
          <cell r="A364">
            <v>346</v>
          </cell>
          <cell r="B364">
            <v>50033</v>
          </cell>
          <cell r="C364">
            <v>0</v>
          </cell>
          <cell r="D364">
            <v>1684.6189974051019</v>
          </cell>
          <cell r="E364">
            <v>0</v>
          </cell>
          <cell r="F364">
            <v>0</v>
          </cell>
          <cell r="G364">
            <v>0</v>
          </cell>
          <cell r="H364">
            <v>0</v>
          </cell>
          <cell r="I364">
            <v>0</v>
          </cell>
          <cell r="J364">
            <v>7287.0000296069838</v>
          </cell>
        </row>
        <row r="365">
          <cell r="A365">
            <v>347</v>
          </cell>
          <cell r="B365">
            <v>50064</v>
          </cell>
          <cell r="C365">
            <v>0</v>
          </cell>
          <cell r="D365">
            <v>1684.6189974051019</v>
          </cell>
          <cell r="E365">
            <v>0</v>
          </cell>
          <cell r="F365">
            <v>0</v>
          </cell>
          <cell r="G365">
            <v>0</v>
          </cell>
          <cell r="H365">
            <v>0</v>
          </cell>
          <cell r="I365">
            <v>0</v>
          </cell>
          <cell r="J365">
            <v>7287.0000296069838</v>
          </cell>
        </row>
        <row r="366">
          <cell r="A366">
            <v>348</v>
          </cell>
          <cell r="B366">
            <v>50095</v>
          </cell>
          <cell r="C366">
            <v>0</v>
          </cell>
          <cell r="D366">
            <v>1684.6189974051019</v>
          </cell>
          <cell r="E366">
            <v>0</v>
          </cell>
          <cell r="F366">
            <v>0</v>
          </cell>
          <cell r="G366">
            <v>0</v>
          </cell>
          <cell r="H366">
            <v>0</v>
          </cell>
          <cell r="I366">
            <v>0</v>
          </cell>
          <cell r="J366">
            <v>7287.0000296069838</v>
          </cell>
        </row>
        <row r="367">
          <cell r="A367">
            <v>349</v>
          </cell>
          <cell r="B367">
            <v>50123</v>
          </cell>
          <cell r="C367">
            <v>0</v>
          </cell>
          <cell r="D367">
            <v>1684.6189974051019</v>
          </cell>
          <cell r="E367">
            <v>0</v>
          </cell>
          <cell r="F367">
            <v>0</v>
          </cell>
          <cell r="G367">
            <v>0</v>
          </cell>
          <cell r="H367">
            <v>0</v>
          </cell>
          <cell r="I367">
            <v>0</v>
          </cell>
          <cell r="J367">
            <v>7287.0000296069838</v>
          </cell>
        </row>
        <row r="368">
          <cell r="A368">
            <v>350</v>
          </cell>
          <cell r="B368">
            <v>50154</v>
          </cell>
          <cell r="C368">
            <v>0</v>
          </cell>
          <cell r="D368">
            <v>1684.6189974051019</v>
          </cell>
          <cell r="E368">
            <v>0</v>
          </cell>
          <cell r="F368">
            <v>0</v>
          </cell>
          <cell r="G368">
            <v>0</v>
          </cell>
          <cell r="H368">
            <v>0</v>
          </cell>
          <cell r="I368">
            <v>0</v>
          </cell>
          <cell r="J368">
            <v>7287.0000296069838</v>
          </cell>
        </row>
        <row r="369">
          <cell r="A369">
            <v>351</v>
          </cell>
          <cell r="B369">
            <v>50184</v>
          </cell>
          <cell r="C369">
            <v>0</v>
          </cell>
          <cell r="D369">
            <v>1684.6189974051019</v>
          </cell>
          <cell r="E369">
            <v>0</v>
          </cell>
          <cell r="F369">
            <v>0</v>
          </cell>
          <cell r="G369">
            <v>0</v>
          </cell>
          <cell r="H369">
            <v>0</v>
          </cell>
          <cell r="I369">
            <v>0</v>
          </cell>
          <cell r="J369">
            <v>7287.0000296069838</v>
          </cell>
        </row>
        <row r="370">
          <cell r="A370">
            <v>352</v>
          </cell>
          <cell r="B370">
            <v>50215</v>
          </cell>
          <cell r="C370">
            <v>0</v>
          </cell>
          <cell r="D370">
            <v>1684.6189974051019</v>
          </cell>
          <cell r="E370">
            <v>0</v>
          </cell>
          <cell r="F370">
            <v>0</v>
          </cell>
          <cell r="G370">
            <v>0</v>
          </cell>
          <cell r="H370">
            <v>0</v>
          </cell>
          <cell r="I370">
            <v>0</v>
          </cell>
          <cell r="J370">
            <v>7287.0000296069838</v>
          </cell>
        </row>
        <row r="371">
          <cell r="A371">
            <v>353</v>
          </cell>
          <cell r="B371">
            <v>50245</v>
          </cell>
          <cell r="C371">
            <v>0</v>
          </cell>
          <cell r="D371">
            <v>1684.6189974051019</v>
          </cell>
          <cell r="E371">
            <v>0</v>
          </cell>
          <cell r="F371">
            <v>0</v>
          </cell>
          <cell r="G371">
            <v>0</v>
          </cell>
          <cell r="H371">
            <v>0</v>
          </cell>
          <cell r="I371">
            <v>0</v>
          </cell>
          <cell r="J371">
            <v>7287.0000296069838</v>
          </cell>
        </row>
        <row r="372">
          <cell r="A372">
            <v>354</v>
          </cell>
          <cell r="B372">
            <v>50276</v>
          </cell>
          <cell r="C372">
            <v>0</v>
          </cell>
          <cell r="D372">
            <v>1684.6189974051019</v>
          </cell>
          <cell r="E372">
            <v>0</v>
          </cell>
          <cell r="F372">
            <v>0</v>
          </cell>
          <cell r="G372">
            <v>0</v>
          </cell>
          <cell r="H372">
            <v>0</v>
          </cell>
          <cell r="I372">
            <v>0</v>
          </cell>
          <cell r="J372">
            <v>7287.0000296069838</v>
          </cell>
        </row>
        <row r="373">
          <cell r="A373">
            <v>355</v>
          </cell>
          <cell r="B373">
            <v>50307</v>
          </cell>
          <cell r="C373">
            <v>0</v>
          </cell>
          <cell r="D373">
            <v>1684.6189974051019</v>
          </cell>
          <cell r="E373">
            <v>0</v>
          </cell>
          <cell r="F373">
            <v>0</v>
          </cell>
          <cell r="G373">
            <v>0</v>
          </cell>
          <cell r="H373">
            <v>0</v>
          </cell>
          <cell r="I373">
            <v>0</v>
          </cell>
          <cell r="J373">
            <v>7287.0000296069838</v>
          </cell>
        </row>
        <row r="374">
          <cell r="A374">
            <v>356</v>
          </cell>
          <cell r="B374">
            <v>50337</v>
          </cell>
          <cell r="C374">
            <v>0</v>
          </cell>
          <cell r="D374">
            <v>1684.6189974051019</v>
          </cell>
          <cell r="E374">
            <v>0</v>
          </cell>
          <cell r="F374">
            <v>0</v>
          </cell>
          <cell r="G374">
            <v>0</v>
          </cell>
          <cell r="H374">
            <v>0</v>
          </cell>
          <cell r="I374">
            <v>0</v>
          </cell>
          <cell r="J374">
            <v>7287.0000296069838</v>
          </cell>
        </row>
        <row r="375">
          <cell r="A375">
            <v>357</v>
          </cell>
          <cell r="B375">
            <v>50368</v>
          </cell>
          <cell r="C375">
            <v>0</v>
          </cell>
          <cell r="D375">
            <v>1684.6189974051019</v>
          </cell>
          <cell r="E375">
            <v>0</v>
          </cell>
          <cell r="F375">
            <v>0</v>
          </cell>
          <cell r="G375">
            <v>0</v>
          </cell>
          <cell r="H375">
            <v>0</v>
          </cell>
          <cell r="I375">
            <v>0</v>
          </cell>
          <cell r="J375">
            <v>7287.0000296069838</v>
          </cell>
        </row>
        <row r="376">
          <cell r="A376">
            <v>358</v>
          </cell>
          <cell r="B376">
            <v>50398</v>
          </cell>
          <cell r="C376">
            <v>0</v>
          </cell>
          <cell r="D376">
            <v>1684.6189974051019</v>
          </cell>
          <cell r="E376">
            <v>0</v>
          </cell>
          <cell r="F376">
            <v>0</v>
          </cell>
          <cell r="G376">
            <v>0</v>
          </cell>
          <cell r="H376">
            <v>0</v>
          </cell>
          <cell r="I376">
            <v>0</v>
          </cell>
          <cell r="J376">
            <v>7287.0000296069838</v>
          </cell>
        </row>
        <row r="377">
          <cell r="A377">
            <v>359</v>
          </cell>
          <cell r="B377">
            <v>50429</v>
          </cell>
          <cell r="C377">
            <v>0</v>
          </cell>
          <cell r="D377">
            <v>1684.6189974051019</v>
          </cell>
          <cell r="E377">
            <v>0</v>
          </cell>
          <cell r="F377">
            <v>0</v>
          </cell>
          <cell r="G377">
            <v>0</v>
          </cell>
          <cell r="H377">
            <v>0</v>
          </cell>
          <cell r="I377">
            <v>0</v>
          </cell>
          <cell r="J377">
            <v>7287.0000296069838</v>
          </cell>
        </row>
        <row r="378">
          <cell r="A378">
            <v>360</v>
          </cell>
          <cell r="B378">
            <v>50460</v>
          </cell>
          <cell r="C378">
            <v>0</v>
          </cell>
          <cell r="D378">
            <v>1684.6189974051019</v>
          </cell>
          <cell r="E378">
            <v>0</v>
          </cell>
          <cell r="F378">
            <v>0</v>
          </cell>
          <cell r="G378">
            <v>0</v>
          </cell>
          <cell r="H378">
            <v>0</v>
          </cell>
          <cell r="I378">
            <v>0</v>
          </cell>
          <cell r="J378">
            <v>7287.0000296069838</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Lookups model"/>
    </sheetNames>
    <definedNames>
      <definedName name="Loan_Start" refersTo="#REF!"/>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xed Costs"/>
      <sheetName val="Breakeven"/>
    </sheetNames>
    <sheetDataSet>
      <sheetData sheetId="0">
        <row r="13">
          <cell r="F13">
            <v>78000</v>
          </cell>
        </row>
        <row r="14">
          <cell r="F14">
            <v>68000</v>
          </cell>
        </row>
        <row r="15">
          <cell r="F15">
            <v>66000</v>
          </cell>
        </row>
        <row r="16">
          <cell r="F16">
            <v>66000</v>
          </cell>
        </row>
        <row r="17">
          <cell r="F17">
            <v>66500</v>
          </cell>
        </row>
        <row r="18">
          <cell r="F18">
            <v>75500</v>
          </cell>
        </row>
        <row r="19">
          <cell r="F19">
            <v>75500</v>
          </cell>
        </row>
        <row r="20">
          <cell r="F20">
            <v>75500</v>
          </cell>
        </row>
        <row r="21">
          <cell r="F21">
            <v>85000</v>
          </cell>
        </row>
        <row r="22">
          <cell r="F22">
            <v>85000</v>
          </cell>
        </row>
        <row r="23">
          <cell r="F23">
            <v>85000</v>
          </cell>
        </row>
        <row r="24">
          <cell r="F24">
            <v>85000</v>
          </cell>
        </row>
        <row r="28">
          <cell r="F28">
            <v>94500</v>
          </cell>
        </row>
        <row r="29">
          <cell r="F29">
            <v>94500</v>
          </cell>
        </row>
        <row r="30">
          <cell r="F30">
            <v>94500</v>
          </cell>
        </row>
        <row r="31">
          <cell r="F31">
            <v>103000</v>
          </cell>
        </row>
        <row r="32">
          <cell r="F32">
            <v>103000</v>
          </cell>
        </row>
        <row r="33">
          <cell r="F33">
            <v>118000</v>
          </cell>
        </row>
        <row r="34">
          <cell r="F34">
            <v>118500</v>
          </cell>
        </row>
        <row r="35">
          <cell r="F35">
            <v>118500</v>
          </cell>
        </row>
        <row r="36">
          <cell r="F36">
            <v>133500</v>
          </cell>
        </row>
        <row r="37">
          <cell r="F37">
            <v>134000</v>
          </cell>
        </row>
        <row r="38">
          <cell r="F38">
            <v>134000</v>
          </cell>
        </row>
        <row r="39">
          <cell r="F39">
            <v>150500</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carab.us/ibph0"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opLeftCell="A12" zoomScale="60" zoomScaleNormal="60" workbookViewId="0">
      <selection activeCell="D22" sqref="D22"/>
    </sheetView>
  </sheetViews>
  <sheetFormatPr defaultRowHeight="14.5" x14ac:dyDescent="0.35"/>
  <cols>
    <col min="1" max="1" width="3.1796875" customWidth="1"/>
    <col min="2" max="2" width="2" customWidth="1"/>
    <col min="3" max="3" width="27.1796875" customWidth="1"/>
    <col min="4" max="4" width="71.54296875" customWidth="1"/>
    <col min="5" max="5" width="0.81640625" customWidth="1"/>
    <col min="6" max="7" width="2.81640625" customWidth="1"/>
  </cols>
  <sheetData>
    <row r="1" spans="1:7" x14ac:dyDescent="0.35">
      <c r="A1" s="83"/>
      <c r="B1" s="83"/>
      <c r="C1" s="51"/>
      <c r="D1" s="51"/>
      <c r="E1" s="51"/>
      <c r="F1" s="51"/>
      <c r="G1" s="83"/>
    </row>
    <row r="2" spans="1:7" x14ac:dyDescent="0.35">
      <c r="A2" s="83"/>
      <c r="B2" s="83"/>
      <c r="C2" s="53" t="s">
        <v>57</v>
      </c>
      <c r="D2" s="62" t="s">
        <v>58</v>
      </c>
      <c r="E2" s="58"/>
      <c r="F2" s="51"/>
      <c r="G2" s="83"/>
    </row>
    <row r="3" spans="1:7" x14ac:dyDescent="0.35">
      <c r="A3" s="83"/>
      <c r="B3" s="83"/>
      <c r="C3" s="51"/>
      <c r="D3" s="51"/>
      <c r="E3" s="51"/>
      <c r="F3" s="51"/>
      <c r="G3" s="83"/>
    </row>
    <row r="4" spans="1:7" ht="43.5" x14ac:dyDescent="0.35">
      <c r="A4" s="83"/>
      <c r="B4" s="83"/>
      <c r="C4" s="63" t="s">
        <v>59</v>
      </c>
      <c r="D4" s="64" t="s">
        <v>60</v>
      </c>
      <c r="E4" s="59"/>
      <c r="F4" s="51"/>
      <c r="G4" s="83"/>
    </row>
    <row r="5" spans="1:7" ht="8.15" customHeight="1" x14ac:dyDescent="0.35">
      <c r="A5" s="83"/>
      <c r="B5" s="83"/>
      <c r="C5" s="51"/>
      <c r="D5" s="51"/>
      <c r="E5" s="51"/>
      <c r="F5" s="51"/>
      <c r="G5" s="83"/>
    </row>
    <row r="6" spans="1:7" ht="35.15" customHeight="1" x14ac:dyDescent="0.35">
      <c r="A6" s="83"/>
      <c r="B6" s="83"/>
      <c r="C6" s="65" t="s">
        <v>61</v>
      </c>
      <c r="D6" s="61" t="s">
        <v>100</v>
      </c>
      <c r="E6" s="60"/>
      <c r="F6" s="56"/>
      <c r="G6" s="83"/>
    </row>
    <row r="7" spans="1:7" ht="8.15" customHeight="1" x14ac:dyDescent="0.35">
      <c r="A7" s="83"/>
      <c r="B7" s="83"/>
      <c r="C7" s="52"/>
      <c r="D7" s="51"/>
      <c r="E7" s="51"/>
      <c r="F7" s="51"/>
      <c r="G7" s="83"/>
    </row>
    <row r="8" spans="1:7" ht="35.15" customHeight="1" x14ac:dyDescent="0.35">
      <c r="A8" s="83"/>
      <c r="B8" s="83"/>
      <c r="C8" s="66" t="s">
        <v>62</v>
      </c>
      <c r="D8" s="61" t="s">
        <v>101</v>
      </c>
      <c r="E8" s="60"/>
      <c r="F8" s="55"/>
      <c r="G8" s="83"/>
    </row>
    <row r="9" spans="1:7" ht="8.15" customHeight="1" x14ac:dyDescent="0.35">
      <c r="A9" s="83"/>
      <c r="B9" s="83"/>
      <c r="C9" s="52"/>
      <c r="D9" s="51"/>
      <c r="E9" s="51"/>
      <c r="F9" s="51"/>
      <c r="G9" s="83"/>
    </row>
    <row r="10" spans="1:7" ht="35.15" customHeight="1" x14ac:dyDescent="0.35">
      <c r="A10" s="83"/>
      <c r="B10" s="83"/>
      <c r="C10" s="66" t="s">
        <v>63</v>
      </c>
      <c r="D10" s="61" t="s">
        <v>102</v>
      </c>
      <c r="E10" s="60"/>
      <c r="F10" s="55"/>
      <c r="G10" s="83"/>
    </row>
    <row r="11" spans="1:7" ht="8.15" customHeight="1" x14ac:dyDescent="0.35">
      <c r="A11" s="83"/>
      <c r="B11" s="83"/>
      <c r="C11" s="51"/>
      <c r="D11" s="51"/>
      <c r="E11" s="51"/>
      <c r="F11" s="51"/>
      <c r="G11" s="83"/>
    </row>
    <row r="12" spans="1:7" ht="35.15" customHeight="1" x14ac:dyDescent="0.35">
      <c r="A12" s="83"/>
      <c r="B12" s="83"/>
      <c r="C12" s="66" t="s">
        <v>64</v>
      </c>
      <c r="D12" s="61" t="s">
        <v>103</v>
      </c>
      <c r="E12" s="60"/>
      <c r="F12" s="55"/>
      <c r="G12" s="83"/>
    </row>
    <row r="13" spans="1:7" ht="8.15" customHeight="1" x14ac:dyDescent="0.35">
      <c r="A13" s="83"/>
      <c r="B13" s="83"/>
      <c r="C13" s="51"/>
      <c r="D13" s="51"/>
      <c r="E13" s="51"/>
      <c r="F13" s="51"/>
      <c r="G13" s="83"/>
    </row>
    <row r="14" spans="1:7" ht="35.15" customHeight="1" x14ac:dyDescent="0.35">
      <c r="A14" s="83"/>
      <c r="B14" s="83"/>
      <c r="C14" s="67" t="s">
        <v>65</v>
      </c>
      <c r="D14" s="61" t="s">
        <v>104</v>
      </c>
      <c r="E14" s="60"/>
      <c r="F14" s="54"/>
      <c r="G14" s="83"/>
    </row>
    <row r="15" spans="1:7" ht="8.15" customHeight="1" x14ac:dyDescent="0.35">
      <c r="A15" s="83"/>
      <c r="B15" s="83"/>
      <c r="C15" s="51"/>
      <c r="D15" s="51"/>
      <c r="E15" s="51"/>
      <c r="F15" s="51"/>
      <c r="G15" s="83"/>
    </row>
    <row r="16" spans="1:7" ht="35.15" customHeight="1" x14ac:dyDescent="0.35">
      <c r="A16" s="83"/>
      <c r="B16" s="83"/>
      <c r="C16" s="68" t="s">
        <v>66</v>
      </c>
      <c r="D16" s="61" t="s">
        <v>105</v>
      </c>
      <c r="E16" s="60"/>
      <c r="F16" s="57"/>
      <c r="G16" s="83"/>
    </row>
    <row r="17" spans="1:7" ht="8.15" customHeight="1" x14ac:dyDescent="0.35">
      <c r="A17" s="83"/>
      <c r="B17" s="83"/>
      <c r="C17" s="51"/>
      <c r="D17" s="51"/>
      <c r="E17" s="51"/>
      <c r="F17" s="51"/>
      <c r="G17" s="83"/>
    </row>
    <row r="18" spans="1:7" ht="35.15" customHeight="1" x14ac:dyDescent="0.35">
      <c r="A18" s="83"/>
      <c r="B18" s="83"/>
      <c r="C18" s="68" t="s">
        <v>67</v>
      </c>
      <c r="D18" s="61" t="s">
        <v>106</v>
      </c>
      <c r="E18" s="60"/>
      <c r="F18" s="57"/>
      <c r="G18" s="83"/>
    </row>
    <row r="19" spans="1:7" ht="8.15" customHeight="1" x14ac:dyDescent="0.35">
      <c r="A19" s="83"/>
      <c r="B19" s="83"/>
      <c r="C19" s="51"/>
      <c r="D19" s="51"/>
      <c r="E19" s="51"/>
      <c r="F19" s="51"/>
      <c r="G19" s="83"/>
    </row>
    <row r="20" spans="1:7" ht="35.15" customHeight="1" x14ac:dyDescent="0.35">
      <c r="A20" s="83"/>
      <c r="B20" s="83"/>
      <c r="C20" s="68" t="s">
        <v>68</v>
      </c>
      <c r="D20" s="61" t="s">
        <v>107</v>
      </c>
      <c r="E20" s="60"/>
      <c r="F20" s="57"/>
      <c r="G20" s="83"/>
    </row>
    <row r="21" spans="1:7" ht="8.15" customHeight="1" x14ac:dyDescent="0.35">
      <c r="A21" s="83"/>
      <c r="B21" s="83"/>
      <c r="C21" s="51"/>
      <c r="D21" s="51"/>
      <c r="E21" s="51"/>
      <c r="F21" s="51"/>
      <c r="G21" s="83"/>
    </row>
    <row r="22" spans="1:7" ht="35.15" customHeight="1" x14ac:dyDescent="0.35">
      <c r="A22" s="83"/>
      <c r="B22" s="83"/>
      <c r="C22" s="67" t="s">
        <v>69</v>
      </c>
      <c r="D22" s="61" t="s">
        <v>108</v>
      </c>
      <c r="E22" s="60"/>
      <c r="F22" s="54"/>
      <c r="G22" s="83"/>
    </row>
    <row r="23" spans="1:7" x14ac:dyDescent="0.35">
      <c r="A23" s="83"/>
      <c r="B23" s="83"/>
      <c r="C23" s="51"/>
      <c r="D23" s="51"/>
      <c r="E23" s="51"/>
      <c r="F23" s="51"/>
      <c r="G23" s="83"/>
    </row>
  </sheetData>
  <sheetProtection password="8B33" sheet="1" objects="1" scenarios="1" selectLockedCells="1"/>
  <mergeCells count="3">
    <mergeCell ref="A1:A23"/>
    <mergeCell ref="G1:G23"/>
    <mergeCell ref="B1:B23"/>
  </mergeCells>
  <hyperlinks>
    <hyperlink ref="D2" r:id="rId1" xr:uid="{00000000-0004-0000-0000-000000000000}"/>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zoomScale="85" zoomScaleNormal="85" workbookViewId="0">
      <selection activeCell="C7" sqref="C7"/>
    </sheetView>
  </sheetViews>
  <sheetFormatPr defaultRowHeight="14.5" x14ac:dyDescent="0.35"/>
  <cols>
    <col min="1" max="1" width="24.54296875" customWidth="1"/>
    <col min="2" max="2" width="9.54296875" style="26" bestFit="1" customWidth="1"/>
  </cols>
  <sheetData>
    <row r="1" spans="1:2" x14ac:dyDescent="0.35">
      <c r="A1" s="23" t="s">
        <v>33</v>
      </c>
      <c r="B1" s="30"/>
    </row>
    <row r="2" spans="1:2" x14ac:dyDescent="0.35">
      <c r="A2" s="39" t="s">
        <v>136</v>
      </c>
      <c r="B2" s="40">
        <v>200000</v>
      </c>
    </row>
    <row r="3" spans="1:2" x14ac:dyDescent="0.35">
      <c r="A3" s="39" t="s">
        <v>96</v>
      </c>
      <c r="B3" s="40">
        <v>150000</v>
      </c>
    </row>
    <row r="4" spans="1:2" x14ac:dyDescent="0.35">
      <c r="A4" s="39" t="s">
        <v>97</v>
      </c>
      <c r="B4" s="40">
        <v>120000</v>
      </c>
    </row>
    <row r="5" spans="1:2" x14ac:dyDescent="0.35">
      <c r="A5" s="39" t="s">
        <v>137</v>
      </c>
      <c r="B5" s="40">
        <v>50000</v>
      </c>
    </row>
    <row r="6" spans="1:2" x14ac:dyDescent="0.35">
      <c r="A6" s="39" t="s">
        <v>138</v>
      </c>
      <c r="B6" s="40">
        <v>60000</v>
      </c>
    </row>
    <row r="7" spans="1:2" x14ac:dyDescent="0.35">
      <c r="A7" s="39" t="s">
        <v>139</v>
      </c>
      <c r="B7" s="40">
        <v>120000</v>
      </c>
    </row>
    <row r="8" spans="1:2" x14ac:dyDescent="0.35">
      <c r="A8" s="39" t="s">
        <v>98</v>
      </c>
      <c r="B8" s="40">
        <v>30000</v>
      </c>
    </row>
    <row r="9" spans="1:2" x14ac:dyDescent="0.35">
      <c r="A9" s="39" t="s">
        <v>99</v>
      </c>
      <c r="B9" s="40">
        <v>20000</v>
      </c>
    </row>
    <row r="10" spans="1:2" x14ac:dyDescent="0.35">
      <c r="A10" s="39" t="s">
        <v>35</v>
      </c>
      <c r="B10" s="40"/>
    </row>
    <row r="11" spans="1:2" x14ac:dyDescent="0.35">
      <c r="A11" s="39" t="s">
        <v>35</v>
      </c>
      <c r="B11" s="40"/>
    </row>
    <row r="12" spans="1:2" x14ac:dyDescent="0.35">
      <c r="A12" s="39" t="s">
        <v>35</v>
      </c>
      <c r="B12" s="40"/>
    </row>
    <row r="13" spans="1:2" x14ac:dyDescent="0.35">
      <c r="A13" s="39" t="s">
        <v>35</v>
      </c>
      <c r="B13" s="40"/>
    </row>
    <row r="14" spans="1:2" x14ac:dyDescent="0.35">
      <c r="A14" s="39" t="s">
        <v>35</v>
      </c>
      <c r="B14" s="40"/>
    </row>
    <row r="15" spans="1:2" x14ac:dyDescent="0.35">
      <c r="A15" s="39" t="s">
        <v>35</v>
      </c>
      <c r="B15" s="40"/>
    </row>
    <row r="16" spans="1:2" x14ac:dyDescent="0.35">
      <c r="A16" s="39" t="s">
        <v>35</v>
      </c>
      <c r="B16" s="40"/>
    </row>
    <row r="17" spans="1:2" x14ac:dyDescent="0.35">
      <c r="A17" s="39" t="s">
        <v>35</v>
      </c>
      <c r="B17" s="40"/>
    </row>
    <row r="18" spans="1:2" x14ac:dyDescent="0.35">
      <c r="A18" s="39" t="s">
        <v>35</v>
      </c>
      <c r="B18" s="40"/>
    </row>
    <row r="19" spans="1:2" x14ac:dyDescent="0.35">
      <c r="A19" s="39" t="s">
        <v>35</v>
      </c>
      <c r="B19" s="40"/>
    </row>
    <row r="20" spans="1:2" x14ac:dyDescent="0.35">
      <c r="A20" s="24" t="s">
        <v>34</v>
      </c>
      <c r="B20" s="28">
        <f>SUM(B2:B19)</f>
        <v>750000</v>
      </c>
    </row>
  </sheetData>
  <sheetProtection algorithmName="SHA-512" hashValue="qDlxUhXJiKAzzUa+kINVyXes1qR9E0rOd5rCsAtPdc1qbm8CphmK8uP+BYUU4NL5dGinL3UQf/V6rpMyO7Lo9Q==" saltValue="v21ys9MBOtC1tCprkUltx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56"/>
  <sheetViews>
    <sheetView tabSelected="1" zoomScale="85" zoomScaleNormal="85" workbookViewId="0">
      <pane xSplit="1" ySplit="1" topLeftCell="L2" activePane="bottomRight" state="frozen"/>
      <selection pane="topRight" activeCell="B1" sqref="B1"/>
      <selection pane="bottomLeft" activeCell="A2" sqref="A2"/>
      <selection pane="bottomRight" activeCell="S13" sqref="S13"/>
    </sheetView>
  </sheetViews>
  <sheetFormatPr defaultRowHeight="14.5" x14ac:dyDescent="0.35"/>
  <cols>
    <col min="1" max="1" width="30.1796875" customWidth="1"/>
    <col min="2" max="2" width="10.1796875" bestFit="1" customWidth="1"/>
    <col min="38" max="38" width="1.453125" customWidth="1"/>
    <col min="39" max="39" width="8.81640625" style="75"/>
    <col min="40" max="40" width="4.54296875" bestFit="1" customWidth="1"/>
  </cols>
  <sheetData>
    <row r="1" spans="1:40" s="23" customFormat="1" x14ac:dyDescent="0.35">
      <c r="A1" s="23" t="s">
        <v>28</v>
      </c>
      <c r="B1" s="23">
        <v>1</v>
      </c>
      <c r="C1" s="23">
        <v>2</v>
      </c>
      <c r="D1" s="23">
        <v>3</v>
      </c>
      <c r="E1" s="23">
        <v>4</v>
      </c>
      <c r="F1" s="23">
        <v>5</v>
      </c>
      <c r="G1" s="23">
        <v>6</v>
      </c>
      <c r="H1" s="23">
        <v>7</v>
      </c>
      <c r="I1" s="23">
        <v>8</v>
      </c>
      <c r="J1" s="23">
        <v>9</v>
      </c>
      <c r="K1" s="23">
        <v>10</v>
      </c>
      <c r="L1" s="23">
        <v>11</v>
      </c>
      <c r="M1" s="23">
        <v>12</v>
      </c>
      <c r="N1" s="23">
        <v>13</v>
      </c>
      <c r="O1" s="23">
        <v>14</v>
      </c>
      <c r="P1" s="23">
        <v>15</v>
      </c>
      <c r="Q1" s="23">
        <v>16</v>
      </c>
      <c r="R1" s="23">
        <v>17</v>
      </c>
      <c r="S1" s="23">
        <v>18</v>
      </c>
      <c r="T1" s="23">
        <v>19</v>
      </c>
      <c r="U1" s="23">
        <v>20</v>
      </c>
      <c r="V1" s="23">
        <v>21</v>
      </c>
      <c r="W1" s="23">
        <v>22</v>
      </c>
      <c r="X1" s="23">
        <v>23</v>
      </c>
      <c r="Y1" s="23">
        <v>24</v>
      </c>
      <c r="Z1" s="23">
        <v>25</v>
      </c>
      <c r="AA1" s="23">
        <v>26</v>
      </c>
      <c r="AB1" s="23">
        <v>27</v>
      </c>
      <c r="AC1" s="23">
        <v>28</v>
      </c>
      <c r="AD1" s="23">
        <v>29</v>
      </c>
      <c r="AE1" s="23">
        <v>30</v>
      </c>
      <c r="AF1" s="23">
        <v>31</v>
      </c>
      <c r="AG1" s="23">
        <v>32</v>
      </c>
      <c r="AH1" s="23">
        <v>33</v>
      </c>
      <c r="AI1" s="23">
        <v>34</v>
      </c>
      <c r="AJ1" s="23">
        <v>35</v>
      </c>
      <c r="AK1" s="23">
        <v>36</v>
      </c>
      <c r="AM1" s="70" t="s">
        <v>89</v>
      </c>
      <c r="AN1" s="23" t="s">
        <v>90</v>
      </c>
    </row>
    <row r="2" spans="1:40" x14ac:dyDescent="0.35">
      <c r="A2" t="s">
        <v>29</v>
      </c>
      <c r="B2" s="40">
        <v>0</v>
      </c>
      <c r="C2" s="40">
        <v>0</v>
      </c>
      <c r="D2" s="40">
        <v>50</v>
      </c>
      <c r="E2" s="40">
        <v>60</v>
      </c>
      <c r="F2" s="40">
        <v>70</v>
      </c>
      <c r="G2" s="40">
        <v>80</v>
      </c>
      <c r="H2" s="40">
        <v>90</v>
      </c>
      <c r="I2" s="40">
        <v>100</v>
      </c>
      <c r="J2" s="40">
        <v>110</v>
      </c>
      <c r="K2" s="40">
        <v>120</v>
      </c>
      <c r="L2" s="40">
        <v>130</v>
      </c>
      <c r="M2" s="40">
        <v>140</v>
      </c>
      <c r="N2" s="40">
        <v>150</v>
      </c>
      <c r="O2" s="40">
        <v>160</v>
      </c>
      <c r="P2" s="40">
        <v>170</v>
      </c>
      <c r="Q2" s="40">
        <v>180</v>
      </c>
      <c r="R2" s="40">
        <v>190</v>
      </c>
      <c r="S2" s="40">
        <v>200</v>
      </c>
      <c r="T2" s="40">
        <v>210</v>
      </c>
      <c r="U2" s="40">
        <v>220</v>
      </c>
      <c r="V2" s="40">
        <v>230</v>
      </c>
      <c r="W2" s="40">
        <v>240</v>
      </c>
      <c r="X2" s="40">
        <v>250</v>
      </c>
      <c r="Y2" s="40">
        <v>260</v>
      </c>
      <c r="Z2" s="40">
        <v>270</v>
      </c>
      <c r="AA2" s="40">
        <v>280</v>
      </c>
      <c r="AB2" s="40">
        <v>290</v>
      </c>
      <c r="AC2" s="40">
        <v>300</v>
      </c>
      <c r="AD2" s="40">
        <v>310</v>
      </c>
      <c r="AE2" s="40">
        <v>320</v>
      </c>
      <c r="AF2" s="40">
        <v>330</v>
      </c>
      <c r="AG2" s="40">
        <v>340</v>
      </c>
      <c r="AH2" s="40">
        <v>350</v>
      </c>
      <c r="AI2" s="40">
        <v>360</v>
      </c>
      <c r="AJ2" s="40">
        <v>370</v>
      </c>
      <c r="AK2" s="40">
        <v>380</v>
      </c>
      <c r="AM2" s="71">
        <f>AVERAGE(D2:AK2)</f>
        <v>215</v>
      </c>
    </row>
    <row r="3" spans="1:40" s="24" customFormat="1" x14ac:dyDescent="0.35">
      <c r="A3" s="24" t="s">
        <v>91</v>
      </c>
      <c r="B3" s="41">
        <v>899</v>
      </c>
      <c r="C3" s="41">
        <v>899</v>
      </c>
      <c r="D3" s="41">
        <v>899</v>
      </c>
      <c r="E3" s="41">
        <v>899</v>
      </c>
      <c r="F3" s="41">
        <v>899</v>
      </c>
      <c r="G3" s="41">
        <v>899</v>
      </c>
      <c r="H3" s="41">
        <v>899</v>
      </c>
      <c r="I3" s="41">
        <v>899</v>
      </c>
      <c r="J3" s="41">
        <v>899</v>
      </c>
      <c r="K3" s="41">
        <v>899</v>
      </c>
      <c r="L3" s="41">
        <v>899</v>
      </c>
      <c r="M3" s="41">
        <v>899</v>
      </c>
      <c r="N3" s="41">
        <v>899</v>
      </c>
      <c r="O3" s="41">
        <v>899</v>
      </c>
      <c r="P3" s="41">
        <v>899</v>
      </c>
      <c r="Q3" s="41">
        <v>899</v>
      </c>
      <c r="R3" s="41">
        <v>899</v>
      </c>
      <c r="S3" s="41">
        <v>899</v>
      </c>
      <c r="T3" s="41">
        <v>899</v>
      </c>
      <c r="U3" s="41">
        <v>899</v>
      </c>
      <c r="V3" s="41">
        <v>899</v>
      </c>
      <c r="W3" s="41">
        <v>899</v>
      </c>
      <c r="X3" s="41">
        <v>899</v>
      </c>
      <c r="Y3" s="41">
        <v>899</v>
      </c>
      <c r="Z3" s="41">
        <v>899</v>
      </c>
      <c r="AA3" s="41">
        <v>899</v>
      </c>
      <c r="AB3" s="41">
        <v>899</v>
      </c>
      <c r="AC3" s="41">
        <v>899</v>
      </c>
      <c r="AD3" s="41">
        <v>899</v>
      </c>
      <c r="AE3" s="41">
        <v>899</v>
      </c>
      <c r="AF3" s="41">
        <v>899</v>
      </c>
      <c r="AG3" s="41">
        <v>899</v>
      </c>
      <c r="AH3" s="41">
        <v>899</v>
      </c>
      <c r="AI3" s="41">
        <v>899</v>
      </c>
      <c r="AJ3" s="41">
        <v>899</v>
      </c>
      <c r="AK3" s="41">
        <v>899</v>
      </c>
      <c r="AM3" s="71">
        <f t="shared" ref="AM3:AM38" si="0">AVERAGE(D3:AK3)</f>
        <v>899</v>
      </c>
    </row>
    <row r="4" spans="1:40" x14ac:dyDescent="0.35">
      <c r="A4" t="s">
        <v>86</v>
      </c>
      <c r="B4" s="40">
        <v>125</v>
      </c>
      <c r="C4" s="40">
        <v>125</v>
      </c>
      <c r="D4" s="40">
        <v>120</v>
      </c>
      <c r="E4" s="40">
        <v>118</v>
      </c>
      <c r="F4" s="40">
        <v>115</v>
      </c>
      <c r="G4" s="40">
        <v>112</v>
      </c>
      <c r="H4" s="40">
        <v>110</v>
      </c>
      <c r="I4" s="40">
        <v>108</v>
      </c>
      <c r="J4" s="40">
        <v>105</v>
      </c>
      <c r="K4" s="40">
        <v>103</v>
      </c>
      <c r="L4" s="40">
        <v>100</v>
      </c>
      <c r="M4" s="40">
        <v>98</v>
      </c>
      <c r="N4" s="40">
        <v>95</v>
      </c>
      <c r="O4" s="40">
        <v>93</v>
      </c>
      <c r="P4" s="40">
        <v>90</v>
      </c>
      <c r="Q4" s="40">
        <v>88</v>
      </c>
      <c r="R4" s="40">
        <v>85</v>
      </c>
      <c r="S4" s="40">
        <v>83</v>
      </c>
      <c r="T4" s="40">
        <v>80</v>
      </c>
      <c r="U4" s="40">
        <v>78</v>
      </c>
      <c r="V4" s="40">
        <v>75</v>
      </c>
      <c r="W4" s="40">
        <v>73</v>
      </c>
      <c r="X4" s="40">
        <v>70</v>
      </c>
      <c r="Y4" s="40">
        <v>68</v>
      </c>
      <c r="Z4" s="40">
        <v>65</v>
      </c>
      <c r="AA4" s="40">
        <v>63</v>
      </c>
      <c r="AB4" s="40">
        <v>60</v>
      </c>
      <c r="AC4" s="40">
        <v>58</v>
      </c>
      <c r="AD4" s="40">
        <v>55</v>
      </c>
      <c r="AE4" s="40">
        <v>53</v>
      </c>
      <c r="AF4" s="40">
        <v>50</v>
      </c>
      <c r="AG4" s="40">
        <v>48</v>
      </c>
      <c r="AH4" s="40">
        <v>45</v>
      </c>
      <c r="AI4" s="40">
        <v>43</v>
      </c>
      <c r="AJ4" s="40">
        <v>40</v>
      </c>
      <c r="AK4" s="40">
        <v>38</v>
      </c>
      <c r="AM4" s="71">
        <f t="shared" si="0"/>
        <v>78.970588235294116</v>
      </c>
      <c r="AN4" s="76">
        <f>AM4/$AM$3</f>
        <v>8.784270104037166E-2</v>
      </c>
    </row>
    <row r="5" spans="1:40" x14ac:dyDescent="0.35">
      <c r="A5" t="s">
        <v>87</v>
      </c>
      <c r="B5" s="26">
        <f>IF(B2=0,0,B13/B2)</f>
        <v>0</v>
      </c>
      <c r="C5" s="26">
        <f t="shared" ref="C5:AK5" si="1">IF(C2=0,0,C13/C2)</f>
        <v>0</v>
      </c>
      <c r="D5" s="26">
        <f t="shared" si="1"/>
        <v>140</v>
      </c>
      <c r="E5" s="26">
        <f t="shared" si="1"/>
        <v>116.66666666666667</v>
      </c>
      <c r="F5" s="26">
        <f t="shared" si="1"/>
        <v>100</v>
      </c>
      <c r="G5" s="26">
        <f t="shared" si="1"/>
        <v>87.5</v>
      </c>
      <c r="H5" s="26">
        <f t="shared" si="1"/>
        <v>77.777777777777771</v>
      </c>
      <c r="I5" s="26">
        <f t="shared" si="1"/>
        <v>70</v>
      </c>
      <c r="J5" s="26">
        <f t="shared" si="1"/>
        <v>63.636363636363633</v>
      </c>
      <c r="K5" s="26">
        <f t="shared" si="1"/>
        <v>58.333333333333336</v>
      </c>
      <c r="L5" s="26">
        <f t="shared" si="1"/>
        <v>53.846153846153847</v>
      </c>
      <c r="M5" s="26">
        <f t="shared" si="1"/>
        <v>50</v>
      </c>
      <c r="N5" s="26">
        <f t="shared" si="1"/>
        <v>46.666666666666664</v>
      </c>
      <c r="O5" s="26">
        <f t="shared" si="1"/>
        <v>43.75</v>
      </c>
      <c r="P5" s="26">
        <f t="shared" si="1"/>
        <v>41.176470588235297</v>
      </c>
      <c r="Q5" s="26">
        <f t="shared" si="1"/>
        <v>38.888888888888886</v>
      </c>
      <c r="R5" s="26">
        <f t="shared" si="1"/>
        <v>36.842105263157897</v>
      </c>
      <c r="S5" s="26">
        <f t="shared" si="1"/>
        <v>35</v>
      </c>
      <c r="T5" s="26">
        <f t="shared" si="1"/>
        <v>33.333333333333336</v>
      </c>
      <c r="U5" s="26">
        <f t="shared" si="1"/>
        <v>31.818181818181817</v>
      </c>
      <c r="V5" s="26">
        <f t="shared" si="1"/>
        <v>30.434782608695652</v>
      </c>
      <c r="W5" s="26">
        <f t="shared" si="1"/>
        <v>29.166666666666668</v>
      </c>
      <c r="X5" s="26">
        <f t="shared" si="1"/>
        <v>28</v>
      </c>
      <c r="Y5" s="26">
        <f t="shared" si="1"/>
        <v>57.692307692307693</v>
      </c>
      <c r="Z5" s="26">
        <f t="shared" si="1"/>
        <v>55.555555555555557</v>
      </c>
      <c r="AA5" s="26">
        <f t="shared" si="1"/>
        <v>53.571428571428569</v>
      </c>
      <c r="AB5" s="26">
        <f t="shared" si="1"/>
        <v>51.724137931034484</v>
      </c>
      <c r="AC5" s="26">
        <f t="shared" si="1"/>
        <v>50</v>
      </c>
      <c r="AD5" s="26">
        <f t="shared" si="1"/>
        <v>48.387096774193552</v>
      </c>
      <c r="AE5" s="26">
        <f t="shared" si="1"/>
        <v>46.875</v>
      </c>
      <c r="AF5" s="26">
        <f t="shared" si="1"/>
        <v>45.454545454545453</v>
      </c>
      <c r="AG5" s="26">
        <f t="shared" si="1"/>
        <v>44.117647058823529</v>
      </c>
      <c r="AH5" s="26">
        <f t="shared" si="1"/>
        <v>42.857142857142854</v>
      </c>
      <c r="AI5" s="26">
        <f t="shared" si="1"/>
        <v>44.444444444444443</v>
      </c>
      <c r="AJ5" s="26">
        <f t="shared" si="1"/>
        <v>43.243243243243242</v>
      </c>
      <c r="AK5" s="26">
        <f t="shared" si="1"/>
        <v>42.10526315789474</v>
      </c>
      <c r="AM5" s="72">
        <f t="shared" si="0"/>
        <v>54.084270701021637</v>
      </c>
      <c r="AN5" s="76">
        <f t="shared" ref="AN5:AN8" si="2">AM5/$AM$3</f>
        <v>6.0160479089011835E-2</v>
      </c>
    </row>
    <row r="6" spans="1:40" x14ac:dyDescent="0.35">
      <c r="A6" t="s">
        <v>88</v>
      </c>
      <c r="B6" s="26">
        <f>IF(B2=0,0,B23/B2)</f>
        <v>0</v>
      </c>
      <c r="C6" s="26">
        <f t="shared" ref="C6:AK6" si="3">IF(C2=0,0,C23/C2)</f>
        <v>0</v>
      </c>
      <c r="D6" s="26">
        <f t="shared" si="3"/>
        <v>320</v>
      </c>
      <c r="E6" s="26">
        <f t="shared" si="3"/>
        <v>266.66666666666669</v>
      </c>
      <c r="F6" s="26">
        <f t="shared" si="3"/>
        <v>232.85714285714286</v>
      </c>
      <c r="G6" s="26">
        <f t="shared" si="3"/>
        <v>207.5</v>
      </c>
      <c r="H6" s="26">
        <f t="shared" si="3"/>
        <v>184.44444444444446</v>
      </c>
      <c r="I6" s="26">
        <f t="shared" si="3"/>
        <v>168</v>
      </c>
      <c r="J6" s="26">
        <f t="shared" si="3"/>
        <v>157.27272727272728</v>
      </c>
      <c r="K6" s="26">
        <f t="shared" si="3"/>
        <v>145.83333333333334</v>
      </c>
      <c r="L6" s="26">
        <f t="shared" si="3"/>
        <v>134.61538461538461</v>
      </c>
      <c r="M6" s="26">
        <f t="shared" si="3"/>
        <v>126.42857142857143</v>
      </c>
      <c r="N6" s="26">
        <f t="shared" si="3"/>
        <v>121.33333333333333</v>
      </c>
      <c r="O6" s="26">
        <f t="shared" si="3"/>
        <v>113.75</v>
      </c>
      <c r="P6" s="26">
        <f t="shared" si="3"/>
        <v>108.82352941176471</v>
      </c>
      <c r="Q6" s="26">
        <f t="shared" si="3"/>
        <v>105.55555555555556</v>
      </c>
      <c r="R6" s="26">
        <f t="shared" si="3"/>
        <v>100</v>
      </c>
      <c r="S6" s="26">
        <f t="shared" si="3"/>
        <v>96.5</v>
      </c>
      <c r="T6" s="26">
        <f t="shared" si="3"/>
        <v>94.285714285714292</v>
      </c>
      <c r="U6" s="26">
        <f t="shared" si="3"/>
        <v>90</v>
      </c>
      <c r="V6" s="26">
        <f t="shared" si="3"/>
        <v>87.826086956521735</v>
      </c>
      <c r="W6" s="26">
        <f t="shared" si="3"/>
        <v>85.416666666666671</v>
      </c>
      <c r="X6" s="26">
        <f t="shared" si="3"/>
        <v>82</v>
      </c>
      <c r="Y6" s="26">
        <f t="shared" si="3"/>
        <v>86.538461538461533</v>
      </c>
      <c r="Z6" s="26">
        <f t="shared" si="3"/>
        <v>83.333333333333329</v>
      </c>
      <c r="AA6" s="26">
        <f t="shared" si="3"/>
        <v>80.357142857142861</v>
      </c>
      <c r="AB6" s="26">
        <f t="shared" si="3"/>
        <v>81.034482758620683</v>
      </c>
      <c r="AC6" s="26">
        <f t="shared" si="3"/>
        <v>78.333333333333329</v>
      </c>
      <c r="AD6" s="26">
        <f t="shared" si="3"/>
        <v>75.806451612903231</v>
      </c>
      <c r="AE6" s="26">
        <f t="shared" si="3"/>
        <v>76.5625</v>
      </c>
      <c r="AF6" s="26">
        <f t="shared" si="3"/>
        <v>74.242424242424249</v>
      </c>
      <c r="AG6" s="26">
        <f t="shared" si="3"/>
        <v>72.058823529411768</v>
      </c>
      <c r="AH6" s="26">
        <f t="shared" si="3"/>
        <v>72.857142857142861</v>
      </c>
      <c r="AI6" s="26">
        <f t="shared" si="3"/>
        <v>76.388888888888886</v>
      </c>
      <c r="AJ6" s="26">
        <f t="shared" si="3"/>
        <v>74.324324324324323</v>
      </c>
      <c r="AK6" s="26">
        <f t="shared" si="3"/>
        <v>72.368421052631575</v>
      </c>
      <c r="AM6" s="72">
        <f t="shared" si="0"/>
        <v>118.62690844577779</v>
      </c>
      <c r="AN6" s="76">
        <f t="shared" si="2"/>
        <v>0.13195429193078731</v>
      </c>
    </row>
    <row r="7" spans="1:40" s="24" customFormat="1" x14ac:dyDescent="0.35">
      <c r="A7" s="24" t="s">
        <v>92</v>
      </c>
      <c r="B7" s="28">
        <f>SUM(B4:B6)</f>
        <v>125</v>
      </c>
      <c r="C7" s="28">
        <f t="shared" ref="C7:AK7" si="4">SUM(C4:C6)</f>
        <v>125</v>
      </c>
      <c r="D7" s="28">
        <f t="shared" si="4"/>
        <v>580</v>
      </c>
      <c r="E7" s="28">
        <f t="shared" si="4"/>
        <v>501.33333333333337</v>
      </c>
      <c r="F7" s="28">
        <f t="shared" si="4"/>
        <v>447.85714285714289</v>
      </c>
      <c r="G7" s="28">
        <f t="shared" si="4"/>
        <v>407</v>
      </c>
      <c r="H7" s="28">
        <f t="shared" si="4"/>
        <v>372.22222222222223</v>
      </c>
      <c r="I7" s="28">
        <f t="shared" si="4"/>
        <v>346</v>
      </c>
      <c r="J7" s="28">
        <f t="shared" si="4"/>
        <v>325.90909090909088</v>
      </c>
      <c r="K7" s="28">
        <f t="shared" si="4"/>
        <v>307.16666666666669</v>
      </c>
      <c r="L7" s="28">
        <f t="shared" si="4"/>
        <v>288.46153846153845</v>
      </c>
      <c r="M7" s="28">
        <f t="shared" si="4"/>
        <v>274.42857142857144</v>
      </c>
      <c r="N7" s="28">
        <f t="shared" si="4"/>
        <v>263</v>
      </c>
      <c r="O7" s="28">
        <f t="shared" si="4"/>
        <v>250.5</v>
      </c>
      <c r="P7" s="28">
        <f t="shared" si="4"/>
        <v>240</v>
      </c>
      <c r="Q7" s="28">
        <f t="shared" si="4"/>
        <v>232.44444444444446</v>
      </c>
      <c r="R7" s="28">
        <f t="shared" si="4"/>
        <v>221.84210526315789</v>
      </c>
      <c r="S7" s="28">
        <f t="shared" si="4"/>
        <v>214.5</v>
      </c>
      <c r="T7" s="28">
        <f t="shared" si="4"/>
        <v>207.61904761904765</v>
      </c>
      <c r="U7" s="28">
        <f t="shared" si="4"/>
        <v>199.81818181818181</v>
      </c>
      <c r="V7" s="28">
        <f t="shared" si="4"/>
        <v>193.26086956521738</v>
      </c>
      <c r="W7" s="28">
        <f t="shared" si="4"/>
        <v>187.58333333333334</v>
      </c>
      <c r="X7" s="28">
        <f t="shared" si="4"/>
        <v>180</v>
      </c>
      <c r="Y7" s="28">
        <f t="shared" si="4"/>
        <v>212.23076923076923</v>
      </c>
      <c r="Z7" s="28">
        <f t="shared" si="4"/>
        <v>203.88888888888889</v>
      </c>
      <c r="AA7" s="28">
        <f t="shared" si="4"/>
        <v>196.92857142857144</v>
      </c>
      <c r="AB7" s="28">
        <f t="shared" si="4"/>
        <v>192.75862068965517</v>
      </c>
      <c r="AC7" s="28">
        <f t="shared" si="4"/>
        <v>186.33333333333331</v>
      </c>
      <c r="AD7" s="28">
        <f t="shared" si="4"/>
        <v>179.19354838709677</v>
      </c>
      <c r="AE7" s="28">
        <f t="shared" si="4"/>
        <v>176.4375</v>
      </c>
      <c r="AF7" s="28">
        <f t="shared" si="4"/>
        <v>169.69696969696969</v>
      </c>
      <c r="AG7" s="28">
        <f t="shared" si="4"/>
        <v>164.1764705882353</v>
      </c>
      <c r="AH7" s="28">
        <f t="shared" si="4"/>
        <v>160.71428571428572</v>
      </c>
      <c r="AI7" s="28">
        <f t="shared" si="4"/>
        <v>163.83333333333331</v>
      </c>
      <c r="AJ7" s="28">
        <f t="shared" si="4"/>
        <v>157.56756756756755</v>
      </c>
      <c r="AK7" s="28">
        <f t="shared" si="4"/>
        <v>152.4736842105263</v>
      </c>
      <c r="AM7" s="72">
        <f t="shared" si="0"/>
        <v>251.68176738209357</v>
      </c>
      <c r="AN7" s="76">
        <f t="shared" si="2"/>
        <v>0.2799574720601708</v>
      </c>
    </row>
    <row r="8" spans="1:40" s="24" customFormat="1" x14ac:dyDescent="0.35">
      <c r="A8" s="24" t="s">
        <v>93</v>
      </c>
      <c r="B8" s="28">
        <f>B3-B7</f>
        <v>774</v>
      </c>
      <c r="C8" s="28">
        <f t="shared" ref="C8:AK8" si="5">C3-C7</f>
        <v>774</v>
      </c>
      <c r="D8" s="28">
        <f t="shared" si="5"/>
        <v>319</v>
      </c>
      <c r="E8" s="28">
        <f t="shared" si="5"/>
        <v>397.66666666666663</v>
      </c>
      <c r="F8" s="28">
        <f t="shared" si="5"/>
        <v>451.14285714285711</v>
      </c>
      <c r="G8" s="28">
        <f t="shared" si="5"/>
        <v>492</v>
      </c>
      <c r="H8" s="28">
        <f t="shared" si="5"/>
        <v>526.77777777777783</v>
      </c>
      <c r="I8" s="28">
        <f t="shared" si="5"/>
        <v>553</v>
      </c>
      <c r="J8" s="28">
        <f t="shared" si="5"/>
        <v>573.09090909090912</v>
      </c>
      <c r="K8" s="28">
        <f t="shared" si="5"/>
        <v>591.83333333333326</v>
      </c>
      <c r="L8" s="28">
        <f t="shared" si="5"/>
        <v>610.53846153846155</v>
      </c>
      <c r="M8" s="28">
        <f t="shared" si="5"/>
        <v>624.57142857142856</v>
      </c>
      <c r="N8" s="34">
        <f t="shared" si="5"/>
        <v>636</v>
      </c>
      <c r="O8" s="34">
        <f t="shared" si="5"/>
        <v>648.5</v>
      </c>
      <c r="P8" s="34">
        <f t="shared" si="5"/>
        <v>659</v>
      </c>
      <c r="Q8" s="34">
        <f t="shared" si="5"/>
        <v>666.55555555555554</v>
      </c>
      <c r="R8" s="34">
        <f t="shared" si="5"/>
        <v>677.15789473684208</v>
      </c>
      <c r="S8" s="34">
        <f t="shared" si="5"/>
        <v>684.5</v>
      </c>
      <c r="T8" s="34">
        <f t="shared" si="5"/>
        <v>691.38095238095229</v>
      </c>
      <c r="U8" s="34">
        <f t="shared" si="5"/>
        <v>699.18181818181824</v>
      </c>
      <c r="V8" s="34">
        <f t="shared" si="5"/>
        <v>705.73913043478262</v>
      </c>
      <c r="W8" s="34">
        <f t="shared" si="5"/>
        <v>711.41666666666663</v>
      </c>
      <c r="X8" s="34">
        <f t="shared" si="5"/>
        <v>719</v>
      </c>
      <c r="Y8" s="34">
        <f t="shared" si="5"/>
        <v>686.76923076923072</v>
      </c>
      <c r="Z8" s="34">
        <f t="shared" si="5"/>
        <v>695.11111111111109</v>
      </c>
      <c r="AA8" s="34">
        <f t="shared" si="5"/>
        <v>702.07142857142856</v>
      </c>
      <c r="AB8" s="34">
        <f t="shared" si="5"/>
        <v>706.24137931034488</v>
      </c>
      <c r="AC8" s="34">
        <f t="shared" si="5"/>
        <v>712.66666666666674</v>
      </c>
      <c r="AD8" s="34">
        <f t="shared" si="5"/>
        <v>719.80645161290317</v>
      </c>
      <c r="AE8" s="34">
        <f t="shared" si="5"/>
        <v>722.5625</v>
      </c>
      <c r="AF8" s="34">
        <f t="shared" si="5"/>
        <v>729.30303030303025</v>
      </c>
      <c r="AG8" s="34">
        <f t="shared" si="5"/>
        <v>734.82352941176464</v>
      </c>
      <c r="AH8" s="34">
        <f t="shared" si="5"/>
        <v>738.28571428571422</v>
      </c>
      <c r="AI8" s="34">
        <f t="shared" si="5"/>
        <v>735.16666666666674</v>
      </c>
      <c r="AJ8" s="34">
        <f t="shared" si="5"/>
        <v>741.43243243243251</v>
      </c>
      <c r="AK8" s="34">
        <f t="shared" si="5"/>
        <v>746.52631578947376</v>
      </c>
      <c r="AM8" s="73">
        <f t="shared" si="0"/>
        <v>647.31823261790646</v>
      </c>
      <c r="AN8" s="76">
        <f t="shared" si="2"/>
        <v>0.72004252793982926</v>
      </c>
    </row>
    <row r="9" spans="1:40" x14ac:dyDescent="0.35">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M9" s="72"/>
      <c r="AN9" s="24"/>
    </row>
    <row r="10" spans="1:40" x14ac:dyDescent="0.35">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M10" s="72"/>
    </row>
    <row r="11" spans="1:40" x14ac:dyDescent="0.35">
      <c r="A11" s="25" t="s">
        <v>30</v>
      </c>
      <c r="B11" s="42">
        <v>0</v>
      </c>
      <c r="C11" s="42">
        <v>0</v>
      </c>
      <c r="D11" s="42">
        <v>1</v>
      </c>
      <c r="E11" s="42">
        <v>1</v>
      </c>
      <c r="F11" s="42">
        <v>1</v>
      </c>
      <c r="G11" s="42">
        <v>1</v>
      </c>
      <c r="H11" s="42">
        <v>1</v>
      </c>
      <c r="I11" s="42">
        <v>1</v>
      </c>
      <c r="J11" s="42">
        <v>1</v>
      </c>
      <c r="K11" s="42">
        <v>1</v>
      </c>
      <c r="L11" s="42">
        <v>1</v>
      </c>
      <c r="M11" s="42">
        <v>1</v>
      </c>
      <c r="N11" s="42">
        <v>1</v>
      </c>
      <c r="O11" s="42">
        <v>1</v>
      </c>
      <c r="P11" s="42">
        <v>1</v>
      </c>
      <c r="Q11" s="42">
        <v>1</v>
      </c>
      <c r="R11" s="42">
        <v>1</v>
      </c>
      <c r="S11" s="42">
        <v>1</v>
      </c>
      <c r="T11" s="42">
        <v>1</v>
      </c>
      <c r="U11" s="42">
        <v>1</v>
      </c>
      <c r="V11" s="42">
        <v>1</v>
      </c>
      <c r="W11" s="42">
        <v>1</v>
      </c>
      <c r="X11" s="42">
        <v>1</v>
      </c>
      <c r="Y11" s="42">
        <v>2</v>
      </c>
      <c r="Z11" s="42">
        <v>2</v>
      </c>
      <c r="AA11" s="42">
        <v>2</v>
      </c>
      <c r="AB11" s="42">
        <v>2</v>
      </c>
      <c r="AC11" s="42">
        <v>2</v>
      </c>
      <c r="AD11" s="42">
        <v>2</v>
      </c>
      <c r="AE11" s="42">
        <v>2</v>
      </c>
      <c r="AF11" s="42">
        <v>2</v>
      </c>
      <c r="AG11" s="42">
        <v>2</v>
      </c>
      <c r="AH11" s="42">
        <v>2</v>
      </c>
      <c r="AI11" s="42">
        <v>2</v>
      </c>
      <c r="AJ11" s="42">
        <v>2</v>
      </c>
      <c r="AK11" s="42">
        <v>2</v>
      </c>
      <c r="AL11" s="27"/>
      <c r="AM11" s="74">
        <f t="shared" si="0"/>
        <v>1.3823529411764706</v>
      </c>
    </row>
    <row r="12" spans="1:40" x14ac:dyDescent="0.35">
      <c r="A12" s="25" t="s">
        <v>31</v>
      </c>
      <c r="B12" s="42">
        <v>7000</v>
      </c>
      <c r="C12" s="42">
        <v>7000</v>
      </c>
      <c r="D12" s="42">
        <v>7000</v>
      </c>
      <c r="E12" s="42">
        <v>7000</v>
      </c>
      <c r="F12" s="42">
        <v>7000</v>
      </c>
      <c r="G12" s="42">
        <v>7000</v>
      </c>
      <c r="H12" s="42">
        <v>7000</v>
      </c>
      <c r="I12" s="42">
        <v>7000</v>
      </c>
      <c r="J12" s="42">
        <v>7000</v>
      </c>
      <c r="K12" s="42">
        <v>7000</v>
      </c>
      <c r="L12" s="42">
        <v>7000</v>
      </c>
      <c r="M12" s="42">
        <v>7000</v>
      </c>
      <c r="N12" s="42">
        <v>7000</v>
      </c>
      <c r="O12" s="42">
        <v>7000</v>
      </c>
      <c r="P12" s="42">
        <v>7000</v>
      </c>
      <c r="Q12" s="42">
        <v>7000</v>
      </c>
      <c r="R12" s="42">
        <v>7000</v>
      </c>
      <c r="S12" s="42">
        <v>7000</v>
      </c>
      <c r="T12" s="42">
        <v>7000</v>
      </c>
      <c r="U12" s="42">
        <v>7000</v>
      </c>
      <c r="V12" s="42">
        <v>7000</v>
      </c>
      <c r="W12" s="42">
        <v>7000</v>
      </c>
      <c r="X12" s="42">
        <v>7000</v>
      </c>
      <c r="Y12" s="42">
        <v>7500</v>
      </c>
      <c r="Z12" s="42">
        <v>7500</v>
      </c>
      <c r="AA12" s="42">
        <v>7500</v>
      </c>
      <c r="AB12" s="42">
        <v>7500</v>
      </c>
      <c r="AC12" s="42">
        <v>7500</v>
      </c>
      <c r="AD12" s="42">
        <v>7500</v>
      </c>
      <c r="AE12" s="42">
        <v>7500</v>
      </c>
      <c r="AF12" s="42">
        <v>7500</v>
      </c>
      <c r="AG12" s="42">
        <v>7500</v>
      </c>
      <c r="AH12" s="42">
        <v>7500</v>
      </c>
      <c r="AI12" s="42">
        <v>8000</v>
      </c>
      <c r="AJ12" s="42">
        <v>8000</v>
      </c>
      <c r="AK12" s="42">
        <v>8000</v>
      </c>
      <c r="AL12" s="27"/>
      <c r="AM12" s="74">
        <f t="shared" si="0"/>
        <v>7235.2941176470586</v>
      </c>
    </row>
    <row r="13" spans="1:40" s="24" customFormat="1" x14ac:dyDescent="0.35">
      <c r="A13" s="24" t="s">
        <v>11</v>
      </c>
      <c r="B13" s="28">
        <f>B11*B12</f>
        <v>0</v>
      </c>
      <c r="C13" s="28">
        <f>C11*C12</f>
        <v>0</v>
      </c>
      <c r="D13" s="28">
        <f t="shared" ref="D13:AK13" si="6">D11*D12</f>
        <v>7000</v>
      </c>
      <c r="E13" s="28">
        <f t="shared" si="6"/>
        <v>7000</v>
      </c>
      <c r="F13" s="28">
        <f t="shared" si="6"/>
        <v>7000</v>
      </c>
      <c r="G13" s="28">
        <f t="shared" si="6"/>
        <v>7000</v>
      </c>
      <c r="H13" s="28">
        <f t="shared" si="6"/>
        <v>7000</v>
      </c>
      <c r="I13" s="28">
        <f t="shared" si="6"/>
        <v>7000</v>
      </c>
      <c r="J13" s="28">
        <f t="shared" si="6"/>
        <v>7000</v>
      </c>
      <c r="K13" s="28">
        <f t="shared" si="6"/>
        <v>7000</v>
      </c>
      <c r="L13" s="28">
        <f t="shared" si="6"/>
        <v>7000</v>
      </c>
      <c r="M13" s="28">
        <f t="shared" si="6"/>
        <v>7000</v>
      </c>
      <c r="N13" s="28">
        <f t="shared" si="6"/>
        <v>7000</v>
      </c>
      <c r="O13" s="28">
        <f t="shared" si="6"/>
        <v>7000</v>
      </c>
      <c r="P13" s="28">
        <f t="shared" si="6"/>
        <v>7000</v>
      </c>
      <c r="Q13" s="28">
        <f t="shared" si="6"/>
        <v>7000</v>
      </c>
      <c r="R13" s="28">
        <f t="shared" si="6"/>
        <v>7000</v>
      </c>
      <c r="S13" s="28">
        <f t="shared" si="6"/>
        <v>7000</v>
      </c>
      <c r="T13" s="28">
        <f t="shared" si="6"/>
        <v>7000</v>
      </c>
      <c r="U13" s="28">
        <f t="shared" si="6"/>
        <v>7000</v>
      </c>
      <c r="V13" s="28">
        <f t="shared" si="6"/>
        <v>7000</v>
      </c>
      <c r="W13" s="28">
        <f t="shared" si="6"/>
        <v>7000</v>
      </c>
      <c r="X13" s="28">
        <f t="shared" si="6"/>
        <v>7000</v>
      </c>
      <c r="Y13" s="28">
        <f t="shared" si="6"/>
        <v>15000</v>
      </c>
      <c r="Z13" s="28">
        <f t="shared" si="6"/>
        <v>15000</v>
      </c>
      <c r="AA13" s="28">
        <f t="shared" si="6"/>
        <v>15000</v>
      </c>
      <c r="AB13" s="28">
        <f t="shared" si="6"/>
        <v>15000</v>
      </c>
      <c r="AC13" s="28">
        <f t="shared" si="6"/>
        <v>15000</v>
      </c>
      <c r="AD13" s="28">
        <f t="shared" si="6"/>
        <v>15000</v>
      </c>
      <c r="AE13" s="28">
        <f t="shared" si="6"/>
        <v>15000</v>
      </c>
      <c r="AF13" s="28">
        <f t="shared" si="6"/>
        <v>15000</v>
      </c>
      <c r="AG13" s="28">
        <f t="shared" si="6"/>
        <v>15000</v>
      </c>
      <c r="AH13" s="28">
        <f t="shared" si="6"/>
        <v>15000</v>
      </c>
      <c r="AI13" s="28">
        <f t="shared" si="6"/>
        <v>16000</v>
      </c>
      <c r="AJ13" s="28">
        <f t="shared" si="6"/>
        <v>16000</v>
      </c>
      <c r="AK13" s="28">
        <f t="shared" si="6"/>
        <v>16000</v>
      </c>
      <c r="AL13" s="28"/>
      <c r="AM13" s="72">
        <f t="shared" si="0"/>
        <v>10147.058823529413</v>
      </c>
    </row>
    <row r="14" spans="1:40" s="24" customFormat="1" x14ac:dyDescent="0.35">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72"/>
    </row>
    <row r="15" spans="1:40" s="24" customFormat="1" x14ac:dyDescent="0.35">
      <c r="A15" s="69" t="s">
        <v>71</v>
      </c>
      <c r="B15" s="43">
        <v>60000</v>
      </c>
      <c r="C15" s="43">
        <v>60000</v>
      </c>
      <c r="D15" s="43">
        <v>60000</v>
      </c>
      <c r="E15" s="43">
        <v>60000</v>
      </c>
      <c r="F15" s="43">
        <v>60000</v>
      </c>
      <c r="G15" s="43">
        <v>60000</v>
      </c>
      <c r="H15" s="43">
        <v>60000</v>
      </c>
      <c r="I15" s="43">
        <v>60000</v>
      </c>
      <c r="J15" s="43">
        <v>60000</v>
      </c>
      <c r="K15" s="43">
        <v>60000</v>
      </c>
      <c r="L15" s="43">
        <v>60000</v>
      </c>
      <c r="M15" s="43">
        <v>60000</v>
      </c>
      <c r="N15" s="43">
        <v>60000</v>
      </c>
      <c r="O15" s="43">
        <v>60000</v>
      </c>
      <c r="P15" s="43">
        <v>60000</v>
      </c>
      <c r="Q15" s="43">
        <v>60000</v>
      </c>
      <c r="R15" s="43">
        <v>60000</v>
      </c>
      <c r="S15" s="43">
        <v>60000</v>
      </c>
      <c r="T15" s="43">
        <v>60000</v>
      </c>
      <c r="U15" s="43">
        <v>60000</v>
      </c>
      <c r="V15" s="43">
        <v>60000</v>
      </c>
      <c r="W15" s="43">
        <v>60000</v>
      </c>
      <c r="X15" s="43">
        <v>60000</v>
      </c>
      <c r="Y15" s="43">
        <v>72000</v>
      </c>
      <c r="Z15" s="43">
        <v>72000</v>
      </c>
      <c r="AA15" s="43">
        <v>72000</v>
      </c>
      <c r="AB15" s="43">
        <v>72000</v>
      </c>
      <c r="AC15" s="43">
        <v>72000</v>
      </c>
      <c r="AD15" s="43">
        <v>72000</v>
      </c>
      <c r="AE15" s="43">
        <v>72000</v>
      </c>
      <c r="AF15" s="43">
        <v>72000</v>
      </c>
      <c r="AG15" s="43">
        <v>72000</v>
      </c>
      <c r="AH15" s="43">
        <v>72000</v>
      </c>
      <c r="AI15" s="43">
        <v>84000</v>
      </c>
      <c r="AJ15" s="43">
        <v>84000</v>
      </c>
      <c r="AK15" s="43">
        <v>84000</v>
      </c>
      <c r="AL15" s="29"/>
      <c r="AM15" s="71">
        <f t="shared" si="0"/>
        <v>65647.058823529413</v>
      </c>
    </row>
    <row r="16" spans="1:40" s="24" customFormat="1" x14ac:dyDescent="0.35">
      <c r="A16" s="69" t="s">
        <v>72</v>
      </c>
      <c r="B16" s="29">
        <f>B15/12</f>
        <v>5000</v>
      </c>
      <c r="C16" s="29">
        <f>C15/12</f>
        <v>5000</v>
      </c>
      <c r="D16" s="29">
        <f t="shared" ref="D16:AK16" si="7">D15/12</f>
        <v>5000</v>
      </c>
      <c r="E16" s="29">
        <f t="shared" si="7"/>
        <v>5000</v>
      </c>
      <c r="F16" s="29">
        <f t="shared" si="7"/>
        <v>5000</v>
      </c>
      <c r="G16" s="29">
        <f t="shared" si="7"/>
        <v>5000</v>
      </c>
      <c r="H16" s="29">
        <f t="shared" si="7"/>
        <v>5000</v>
      </c>
      <c r="I16" s="29">
        <f t="shared" si="7"/>
        <v>5000</v>
      </c>
      <c r="J16" s="29">
        <f t="shared" si="7"/>
        <v>5000</v>
      </c>
      <c r="K16" s="29">
        <f t="shared" si="7"/>
        <v>5000</v>
      </c>
      <c r="L16" s="29">
        <f t="shared" si="7"/>
        <v>5000</v>
      </c>
      <c r="M16" s="29">
        <f t="shared" si="7"/>
        <v>5000</v>
      </c>
      <c r="N16" s="29">
        <f t="shared" si="7"/>
        <v>5000</v>
      </c>
      <c r="O16" s="29">
        <f t="shared" si="7"/>
        <v>5000</v>
      </c>
      <c r="P16" s="29">
        <f t="shared" si="7"/>
        <v>5000</v>
      </c>
      <c r="Q16" s="29">
        <f t="shared" si="7"/>
        <v>5000</v>
      </c>
      <c r="R16" s="29">
        <f t="shared" si="7"/>
        <v>5000</v>
      </c>
      <c r="S16" s="29">
        <f t="shared" si="7"/>
        <v>5000</v>
      </c>
      <c r="T16" s="29">
        <f t="shared" si="7"/>
        <v>5000</v>
      </c>
      <c r="U16" s="29">
        <f t="shared" si="7"/>
        <v>5000</v>
      </c>
      <c r="V16" s="29">
        <f t="shared" si="7"/>
        <v>5000</v>
      </c>
      <c r="W16" s="29">
        <f t="shared" si="7"/>
        <v>5000</v>
      </c>
      <c r="X16" s="29">
        <f t="shared" si="7"/>
        <v>5000</v>
      </c>
      <c r="Y16" s="29">
        <f t="shared" si="7"/>
        <v>6000</v>
      </c>
      <c r="Z16" s="29">
        <f t="shared" si="7"/>
        <v>6000</v>
      </c>
      <c r="AA16" s="29">
        <f t="shared" si="7"/>
        <v>6000</v>
      </c>
      <c r="AB16" s="29">
        <f t="shared" si="7"/>
        <v>6000</v>
      </c>
      <c r="AC16" s="29">
        <f t="shared" si="7"/>
        <v>6000</v>
      </c>
      <c r="AD16" s="29">
        <f t="shared" si="7"/>
        <v>6000</v>
      </c>
      <c r="AE16" s="29">
        <f t="shared" si="7"/>
        <v>6000</v>
      </c>
      <c r="AF16" s="29">
        <f t="shared" si="7"/>
        <v>6000</v>
      </c>
      <c r="AG16" s="29">
        <f t="shared" si="7"/>
        <v>6000</v>
      </c>
      <c r="AH16" s="29">
        <f t="shared" si="7"/>
        <v>6000</v>
      </c>
      <c r="AI16" s="29">
        <f t="shared" si="7"/>
        <v>7000</v>
      </c>
      <c r="AJ16" s="29">
        <f t="shared" si="7"/>
        <v>7000</v>
      </c>
      <c r="AK16" s="29">
        <f t="shared" si="7"/>
        <v>7000</v>
      </c>
      <c r="AL16" s="29"/>
      <c r="AM16" s="72">
        <f t="shared" si="0"/>
        <v>5470.588235294118</v>
      </c>
    </row>
    <row r="17" spans="1:39" s="24" customFormat="1" x14ac:dyDescent="0.35">
      <c r="A17" s="25" t="s">
        <v>30</v>
      </c>
      <c r="B17" s="42">
        <v>0</v>
      </c>
      <c r="C17" s="42">
        <v>0</v>
      </c>
      <c r="D17" s="42">
        <v>1</v>
      </c>
      <c r="E17" s="42">
        <v>1</v>
      </c>
      <c r="F17" s="42">
        <v>1</v>
      </c>
      <c r="G17" s="42">
        <v>1</v>
      </c>
      <c r="H17" s="42">
        <v>1</v>
      </c>
      <c r="I17" s="42">
        <v>1</v>
      </c>
      <c r="J17" s="42">
        <v>1</v>
      </c>
      <c r="K17" s="42">
        <v>1</v>
      </c>
      <c r="L17" s="42">
        <v>1</v>
      </c>
      <c r="M17" s="42">
        <v>1</v>
      </c>
      <c r="N17" s="42">
        <v>1</v>
      </c>
      <c r="O17" s="42">
        <v>1</v>
      </c>
      <c r="P17" s="42">
        <v>1</v>
      </c>
      <c r="Q17" s="42">
        <v>1</v>
      </c>
      <c r="R17" s="42">
        <v>1</v>
      </c>
      <c r="S17" s="42">
        <v>1</v>
      </c>
      <c r="T17" s="42">
        <v>1</v>
      </c>
      <c r="U17" s="42">
        <v>1</v>
      </c>
      <c r="V17" s="42">
        <v>1</v>
      </c>
      <c r="W17" s="42">
        <v>1</v>
      </c>
      <c r="X17" s="42">
        <v>1</v>
      </c>
      <c r="Y17" s="42">
        <v>1</v>
      </c>
      <c r="Z17" s="42">
        <v>1</v>
      </c>
      <c r="AA17" s="42">
        <v>1</v>
      </c>
      <c r="AB17" s="42">
        <v>1</v>
      </c>
      <c r="AC17" s="42">
        <v>1</v>
      </c>
      <c r="AD17" s="42">
        <v>1</v>
      </c>
      <c r="AE17" s="42">
        <v>1</v>
      </c>
      <c r="AF17" s="42">
        <v>1</v>
      </c>
      <c r="AG17" s="42">
        <v>1</v>
      </c>
      <c r="AH17" s="42">
        <v>1</v>
      </c>
      <c r="AI17" s="42">
        <v>1</v>
      </c>
      <c r="AJ17" s="42">
        <v>1</v>
      </c>
      <c r="AK17" s="42">
        <v>1</v>
      </c>
      <c r="AL17" s="27"/>
      <c r="AM17" s="74">
        <f t="shared" si="0"/>
        <v>1</v>
      </c>
    </row>
    <row r="18" spans="1:39" s="24" customFormat="1" x14ac:dyDescent="0.35">
      <c r="A18" s="25" t="s">
        <v>70</v>
      </c>
      <c r="B18" s="42">
        <v>4500</v>
      </c>
      <c r="C18" s="42">
        <v>4500</v>
      </c>
      <c r="D18" s="42">
        <v>4500</v>
      </c>
      <c r="E18" s="42">
        <v>4500</v>
      </c>
      <c r="F18" s="42">
        <v>4500</v>
      </c>
      <c r="G18" s="42">
        <v>4500</v>
      </c>
      <c r="H18" s="42">
        <v>4500</v>
      </c>
      <c r="I18" s="42">
        <v>4500</v>
      </c>
      <c r="J18" s="42">
        <v>4500</v>
      </c>
      <c r="K18" s="42">
        <v>4500</v>
      </c>
      <c r="L18" s="42">
        <v>4500</v>
      </c>
      <c r="M18" s="42">
        <v>4500</v>
      </c>
      <c r="N18" s="42">
        <v>4500</v>
      </c>
      <c r="O18" s="42">
        <v>4500</v>
      </c>
      <c r="P18" s="42">
        <v>4500</v>
      </c>
      <c r="Q18" s="42">
        <v>4500</v>
      </c>
      <c r="R18" s="42">
        <v>4500</v>
      </c>
      <c r="S18" s="42">
        <v>4500</v>
      </c>
      <c r="T18" s="42">
        <v>4500</v>
      </c>
      <c r="U18" s="42">
        <v>4500</v>
      </c>
      <c r="V18" s="42">
        <v>4500</v>
      </c>
      <c r="W18" s="42">
        <v>4500</v>
      </c>
      <c r="X18" s="42">
        <v>4500</v>
      </c>
      <c r="Y18" s="42">
        <v>4500</v>
      </c>
      <c r="Z18" s="42">
        <v>4500</v>
      </c>
      <c r="AA18" s="42">
        <v>4500</v>
      </c>
      <c r="AB18" s="42">
        <v>4500</v>
      </c>
      <c r="AC18" s="42">
        <v>4500</v>
      </c>
      <c r="AD18" s="42">
        <v>4500</v>
      </c>
      <c r="AE18" s="42">
        <v>4500</v>
      </c>
      <c r="AF18" s="42">
        <v>4500</v>
      </c>
      <c r="AG18" s="42">
        <v>4500</v>
      </c>
      <c r="AH18" s="42">
        <v>4500</v>
      </c>
      <c r="AI18" s="42">
        <v>4500</v>
      </c>
      <c r="AJ18" s="42">
        <v>4500</v>
      </c>
      <c r="AK18" s="42">
        <v>4500</v>
      </c>
      <c r="AL18" s="27"/>
      <c r="AM18" s="74">
        <f t="shared" si="0"/>
        <v>4500</v>
      </c>
    </row>
    <row r="19" spans="1:39" s="24" customFormat="1" x14ac:dyDescent="0.35">
      <c r="A19" s="69" t="s">
        <v>73</v>
      </c>
      <c r="B19" s="29">
        <f>B17*B18</f>
        <v>0</v>
      </c>
      <c r="C19" s="29">
        <f>C17*C18</f>
        <v>0</v>
      </c>
      <c r="D19" s="29">
        <f t="shared" ref="D19:AK19" si="8">D17*D18</f>
        <v>4500</v>
      </c>
      <c r="E19" s="29">
        <f t="shared" si="8"/>
        <v>4500</v>
      </c>
      <c r="F19" s="29">
        <f t="shared" si="8"/>
        <v>4500</v>
      </c>
      <c r="G19" s="29">
        <f t="shared" si="8"/>
        <v>4500</v>
      </c>
      <c r="H19" s="29">
        <f t="shared" si="8"/>
        <v>4500</v>
      </c>
      <c r="I19" s="29">
        <f t="shared" si="8"/>
        <v>4500</v>
      </c>
      <c r="J19" s="29">
        <f t="shared" si="8"/>
        <v>4500</v>
      </c>
      <c r="K19" s="29">
        <f t="shared" si="8"/>
        <v>4500</v>
      </c>
      <c r="L19" s="29">
        <f t="shared" si="8"/>
        <v>4500</v>
      </c>
      <c r="M19" s="29">
        <f t="shared" si="8"/>
        <v>4500</v>
      </c>
      <c r="N19" s="29">
        <f t="shared" si="8"/>
        <v>4500</v>
      </c>
      <c r="O19" s="29">
        <f t="shared" si="8"/>
        <v>4500</v>
      </c>
      <c r="P19" s="29">
        <f t="shared" si="8"/>
        <v>4500</v>
      </c>
      <c r="Q19" s="29">
        <f t="shared" si="8"/>
        <v>4500</v>
      </c>
      <c r="R19" s="29">
        <f t="shared" si="8"/>
        <v>4500</v>
      </c>
      <c r="S19" s="29">
        <f t="shared" si="8"/>
        <v>4500</v>
      </c>
      <c r="T19" s="29">
        <f t="shared" si="8"/>
        <v>4500</v>
      </c>
      <c r="U19" s="29">
        <f t="shared" si="8"/>
        <v>4500</v>
      </c>
      <c r="V19" s="29">
        <f t="shared" si="8"/>
        <v>4500</v>
      </c>
      <c r="W19" s="29">
        <f t="shared" si="8"/>
        <v>4500</v>
      </c>
      <c r="X19" s="29">
        <f t="shared" si="8"/>
        <v>4500</v>
      </c>
      <c r="Y19" s="29">
        <f t="shared" si="8"/>
        <v>4500</v>
      </c>
      <c r="Z19" s="29">
        <f t="shared" si="8"/>
        <v>4500</v>
      </c>
      <c r="AA19" s="29">
        <f t="shared" si="8"/>
        <v>4500</v>
      </c>
      <c r="AB19" s="29">
        <f t="shared" si="8"/>
        <v>4500</v>
      </c>
      <c r="AC19" s="29">
        <f t="shared" si="8"/>
        <v>4500</v>
      </c>
      <c r="AD19" s="29">
        <f t="shared" si="8"/>
        <v>4500</v>
      </c>
      <c r="AE19" s="29">
        <f t="shared" si="8"/>
        <v>4500</v>
      </c>
      <c r="AF19" s="29">
        <f t="shared" si="8"/>
        <v>4500</v>
      </c>
      <c r="AG19" s="29">
        <f t="shared" si="8"/>
        <v>4500</v>
      </c>
      <c r="AH19" s="29">
        <f t="shared" si="8"/>
        <v>4500</v>
      </c>
      <c r="AI19" s="29">
        <f t="shared" si="8"/>
        <v>4500</v>
      </c>
      <c r="AJ19" s="29">
        <f t="shared" si="8"/>
        <v>4500</v>
      </c>
      <c r="AK19" s="29">
        <f t="shared" si="8"/>
        <v>4500</v>
      </c>
      <c r="AL19" s="29"/>
      <c r="AM19" s="72">
        <f t="shared" si="0"/>
        <v>4500</v>
      </c>
    </row>
    <row r="20" spans="1:39" s="24" customFormat="1" x14ac:dyDescent="0.35">
      <c r="A20" s="69" t="s">
        <v>74</v>
      </c>
      <c r="B20" s="43">
        <v>1500</v>
      </c>
      <c r="C20" s="43">
        <v>1500</v>
      </c>
      <c r="D20" s="43">
        <v>1500</v>
      </c>
      <c r="E20" s="43">
        <v>1500</v>
      </c>
      <c r="F20" s="43">
        <v>1800</v>
      </c>
      <c r="G20" s="43">
        <v>1800</v>
      </c>
      <c r="H20" s="43">
        <v>1800</v>
      </c>
      <c r="I20" s="43">
        <v>2000</v>
      </c>
      <c r="J20" s="43">
        <v>2000</v>
      </c>
      <c r="K20" s="43">
        <v>2200</v>
      </c>
      <c r="L20" s="43">
        <v>2200</v>
      </c>
      <c r="M20" s="43">
        <v>2200</v>
      </c>
      <c r="N20" s="43">
        <v>2500</v>
      </c>
      <c r="O20" s="43">
        <v>2500</v>
      </c>
      <c r="P20" s="43">
        <v>2500</v>
      </c>
      <c r="Q20" s="43">
        <v>2800</v>
      </c>
      <c r="R20" s="43">
        <v>2800</v>
      </c>
      <c r="S20" s="43">
        <v>2800</v>
      </c>
      <c r="T20" s="43">
        <v>3000</v>
      </c>
      <c r="U20" s="43">
        <v>3000</v>
      </c>
      <c r="V20" s="43">
        <v>3200</v>
      </c>
      <c r="W20" s="43">
        <v>3200</v>
      </c>
      <c r="X20" s="43">
        <v>3200</v>
      </c>
      <c r="Y20" s="43">
        <v>3500</v>
      </c>
      <c r="Z20" s="43">
        <v>3500</v>
      </c>
      <c r="AA20" s="43">
        <v>3500</v>
      </c>
      <c r="AB20" s="43">
        <v>3800</v>
      </c>
      <c r="AC20" s="43">
        <v>3800</v>
      </c>
      <c r="AD20" s="43">
        <v>3800</v>
      </c>
      <c r="AE20" s="43">
        <v>4000</v>
      </c>
      <c r="AF20" s="43">
        <v>4000</v>
      </c>
      <c r="AG20" s="43">
        <v>4000</v>
      </c>
      <c r="AH20" s="43">
        <v>4200</v>
      </c>
      <c r="AI20" s="43">
        <v>4500</v>
      </c>
      <c r="AJ20" s="43">
        <v>4500</v>
      </c>
      <c r="AK20" s="43">
        <v>4500</v>
      </c>
      <c r="AL20" s="29"/>
      <c r="AM20" s="71">
        <f t="shared" si="0"/>
        <v>3002.9411764705883</v>
      </c>
    </row>
    <row r="21" spans="1:39" s="24" customFormat="1" x14ac:dyDescent="0.35">
      <c r="A21" s="69" t="s">
        <v>75</v>
      </c>
      <c r="B21" s="43">
        <v>3000</v>
      </c>
      <c r="C21" s="43">
        <v>3000</v>
      </c>
      <c r="D21" s="43">
        <v>3500</v>
      </c>
      <c r="E21" s="43">
        <v>3500</v>
      </c>
      <c r="F21" s="43">
        <v>3500</v>
      </c>
      <c r="G21" s="43">
        <v>3800</v>
      </c>
      <c r="H21" s="43">
        <v>3800</v>
      </c>
      <c r="I21" s="43">
        <v>3800</v>
      </c>
      <c r="J21" s="43">
        <v>4000</v>
      </c>
      <c r="K21" s="43">
        <v>4000</v>
      </c>
      <c r="L21" s="43">
        <v>4000</v>
      </c>
      <c r="M21" s="43">
        <v>4200</v>
      </c>
      <c r="N21" s="43">
        <v>4200</v>
      </c>
      <c r="O21" s="43">
        <v>4200</v>
      </c>
      <c r="P21" s="43">
        <v>4500</v>
      </c>
      <c r="Q21" s="43">
        <v>4500</v>
      </c>
      <c r="R21" s="43">
        <v>4500</v>
      </c>
      <c r="S21" s="43">
        <v>4800</v>
      </c>
      <c r="T21" s="43">
        <v>4800</v>
      </c>
      <c r="U21" s="43">
        <v>4800</v>
      </c>
      <c r="V21" s="43">
        <v>5000</v>
      </c>
      <c r="W21" s="43">
        <v>5000</v>
      </c>
      <c r="X21" s="43">
        <v>5000</v>
      </c>
      <c r="Y21" s="43">
        <v>5500</v>
      </c>
      <c r="Z21" s="43">
        <v>5500</v>
      </c>
      <c r="AA21" s="43">
        <v>5500</v>
      </c>
      <c r="AB21" s="43">
        <v>6000</v>
      </c>
      <c r="AC21" s="43">
        <v>6000</v>
      </c>
      <c r="AD21" s="43">
        <v>6000</v>
      </c>
      <c r="AE21" s="43">
        <v>6500</v>
      </c>
      <c r="AF21" s="43">
        <v>6500</v>
      </c>
      <c r="AG21" s="43">
        <v>6500</v>
      </c>
      <c r="AH21" s="43">
        <v>7000</v>
      </c>
      <c r="AI21" s="43">
        <v>7500</v>
      </c>
      <c r="AJ21" s="43">
        <v>7500</v>
      </c>
      <c r="AK21" s="43">
        <v>7500</v>
      </c>
      <c r="AL21" s="29"/>
      <c r="AM21" s="71">
        <f t="shared" si="0"/>
        <v>5085.2941176470586</v>
      </c>
    </row>
    <row r="22" spans="1:39" x14ac:dyDescent="0.35">
      <c r="A22" s="69" t="s">
        <v>76</v>
      </c>
      <c r="B22" s="43">
        <v>1500</v>
      </c>
      <c r="C22" s="43">
        <v>1500</v>
      </c>
      <c r="D22" s="43">
        <v>1500</v>
      </c>
      <c r="E22" s="43">
        <v>1500</v>
      </c>
      <c r="F22" s="43">
        <v>1500</v>
      </c>
      <c r="G22" s="43">
        <v>1500</v>
      </c>
      <c r="H22" s="43">
        <v>1500</v>
      </c>
      <c r="I22" s="43">
        <v>1500</v>
      </c>
      <c r="J22" s="43">
        <v>1800</v>
      </c>
      <c r="K22" s="43">
        <v>1800</v>
      </c>
      <c r="L22" s="43">
        <v>1800</v>
      </c>
      <c r="M22" s="43">
        <v>1800</v>
      </c>
      <c r="N22" s="43">
        <v>2000</v>
      </c>
      <c r="O22" s="43">
        <v>2000</v>
      </c>
      <c r="P22" s="43">
        <v>2000</v>
      </c>
      <c r="Q22" s="43">
        <v>2200</v>
      </c>
      <c r="R22" s="43">
        <v>2200</v>
      </c>
      <c r="S22" s="43">
        <v>2200</v>
      </c>
      <c r="T22" s="43">
        <v>2500</v>
      </c>
      <c r="U22" s="43">
        <v>2500</v>
      </c>
      <c r="V22" s="43">
        <v>2500</v>
      </c>
      <c r="W22" s="43">
        <v>2800</v>
      </c>
      <c r="X22" s="43">
        <v>2800</v>
      </c>
      <c r="Y22" s="43">
        <v>3000</v>
      </c>
      <c r="Z22" s="43">
        <v>3000</v>
      </c>
      <c r="AA22" s="43">
        <v>3000</v>
      </c>
      <c r="AB22" s="43">
        <v>3200</v>
      </c>
      <c r="AC22" s="43">
        <v>3200</v>
      </c>
      <c r="AD22" s="43">
        <v>3200</v>
      </c>
      <c r="AE22" s="43">
        <v>3500</v>
      </c>
      <c r="AF22" s="43">
        <v>3500</v>
      </c>
      <c r="AG22" s="43">
        <v>3500</v>
      </c>
      <c r="AH22" s="43">
        <v>3800</v>
      </c>
      <c r="AI22" s="43">
        <v>4000</v>
      </c>
      <c r="AJ22" s="43">
        <v>4000</v>
      </c>
      <c r="AK22" s="43">
        <v>4000</v>
      </c>
      <c r="AL22" s="29"/>
      <c r="AM22" s="71">
        <f t="shared" si="0"/>
        <v>2552.9411764705883</v>
      </c>
    </row>
    <row r="23" spans="1:39" x14ac:dyDescent="0.35">
      <c r="A23" s="24" t="s">
        <v>77</v>
      </c>
      <c r="B23" s="28">
        <f>B16+B19+B20+B21+B22</f>
        <v>11000</v>
      </c>
      <c r="C23" s="28">
        <f>C16+C19+C20+C21+C22</f>
        <v>11000</v>
      </c>
      <c r="D23" s="28">
        <f t="shared" ref="D23:AK23" si="9">D16+D19+D20+D21+D22</f>
        <v>16000</v>
      </c>
      <c r="E23" s="28">
        <f t="shared" si="9"/>
        <v>16000</v>
      </c>
      <c r="F23" s="28">
        <f t="shared" si="9"/>
        <v>16300</v>
      </c>
      <c r="G23" s="28">
        <f t="shared" si="9"/>
        <v>16600</v>
      </c>
      <c r="H23" s="28">
        <f t="shared" si="9"/>
        <v>16600</v>
      </c>
      <c r="I23" s="28">
        <f t="shared" si="9"/>
        <v>16800</v>
      </c>
      <c r="J23" s="28">
        <f t="shared" si="9"/>
        <v>17300</v>
      </c>
      <c r="K23" s="28">
        <f t="shared" si="9"/>
        <v>17500</v>
      </c>
      <c r="L23" s="28">
        <f t="shared" si="9"/>
        <v>17500</v>
      </c>
      <c r="M23" s="28">
        <f t="shared" si="9"/>
        <v>17700</v>
      </c>
      <c r="N23" s="28">
        <f t="shared" si="9"/>
        <v>18200</v>
      </c>
      <c r="O23" s="28">
        <f t="shared" si="9"/>
        <v>18200</v>
      </c>
      <c r="P23" s="28">
        <f t="shared" si="9"/>
        <v>18500</v>
      </c>
      <c r="Q23" s="28">
        <f t="shared" si="9"/>
        <v>19000</v>
      </c>
      <c r="R23" s="28">
        <f t="shared" si="9"/>
        <v>19000</v>
      </c>
      <c r="S23" s="28">
        <f t="shared" si="9"/>
        <v>19300</v>
      </c>
      <c r="T23" s="28">
        <f t="shared" si="9"/>
        <v>19800</v>
      </c>
      <c r="U23" s="28">
        <f t="shared" si="9"/>
        <v>19800</v>
      </c>
      <c r="V23" s="28">
        <f t="shared" si="9"/>
        <v>20200</v>
      </c>
      <c r="W23" s="28">
        <f t="shared" si="9"/>
        <v>20500</v>
      </c>
      <c r="X23" s="28">
        <f t="shared" si="9"/>
        <v>20500</v>
      </c>
      <c r="Y23" s="28">
        <f t="shared" si="9"/>
        <v>22500</v>
      </c>
      <c r="Z23" s="28">
        <f t="shared" si="9"/>
        <v>22500</v>
      </c>
      <c r="AA23" s="28">
        <f t="shared" si="9"/>
        <v>22500</v>
      </c>
      <c r="AB23" s="28">
        <f t="shared" si="9"/>
        <v>23500</v>
      </c>
      <c r="AC23" s="28">
        <f t="shared" si="9"/>
        <v>23500</v>
      </c>
      <c r="AD23" s="28">
        <f t="shared" si="9"/>
        <v>23500</v>
      </c>
      <c r="AE23" s="28">
        <f t="shared" si="9"/>
        <v>24500</v>
      </c>
      <c r="AF23" s="28">
        <f t="shared" si="9"/>
        <v>24500</v>
      </c>
      <c r="AG23" s="28">
        <f t="shared" si="9"/>
        <v>24500</v>
      </c>
      <c r="AH23" s="28">
        <f t="shared" si="9"/>
        <v>25500</v>
      </c>
      <c r="AI23" s="28">
        <f t="shared" si="9"/>
        <v>27500</v>
      </c>
      <c r="AJ23" s="28">
        <f t="shared" si="9"/>
        <v>27500</v>
      </c>
      <c r="AK23" s="28">
        <f t="shared" si="9"/>
        <v>27500</v>
      </c>
      <c r="AL23" s="28"/>
      <c r="AM23" s="72">
        <f t="shared" si="0"/>
        <v>20611.764705882353</v>
      </c>
    </row>
    <row r="24" spans="1:39" x14ac:dyDescent="0.35">
      <c r="A24" s="24"/>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72"/>
    </row>
    <row r="25" spans="1:39" x14ac:dyDescent="0.35">
      <c r="A25" s="25" t="s">
        <v>30</v>
      </c>
      <c r="B25" s="42">
        <v>2</v>
      </c>
      <c r="C25" s="42">
        <v>2</v>
      </c>
      <c r="D25" s="42">
        <v>2</v>
      </c>
      <c r="E25" s="42">
        <v>2</v>
      </c>
      <c r="F25" s="42">
        <v>2</v>
      </c>
      <c r="G25" s="42">
        <v>2</v>
      </c>
      <c r="H25" s="42">
        <v>2</v>
      </c>
      <c r="I25" s="42">
        <v>2</v>
      </c>
      <c r="J25" s="42">
        <v>2</v>
      </c>
      <c r="K25" s="42">
        <v>2</v>
      </c>
      <c r="L25" s="42">
        <v>2</v>
      </c>
      <c r="M25" s="42">
        <v>2</v>
      </c>
      <c r="N25" s="42">
        <v>2</v>
      </c>
      <c r="O25" s="42">
        <v>2</v>
      </c>
      <c r="P25" s="42">
        <v>2</v>
      </c>
      <c r="Q25" s="42">
        <v>2</v>
      </c>
      <c r="R25" s="42">
        <v>2</v>
      </c>
      <c r="S25" s="42">
        <v>2</v>
      </c>
      <c r="T25" s="42">
        <v>2</v>
      </c>
      <c r="U25" s="42">
        <v>2</v>
      </c>
      <c r="V25" s="42">
        <v>2</v>
      </c>
      <c r="W25" s="42">
        <v>2</v>
      </c>
      <c r="X25" s="42">
        <v>2</v>
      </c>
      <c r="Y25" s="42">
        <v>2</v>
      </c>
      <c r="Z25" s="42">
        <v>2</v>
      </c>
      <c r="AA25" s="42">
        <v>2</v>
      </c>
      <c r="AB25" s="42">
        <v>2</v>
      </c>
      <c r="AC25" s="42">
        <v>2</v>
      </c>
      <c r="AD25" s="42">
        <v>2</v>
      </c>
      <c r="AE25" s="42">
        <v>2</v>
      </c>
      <c r="AF25" s="42">
        <v>2</v>
      </c>
      <c r="AG25" s="42">
        <v>2</v>
      </c>
      <c r="AH25" s="42">
        <v>2</v>
      </c>
      <c r="AI25" s="42">
        <v>2</v>
      </c>
      <c r="AJ25" s="42">
        <v>2</v>
      </c>
      <c r="AK25" s="42">
        <v>2</v>
      </c>
      <c r="AL25" s="27"/>
      <c r="AM25" s="74">
        <f t="shared" si="0"/>
        <v>2</v>
      </c>
    </row>
    <row r="26" spans="1:39" x14ac:dyDescent="0.35">
      <c r="A26" s="25" t="s">
        <v>31</v>
      </c>
      <c r="B26" s="42">
        <v>6000</v>
      </c>
      <c r="C26" s="42">
        <v>6000</v>
      </c>
      <c r="D26" s="42">
        <v>6000</v>
      </c>
      <c r="E26" s="42">
        <v>6000</v>
      </c>
      <c r="F26" s="42">
        <v>6000</v>
      </c>
      <c r="G26" s="42">
        <v>6000</v>
      </c>
      <c r="H26" s="42">
        <v>6000</v>
      </c>
      <c r="I26" s="42">
        <v>6000</v>
      </c>
      <c r="J26" s="42">
        <v>6000</v>
      </c>
      <c r="K26" s="42">
        <v>6000</v>
      </c>
      <c r="L26" s="42">
        <v>6000</v>
      </c>
      <c r="M26" s="42">
        <v>6000</v>
      </c>
      <c r="N26" s="42">
        <v>6000</v>
      </c>
      <c r="O26" s="42">
        <v>6000</v>
      </c>
      <c r="P26" s="42">
        <v>6000</v>
      </c>
      <c r="Q26" s="42">
        <v>6000</v>
      </c>
      <c r="R26" s="42">
        <v>6000</v>
      </c>
      <c r="S26" s="42">
        <v>6000</v>
      </c>
      <c r="T26" s="42">
        <v>6000</v>
      </c>
      <c r="U26" s="42">
        <v>6000</v>
      </c>
      <c r="V26" s="42">
        <v>6000</v>
      </c>
      <c r="W26" s="42">
        <v>6000</v>
      </c>
      <c r="X26" s="42">
        <v>6000</v>
      </c>
      <c r="Y26" s="42">
        <v>6000</v>
      </c>
      <c r="Z26" s="42">
        <v>6000</v>
      </c>
      <c r="AA26" s="42">
        <v>6000</v>
      </c>
      <c r="AB26" s="42">
        <v>6000</v>
      </c>
      <c r="AC26" s="42">
        <v>6000</v>
      </c>
      <c r="AD26" s="42">
        <v>6000</v>
      </c>
      <c r="AE26" s="42">
        <v>6000</v>
      </c>
      <c r="AF26" s="42">
        <v>6000</v>
      </c>
      <c r="AG26" s="42">
        <v>6000</v>
      </c>
      <c r="AH26" s="42">
        <v>6000</v>
      </c>
      <c r="AI26" s="42">
        <v>6000</v>
      </c>
      <c r="AJ26" s="42">
        <v>6000</v>
      </c>
      <c r="AK26" s="42">
        <v>6000</v>
      </c>
      <c r="AL26" s="27"/>
      <c r="AM26" s="74">
        <f t="shared" si="0"/>
        <v>6000</v>
      </c>
    </row>
    <row r="27" spans="1:39" x14ac:dyDescent="0.35">
      <c r="A27" s="69" t="s">
        <v>78</v>
      </c>
      <c r="B27" s="29">
        <f>B25*B26</f>
        <v>12000</v>
      </c>
      <c r="C27" s="29">
        <f>C25*C26</f>
        <v>12000</v>
      </c>
      <c r="D27" s="29">
        <f t="shared" ref="D27:AK27" si="10">D25*D26</f>
        <v>12000</v>
      </c>
      <c r="E27" s="29">
        <f t="shared" si="10"/>
        <v>12000</v>
      </c>
      <c r="F27" s="29">
        <f t="shared" si="10"/>
        <v>12000</v>
      </c>
      <c r="G27" s="29">
        <f t="shared" si="10"/>
        <v>12000</v>
      </c>
      <c r="H27" s="29">
        <f t="shared" si="10"/>
        <v>12000</v>
      </c>
      <c r="I27" s="29">
        <f t="shared" si="10"/>
        <v>12000</v>
      </c>
      <c r="J27" s="29">
        <f t="shared" si="10"/>
        <v>12000</v>
      </c>
      <c r="K27" s="29">
        <f t="shared" si="10"/>
        <v>12000</v>
      </c>
      <c r="L27" s="29">
        <f t="shared" si="10"/>
        <v>12000</v>
      </c>
      <c r="M27" s="29">
        <f t="shared" si="10"/>
        <v>12000</v>
      </c>
      <c r="N27" s="29">
        <f t="shared" si="10"/>
        <v>12000</v>
      </c>
      <c r="O27" s="29">
        <f t="shared" si="10"/>
        <v>12000</v>
      </c>
      <c r="P27" s="29">
        <f t="shared" si="10"/>
        <v>12000</v>
      </c>
      <c r="Q27" s="29">
        <f t="shared" si="10"/>
        <v>12000</v>
      </c>
      <c r="R27" s="29">
        <f t="shared" si="10"/>
        <v>12000</v>
      </c>
      <c r="S27" s="29">
        <f t="shared" si="10"/>
        <v>12000</v>
      </c>
      <c r="T27" s="29">
        <f t="shared" si="10"/>
        <v>12000</v>
      </c>
      <c r="U27" s="29">
        <f t="shared" si="10"/>
        <v>12000</v>
      </c>
      <c r="V27" s="29">
        <f t="shared" si="10"/>
        <v>12000</v>
      </c>
      <c r="W27" s="29">
        <f t="shared" si="10"/>
        <v>12000</v>
      </c>
      <c r="X27" s="29">
        <f t="shared" si="10"/>
        <v>12000</v>
      </c>
      <c r="Y27" s="29">
        <f t="shared" si="10"/>
        <v>12000</v>
      </c>
      <c r="Z27" s="29">
        <f t="shared" si="10"/>
        <v>12000</v>
      </c>
      <c r="AA27" s="29">
        <f t="shared" si="10"/>
        <v>12000</v>
      </c>
      <c r="AB27" s="29">
        <f t="shared" si="10"/>
        <v>12000</v>
      </c>
      <c r="AC27" s="29">
        <f t="shared" si="10"/>
        <v>12000</v>
      </c>
      <c r="AD27" s="29">
        <f t="shared" si="10"/>
        <v>12000</v>
      </c>
      <c r="AE27" s="29">
        <f t="shared" si="10"/>
        <v>12000</v>
      </c>
      <c r="AF27" s="29">
        <f t="shared" si="10"/>
        <v>12000</v>
      </c>
      <c r="AG27" s="29">
        <f t="shared" si="10"/>
        <v>12000</v>
      </c>
      <c r="AH27" s="29">
        <f t="shared" si="10"/>
        <v>12000</v>
      </c>
      <c r="AI27" s="29">
        <f t="shared" si="10"/>
        <v>12000</v>
      </c>
      <c r="AJ27" s="29">
        <f t="shared" si="10"/>
        <v>12000</v>
      </c>
      <c r="AK27" s="29">
        <f t="shared" si="10"/>
        <v>12000</v>
      </c>
      <c r="AL27" s="29"/>
      <c r="AM27" s="72">
        <f t="shared" si="0"/>
        <v>12000</v>
      </c>
    </row>
    <row r="28" spans="1:39" x14ac:dyDescent="0.35">
      <c r="A28" s="69" t="s">
        <v>94</v>
      </c>
      <c r="B28" s="43">
        <v>24000</v>
      </c>
      <c r="C28" s="43">
        <v>24000</v>
      </c>
      <c r="D28" s="43">
        <v>24000</v>
      </c>
      <c r="E28" s="43">
        <v>24000</v>
      </c>
      <c r="F28" s="43">
        <v>24000</v>
      </c>
      <c r="G28" s="43">
        <v>24000</v>
      </c>
      <c r="H28" s="43">
        <v>24000</v>
      </c>
      <c r="I28" s="43">
        <v>24000</v>
      </c>
      <c r="J28" s="43">
        <v>24000</v>
      </c>
      <c r="K28" s="43">
        <v>24000</v>
      </c>
      <c r="L28" s="43">
        <v>24000</v>
      </c>
      <c r="M28" s="43">
        <v>24000</v>
      </c>
      <c r="N28" s="43">
        <v>24000</v>
      </c>
      <c r="O28" s="43">
        <v>24000</v>
      </c>
      <c r="P28" s="43">
        <v>24000</v>
      </c>
      <c r="Q28" s="43">
        <v>24000</v>
      </c>
      <c r="R28" s="43">
        <v>24000</v>
      </c>
      <c r="S28" s="43">
        <v>24000</v>
      </c>
      <c r="T28" s="43">
        <v>24000</v>
      </c>
      <c r="U28" s="43">
        <v>24000</v>
      </c>
      <c r="V28" s="43">
        <v>24000</v>
      </c>
      <c r="W28" s="43">
        <v>24000</v>
      </c>
      <c r="X28" s="43">
        <v>24000</v>
      </c>
      <c r="Y28" s="43">
        <v>24000</v>
      </c>
      <c r="Z28" s="43">
        <v>24000</v>
      </c>
      <c r="AA28" s="43">
        <v>24000</v>
      </c>
      <c r="AB28" s="43">
        <v>24000</v>
      </c>
      <c r="AC28" s="43">
        <v>24000</v>
      </c>
      <c r="AD28" s="43">
        <v>24000</v>
      </c>
      <c r="AE28" s="43">
        <v>24000</v>
      </c>
      <c r="AF28" s="43">
        <v>24000</v>
      </c>
      <c r="AG28" s="43">
        <v>24000</v>
      </c>
      <c r="AH28" s="43">
        <v>24000</v>
      </c>
      <c r="AI28" s="43">
        <v>24000</v>
      </c>
      <c r="AJ28" s="43">
        <v>24000</v>
      </c>
      <c r="AK28" s="43">
        <v>24000</v>
      </c>
      <c r="AL28" s="29"/>
      <c r="AM28" s="71">
        <f t="shared" si="0"/>
        <v>24000</v>
      </c>
    </row>
    <row r="29" spans="1:39" x14ac:dyDescent="0.35">
      <c r="A29" s="69" t="s">
        <v>95</v>
      </c>
      <c r="B29" s="29">
        <f>B28/12</f>
        <v>2000</v>
      </c>
      <c r="C29" s="29">
        <f>C28/12</f>
        <v>2000</v>
      </c>
      <c r="D29" s="29">
        <f t="shared" ref="D29:AK29" si="11">D28/12</f>
        <v>2000</v>
      </c>
      <c r="E29" s="29">
        <f t="shared" si="11"/>
        <v>2000</v>
      </c>
      <c r="F29" s="29">
        <f t="shared" si="11"/>
        <v>2000</v>
      </c>
      <c r="G29" s="29">
        <f t="shared" si="11"/>
        <v>2000</v>
      </c>
      <c r="H29" s="29">
        <f t="shared" si="11"/>
        <v>2000</v>
      </c>
      <c r="I29" s="29">
        <f t="shared" si="11"/>
        <v>2000</v>
      </c>
      <c r="J29" s="29">
        <f t="shared" si="11"/>
        <v>2000</v>
      </c>
      <c r="K29" s="29">
        <f t="shared" si="11"/>
        <v>2000</v>
      </c>
      <c r="L29" s="29">
        <f t="shared" si="11"/>
        <v>2000</v>
      </c>
      <c r="M29" s="29">
        <f t="shared" si="11"/>
        <v>2000</v>
      </c>
      <c r="N29" s="29">
        <f t="shared" si="11"/>
        <v>2000</v>
      </c>
      <c r="O29" s="29">
        <f t="shared" si="11"/>
        <v>2000</v>
      </c>
      <c r="P29" s="29">
        <f t="shared" si="11"/>
        <v>2000</v>
      </c>
      <c r="Q29" s="29">
        <f t="shared" si="11"/>
        <v>2000</v>
      </c>
      <c r="R29" s="29">
        <f t="shared" si="11"/>
        <v>2000</v>
      </c>
      <c r="S29" s="29">
        <f t="shared" si="11"/>
        <v>2000</v>
      </c>
      <c r="T29" s="29">
        <f t="shared" si="11"/>
        <v>2000</v>
      </c>
      <c r="U29" s="29">
        <f t="shared" si="11"/>
        <v>2000</v>
      </c>
      <c r="V29" s="29">
        <f t="shared" si="11"/>
        <v>2000</v>
      </c>
      <c r="W29" s="29">
        <f t="shared" si="11"/>
        <v>2000</v>
      </c>
      <c r="X29" s="29">
        <f t="shared" si="11"/>
        <v>2000</v>
      </c>
      <c r="Y29" s="29">
        <f t="shared" si="11"/>
        <v>2000</v>
      </c>
      <c r="Z29" s="29">
        <f t="shared" si="11"/>
        <v>2000</v>
      </c>
      <c r="AA29" s="29">
        <f t="shared" si="11"/>
        <v>2000</v>
      </c>
      <c r="AB29" s="29">
        <f t="shared" si="11"/>
        <v>2000</v>
      </c>
      <c r="AC29" s="29">
        <f t="shared" si="11"/>
        <v>2000</v>
      </c>
      <c r="AD29" s="29">
        <f t="shared" si="11"/>
        <v>2000</v>
      </c>
      <c r="AE29" s="29">
        <f t="shared" si="11"/>
        <v>2000</v>
      </c>
      <c r="AF29" s="29">
        <f t="shared" si="11"/>
        <v>2000</v>
      </c>
      <c r="AG29" s="29">
        <f t="shared" si="11"/>
        <v>2000</v>
      </c>
      <c r="AH29" s="29">
        <f t="shared" si="11"/>
        <v>2000</v>
      </c>
      <c r="AI29" s="29">
        <f t="shared" si="11"/>
        <v>2000</v>
      </c>
      <c r="AJ29" s="29">
        <f t="shared" si="11"/>
        <v>2000</v>
      </c>
      <c r="AK29" s="29">
        <f t="shared" si="11"/>
        <v>2000</v>
      </c>
      <c r="AL29" s="29"/>
      <c r="AM29" s="72">
        <f t="shared" si="0"/>
        <v>2000</v>
      </c>
    </row>
    <row r="30" spans="1:39" x14ac:dyDescent="0.35">
      <c r="A30" s="69" t="s">
        <v>79</v>
      </c>
      <c r="B30" s="43">
        <v>1500</v>
      </c>
      <c r="C30" s="43">
        <v>1500</v>
      </c>
      <c r="D30" s="43">
        <v>1500</v>
      </c>
      <c r="E30" s="43">
        <v>1500</v>
      </c>
      <c r="F30" s="43">
        <v>1500</v>
      </c>
      <c r="G30" s="43">
        <v>1500</v>
      </c>
      <c r="H30" s="43">
        <v>1500</v>
      </c>
      <c r="I30" s="43">
        <v>1500</v>
      </c>
      <c r="J30" s="43">
        <v>1500</v>
      </c>
      <c r="K30" s="43">
        <v>1500</v>
      </c>
      <c r="L30" s="43">
        <v>1500</v>
      </c>
      <c r="M30" s="43">
        <v>1500</v>
      </c>
      <c r="N30" s="43">
        <v>1500</v>
      </c>
      <c r="O30" s="43">
        <v>1500</v>
      </c>
      <c r="P30" s="43">
        <v>1500</v>
      </c>
      <c r="Q30" s="43">
        <v>1500</v>
      </c>
      <c r="R30" s="43">
        <v>1500</v>
      </c>
      <c r="S30" s="43">
        <v>1500</v>
      </c>
      <c r="T30" s="43">
        <v>1500</v>
      </c>
      <c r="U30" s="43">
        <v>1500</v>
      </c>
      <c r="V30" s="43">
        <v>1500</v>
      </c>
      <c r="W30" s="43">
        <v>1500</v>
      </c>
      <c r="X30" s="43">
        <v>1500</v>
      </c>
      <c r="Y30" s="43">
        <v>1500</v>
      </c>
      <c r="Z30" s="43">
        <v>1500</v>
      </c>
      <c r="AA30" s="43">
        <v>1500</v>
      </c>
      <c r="AB30" s="43">
        <v>1500</v>
      </c>
      <c r="AC30" s="43">
        <v>1500</v>
      </c>
      <c r="AD30" s="43">
        <v>1500</v>
      </c>
      <c r="AE30" s="43">
        <v>1500</v>
      </c>
      <c r="AF30" s="43">
        <v>1500</v>
      </c>
      <c r="AG30" s="43">
        <v>1500</v>
      </c>
      <c r="AH30" s="43">
        <v>1500</v>
      </c>
      <c r="AI30" s="43">
        <v>1500</v>
      </c>
      <c r="AJ30" s="43">
        <v>1500</v>
      </c>
      <c r="AK30" s="43">
        <v>1500</v>
      </c>
      <c r="AL30" s="29"/>
      <c r="AM30" s="71">
        <f t="shared" si="0"/>
        <v>1500</v>
      </c>
    </row>
    <row r="31" spans="1:39" s="24" customFormat="1" x14ac:dyDescent="0.35">
      <c r="A31" s="24" t="s">
        <v>80</v>
      </c>
      <c r="B31" s="28">
        <f>B27+B29+B30</f>
        <v>15500</v>
      </c>
      <c r="C31" s="28">
        <f>C27+C29+C30</f>
        <v>15500</v>
      </c>
      <c r="D31" s="28">
        <f t="shared" ref="D31:AK31" si="12">D27+D29+D30</f>
        <v>15500</v>
      </c>
      <c r="E31" s="28">
        <f t="shared" si="12"/>
        <v>15500</v>
      </c>
      <c r="F31" s="28">
        <f t="shared" si="12"/>
        <v>15500</v>
      </c>
      <c r="G31" s="28">
        <f t="shared" si="12"/>
        <v>15500</v>
      </c>
      <c r="H31" s="28">
        <f t="shared" si="12"/>
        <v>15500</v>
      </c>
      <c r="I31" s="28">
        <f t="shared" si="12"/>
        <v>15500</v>
      </c>
      <c r="J31" s="28">
        <f t="shared" si="12"/>
        <v>15500</v>
      </c>
      <c r="K31" s="28">
        <f t="shared" si="12"/>
        <v>15500</v>
      </c>
      <c r="L31" s="28">
        <f t="shared" si="12"/>
        <v>15500</v>
      </c>
      <c r="M31" s="28">
        <f t="shared" si="12"/>
        <v>15500</v>
      </c>
      <c r="N31" s="28">
        <f t="shared" si="12"/>
        <v>15500</v>
      </c>
      <c r="O31" s="28">
        <f t="shared" si="12"/>
        <v>15500</v>
      </c>
      <c r="P31" s="28">
        <f t="shared" si="12"/>
        <v>15500</v>
      </c>
      <c r="Q31" s="28">
        <f t="shared" si="12"/>
        <v>15500</v>
      </c>
      <c r="R31" s="28">
        <f t="shared" si="12"/>
        <v>15500</v>
      </c>
      <c r="S31" s="28">
        <f t="shared" si="12"/>
        <v>15500</v>
      </c>
      <c r="T31" s="28">
        <f t="shared" si="12"/>
        <v>15500</v>
      </c>
      <c r="U31" s="28">
        <f t="shared" si="12"/>
        <v>15500</v>
      </c>
      <c r="V31" s="28">
        <f t="shared" si="12"/>
        <v>15500</v>
      </c>
      <c r="W31" s="28">
        <f t="shared" si="12"/>
        <v>15500</v>
      </c>
      <c r="X31" s="28">
        <f t="shared" si="12"/>
        <v>15500</v>
      </c>
      <c r="Y31" s="28">
        <f t="shared" si="12"/>
        <v>15500</v>
      </c>
      <c r="Z31" s="28">
        <f t="shared" si="12"/>
        <v>15500</v>
      </c>
      <c r="AA31" s="28">
        <f t="shared" si="12"/>
        <v>15500</v>
      </c>
      <c r="AB31" s="28">
        <f t="shared" si="12"/>
        <v>15500</v>
      </c>
      <c r="AC31" s="28">
        <f t="shared" si="12"/>
        <v>15500</v>
      </c>
      <c r="AD31" s="28">
        <f t="shared" si="12"/>
        <v>15500</v>
      </c>
      <c r="AE31" s="28">
        <f t="shared" si="12"/>
        <v>15500</v>
      </c>
      <c r="AF31" s="28">
        <f t="shared" si="12"/>
        <v>15500</v>
      </c>
      <c r="AG31" s="28">
        <f t="shared" si="12"/>
        <v>15500</v>
      </c>
      <c r="AH31" s="28">
        <f t="shared" si="12"/>
        <v>15500</v>
      </c>
      <c r="AI31" s="28">
        <f t="shared" si="12"/>
        <v>15500</v>
      </c>
      <c r="AJ31" s="28">
        <f t="shared" si="12"/>
        <v>15500</v>
      </c>
      <c r="AK31" s="28">
        <f t="shared" si="12"/>
        <v>15500</v>
      </c>
      <c r="AL31" s="28"/>
      <c r="AM31" s="72">
        <f t="shared" si="0"/>
        <v>15500</v>
      </c>
    </row>
    <row r="32" spans="1:39" x14ac:dyDescent="0.35">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72"/>
    </row>
    <row r="33" spans="1:39" x14ac:dyDescent="0.35">
      <c r="A33" s="69" t="s">
        <v>81</v>
      </c>
      <c r="B33" s="40">
        <v>10000</v>
      </c>
      <c r="C33" s="40">
        <v>8000</v>
      </c>
      <c r="D33" s="40">
        <v>6000</v>
      </c>
      <c r="E33" s="40">
        <v>6000</v>
      </c>
      <c r="F33" s="40">
        <v>6000</v>
      </c>
      <c r="G33" s="40">
        <v>6000</v>
      </c>
      <c r="H33" s="40">
        <v>6000</v>
      </c>
      <c r="I33" s="40">
        <v>6000</v>
      </c>
      <c r="J33" s="40">
        <v>6000</v>
      </c>
      <c r="K33" s="40">
        <v>6000</v>
      </c>
      <c r="L33" s="40">
        <v>6000</v>
      </c>
      <c r="M33" s="40">
        <v>6000</v>
      </c>
      <c r="N33" s="40">
        <v>8000</v>
      </c>
      <c r="O33" s="40">
        <v>8000</v>
      </c>
      <c r="P33" s="40">
        <v>8000</v>
      </c>
      <c r="Q33" s="40">
        <v>8000</v>
      </c>
      <c r="R33" s="40">
        <v>8000</v>
      </c>
      <c r="S33" s="40">
        <v>8000</v>
      </c>
      <c r="T33" s="40">
        <v>8000</v>
      </c>
      <c r="U33" s="40">
        <v>8000</v>
      </c>
      <c r="V33" s="40">
        <v>8000</v>
      </c>
      <c r="W33" s="40">
        <v>8000</v>
      </c>
      <c r="X33" s="40">
        <v>8000</v>
      </c>
      <c r="Y33" s="40">
        <v>10000</v>
      </c>
      <c r="Z33" s="40">
        <v>10000</v>
      </c>
      <c r="AA33" s="40">
        <v>10000</v>
      </c>
      <c r="AB33" s="40">
        <v>10000</v>
      </c>
      <c r="AC33" s="40">
        <v>10000</v>
      </c>
      <c r="AD33" s="40">
        <v>10000</v>
      </c>
      <c r="AE33" s="40">
        <v>10000</v>
      </c>
      <c r="AF33" s="40">
        <v>10000</v>
      </c>
      <c r="AG33" s="40">
        <v>10000</v>
      </c>
      <c r="AH33" s="40">
        <v>10000</v>
      </c>
      <c r="AI33" s="40">
        <v>12000</v>
      </c>
      <c r="AJ33" s="40">
        <v>12000</v>
      </c>
      <c r="AK33" s="40">
        <v>12000</v>
      </c>
      <c r="AL33" s="26"/>
      <c r="AM33" s="71">
        <f t="shared" si="0"/>
        <v>8352.9411764705874</v>
      </c>
    </row>
    <row r="34" spans="1:39" x14ac:dyDescent="0.35">
      <c r="A34" s="69" t="s">
        <v>82</v>
      </c>
      <c r="B34" s="40">
        <v>3000</v>
      </c>
      <c r="C34" s="40">
        <v>3000</v>
      </c>
      <c r="D34" s="40">
        <v>3000</v>
      </c>
      <c r="E34" s="40">
        <v>3000</v>
      </c>
      <c r="F34" s="40">
        <v>3000</v>
      </c>
      <c r="G34" s="40">
        <v>3000</v>
      </c>
      <c r="H34" s="40">
        <v>3000</v>
      </c>
      <c r="I34" s="40">
        <v>3000</v>
      </c>
      <c r="J34" s="40">
        <v>3000</v>
      </c>
      <c r="K34" s="40">
        <v>3000</v>
      </c>
      <c r="L34" s="40">
        <v>3000</v>
      </c>
      <c r="M34" s="40">
        <v>3000</v>
      </c>
      <c r="N34" s="40">
        <v>3500</v>
      </c>
      <c r="O34" s="40">
        <v>3500</v>
      </c>
      <c r="P34" s="40">
        <v>3500</v>
      </c>
      <c r="Q34" s="40">
        <v>3500</v>
      </c>
      <c r="R34" s="40">
        <v>3500</v>
      </c>
      <c r="S34" s="40">
        <v>3500</v>
      </c>
      <c r="T34" s="40">
        <v>3500</v>
      </c>
      <c r="U34" s="40">
        <v>3500</v>
      </c>
      <c r="V34" s="40">
        <v>3500</v>
      </c>
      <c r="W34" s="40">
        <v>3500</v>
      </c>
      <c r="X34" s="40">
        <v>3500</v>
      </c>
      <c r="Y34" s="40">
        <v>4000</v>
      </c>
      <c r="Z34" s="40">
        <v>4000</v>
      </c>
      <c r="AA34" s="40">
        <v>4000</v>
      </c>
      <c r="AB34" s="40">
        <v>4000</v>
      </c>
      <c r="AC34" s="40">
        <v>4000</v>
      </c>
      <c r="AD34" s="40">
        <v>4000</v>
      </c>
      <c r="AE34" s="40">
        <v>4000</v>
      </c>
      <c r="AF34" s="40">
        <v>4000</v>
      </c>
      <c r="AG34" s="40">
        <v>4000</v>
      </c>
      <c r="AH34" s="40">
        <v>4000</v>
      </c>
      <c r="AI34" s="40">
        <v>5000</v>
      </c>
      <c r="AJ34" s="40">
        <v>5000</v>
      </c>
      <c r="AK34" s="40">
        <v>5000</v>
      </c>
      <c r="AL34" s="26"/>
      <c r="AM34" s="71">
        <f t="shared" si="0"/>
        <v>3632.3529411764707</v>
      </c>
    </row>
    <row r="35" spans="1:39" x14ac:dyDescent="0.35">
      <c r="A35" s="69" t="s">
        <v>83</v>
      </c>
      <c r="B35" s="40">
        <v>1500</v>
      </c>
      <c r="C35" s="40">
        <v>1500</v>
      </c>
      <c r="D35" s="40">
        <v>1500</v>
      </c>
      <c r="E35" s="40">
        <v>1500</v>
      </c>
      <c r="F35" s="40">
        <v>1500</v>
      </c>
      <c r="G35" s="40">
        <v>1500</v>
      </c>
      <c r="H35" s="40">
        <v>1500</v>
      </c>
      <c r="I35" s="40">
        <v>1500</v>
      </c>
      <c r="J35" s="40">
        <v>1500</v>
      </c>
      <c r="K35" s="40">
        <v>1500</v>
      </c>
      <c r="L35" s="40">
        <v>1500</v>
      </c>
      <c r="M35" s="40">
        <v>1500</v>
      </c>
      <c r="N35" s="40">
        <v>1500</v>
      </c>
      <c r="O35" s="40">
        <v>1500</v>
      </c>
      <c r="P35" s="40">
        <v>1500</v>
      </c>
      <c r="Q35" s="40">
        <v>1500</v>
      </c>
      <c r="R35" s="40">
        <v>1500</v>
      </c>
      <c r="S35" s="40">
        <v>1500</v>
      </c>
      <c r="T35" s="40">
        <v>1500</v>
      </c>
      <c r="U35" s="40">
        <v>1500</v>
      </c>
      <c r="V35" s="40">
        <v>1500</v>
      </c>
      <c r="W35" s="40">
        <v>1500</v>
      </c>
      <c r="X35" s="40">
        <v>1500</v>
      </c>
      <c r="Y35" s="40">
        <v>2000</v>
      </c>
      <c r="Z35" s="40">
        <v>2000</v>
      </c>
      <c r="AA35" s="40">
        <v>2000</v>
      </c>
      <c r="AB35" s="40">
        <v>2000</v>
      </c>
      <c r="AC35" s="40">
        <v>2000</v>
      </c>
      <c r="AD35" s="40">
        <v>2000</v>
      </c>
      <c r="AE35" s="40">
        <v>2000</v>
      </c>
      <c r="AF35" s="40">
        <v>2000</v>
      </c>
      <c r="AG35" s="40">
        <v>2000</v>
      </c>
      <c r="AH35" s="40">
        <v>2000</v>
      </c>
      <c r="AI35" s="40">
        <v>2500</v>
      </c>
      <c r="AJ35" s="40">
        <v>2500</v>
      </c>
      <c r="AK35" s="40">
        <v>2500</v>
      </c>
      <c r="AL35" s="26"/>
      <c r="AM35" s="71">
        <f t="shared" si="0"/>
        <v>1735.2941176470588</v>
      </c>
    </row>
    <row r="36" spans="1:39" s="25" customFormat="1" ht="12" x14ac:dyDescent="0.3">
      <c r="A36" s="25" t="s">
        <v>49</v>
      </c>
      <c r="B36" s="42">
        <v>20</v>
      </c>
      <c r="C36" s="42">
        <v>20</v>
      </c>
      <c r="D36" s="42">
        <v>19</v>
      </c>
      <c r="E36" s="42">
        <v>18</v>
      </c>
      <c r="F36" s="42">
        <v>17</v>
      </c>
      <c r="G36" s="42">
        <v>16</v>
      </c>
      <c r="H36" s="42">
        <v>15</v>
      </c>
      <c r="I36" s="42">
        <v>14</v>
      </c>
      <c r="J36" s="42">
        <v>13</v>
      </c>
      <c r="K36" s="42">
        <v>12</v>
      </c>
      <c r="L36" s="42">
        <v>11</v>
      </c>
      <c r="M36" s="42">
        <v>10</v>
      </c>
      <c r="N36" s="42">
        <v>10</v>
      </c>
      <c r="O36" s="42">
        <v>9</v>
      </c>
      <c r="P36" s="42">
        <v>9</v>
      </c>
      <c r="Q36" s="42">
        <v>8</v>
      </c>
      <c r="R36" s="42">
        <v>8</v>
      </c>
      <c r="S36" s="42">
        <v>8</v>
      </c>
      <c r="T36" s="42">
        <v>7</v>
      </c>
      <c r="U36" s="42">
        <v>7</v>
      </c>
      <c r="V36" s="42">
        <v>7</v>
      </c>
      <c r="W36" s="42">
        <v>6</v>
      </c>
      <c r="X36" s="42">
        <v>6</v>
      </c>
      <c r="Y36" s="42">
        <v>6</v>
      </c>
      <c r="Z36" s="42">
        <v>5</v>
      </c>
      <c r="AA36" s="42">
        <v>5</v>
      </c>
      <c r="AB36" s="42">
        <v>5</v>
      </c>
      <c r="AC36" s="42">
        <v>5</v>
      </c>
      <c r="AD36" s="42">
        <v>5</v>
      </c>
      <c r="AE36" s="42">
        <v>4</v>
      </c>
      <c r="AF36" s="42">
        <v>4</v>
      </c>
      <c r="AG36" s="42">
        <v>4</v>
      </c>
      <c r="AH36" s="42">
        <v>4</v>
      </c>
      <c r="AI36" s="42">
        <v>4</v>
      </c>
      <c r="AJ36" s="42">
        <v>3</v>
      </c>
      <c r="AK36" s="42">
        <v>3</v>
      </c>
      <c r="AL36" s="27"/>
      <c r="AM36" s="74">
        <f t="shared" si="0"/>
        <v>8.4411764705882355</v>
      </c>
    </row>
    <row r="37" spans="1:39" x14ac:dyDescent="0.35">
      <c r="A37" s="69" t="s">
        <v>84</v>
      </c>
      <c r="B37" s="26">
        <f>'3 Product financial details'!B2*B36</f>
        <v>0</v>
      </c>
      <c r="C37" s="26">
        <f>'3 Product financial details'!C2*C36</f>
        <v>0</v>
      </c>
      <c r="D37" s="26">
        <f>'3 Product financial details'!D2*D36</f>
        <v>950</v>
      </c>
      <c r="E37" s="26">
        <f>'3 Product financial details'!E2*E36</f>
        <v>1080</v>
      </c>
      <c r="F37" s="26">
        <f>'3 Product financial details'!F2*F36</f>
        <v>1190</v>
      </c>
      <c r="G37" s="26">
        <f>'3 Product financial details'!G2*G36</f>
        <v>1280</v>
      </c>
      <c r="H37" s="26">
        <f>'3 Product financial details'!H2*H36</f>
        <v>1350</v>
      </c>
      <c r="I37" s="26">
        <f>'3 Product financial details'!I2*I36</f>
        <v>1400</v>
      </c>
      <c r="J37" s="26">
        <f>'3 Product financial details'!J2*J36</f>
        <v>1430</v>
      </c>
      <c r="K37" s="26">
        <f>'3 Product financial details'!K2*K36</f>
        <v>1440</v>
      </c>
      <c r="L37" s="26">
        <f>'3 Product financial details'!L2*L36</f>
        <v>1430</v>
      </c>
      <c r="M37" s="26">
        <f>'3 Product financial details'!M2*M36</f>
        <v>1400</v>
      </c>
      <c r="N37" s="26">
        <f>'3 Product financial details'!N2*N36</f>
        <v>1500</v>
      </c>
      <c r="O37" s="26">
        <f>'3 Product financial details'!O2*O36</f>
        <v>1440</v>
      </c>
      <c r="P37" s="26">
        <f>'3 Product financial details'!P2*P36</f>
        <v>1530</v>
      </c>
      <c r="Q37" s="26">
        <f>'3 Product financial details'!Q2*Q36</f>
        <v>1440</v>
      </c>
      <c r="R37" s="26">
        <f>'3 Product financial details'!R2*R36</f>
        <v>1520</v>
      </c>
      <c r="S37" s="26">
        <f>'3 Product financial details'!S2*S36</f>
        <v>1600</v>
      </c>
      <c r="T37" s="26">
        <f>'3 Product financial details'!T2*T36</f>
        <v>1470</v>
      </c>
      <c r="U37" s="26">
        <f>'3 Product financial details'!U2*U36</f>
        <v>1540</v>
      </c>
      <c r="V37" s="26">
        <f>'3 Product financial details'!V2*V36</f>
        <v>1610</v>
      </c>
      <c r="W37" s="26">
        <f>'3 Product financial details'!W2*W36</f>
        <v>1440</v>
      </c>
      <c r="X37" s="26">
        <f>'3 Product financial details'!X2*X36</f>
        <v>1500</v>
      </c>
      <c r="Y37" s="26">
        <f>'3 Product financial details'!Y2*Y36</f>
        <v>1560</v>
      </c>
      <c r="Z37" s="26">
        <f>'3 Product financial details'!Z2*Z36</f>
        <v>1350</v>
      </c>
      <c r="AA37" s="26">
        <f>'3 Product financial details'!AA2*AA36</f>
        <v>1400</v>
      </c>
      <c r="AB37" s="26">
        <f>'3 Product financial details'!AB2*AB36</f>
        <v>1450</v>
      </c>
      <c r="AC37" s="26">
        <f>'3 Product financial details'!AC2*AC36</f>
        <v>1500</v>
      </c>
      <c r="AD37" s="26">
        <f>'3 Product financial details'!AD2*AD36</f>
        <v>1550</v>
      </c>
      <c r="AE37" s="26">
        <f>'3 Product financial details'!AE2*AE36</f>
        <v>1280</v>
      </c>
      <c r="AF37" s="26">
        <f>'3 Product financial details'!AF2*AF36</f>
        <v>1320</v>
      </c>
      <c r="AG37" s="26">
        <f>'3 Product financial details'!AG2*AG36</f>
        <v>1360</v>
      </c>
      <c r="AH37" s="26">
        <f>'3 Product financial details'!AH2*AH36</f>
        <v>1400</v>
      </c>
      <c r="AI37" s="26">
        <f>'3 Product financial details'!AI2*AI36</f>
        <v>1440</v>
      </c>
      <c r="AJ37" s="26">
        <f>'3 Product financial details'!AJ2*AJ36</f>
        <v>1110</v>
      </c>
      <c r="AK37" s="26">
        <f>'3 Product financial details'!AK2*AK36</f>
        <v>1140</v>
      </c>
      <c r="AL37" s="26"/>
      <c r="AM37" s="72">
        <f t="shared" si="0"/>
        <v>1394.1176470588234</v>
      </c>
    </row>
    <row r="38" spans="1:39" s="24" customFormat="1" x14ac:dyDescent="0.35">
      <c r="A38" s="24" t="s">
        <v>85</v>
      </c>
      <c r="B38" s="28">
        <f>SUM(B33:B37)</f>
        <v>14520</v>
      </c>
      <c r="C38" s="28">
        <f>SUM(C33:C37)</f>
        <v>12520</v>
      </c>
      <c r="D38" s="28">
        <f t="shared" ref="D38:AK38" si="13">SUM(D33:D37)</f>
        <v>11469</v>
      </c>
      <c r="E38" s="28">
        <f t="shared" si="13"/>
        <v>11598</v>
      </c>
      <c r="F38" s="28">
        <f t="shared" si="13"/>
        <v>11707</v>
      </c>
      <c r="G38" s="28">
        <f t="shared" si="13"/>
        <v>11796</v>
      </c>
      <c r="H38" s="28">
        <f t="shared" si="13"/>
        <v>11865</v>
      </c>
      <c r="I38" s="28">
        <f t="shared" si="13"/>
        <v>11914</v>
      </c>
      <c r="J38" s="28">
        <f t="shared" si="13"/>
        <v>11943</v>
      </c>
      <c r="K38" s="28">
        <f t="shared" si="13"/>
        <v>11952</v>
      </c>
      <c r="L38" s="28">
        <f t="shared" si="13"/>
        <v>11941</v>
      </c>
      <c r="M38" s="28">
        <f t="shared" si="13"/>
        <v>11910</v>
      </c>
      <c r="N38" s="28">
        <f t="shared" si="13"/>
        <v>14510</v>
      </c>
      <c r="O38" s="28">
        <f t="shared" si="13"/>
        <v>14449</v>
      </c>
      <c r="P38" s="28">
        <f t="shared" si="13"/>
        <v>14539</v>
      </c>
      <c r="Q38" s="28">
        <f t="shared" si="13"/>
        <v>14448</v>
      </c>
      <c r="R38" s="28">
        <f t="shared" si="13"/>
        <v>14528</v>
      </c>
      <c r="S38" s="28">
        <f t="shared" si="13"/>
        <v>14608</v>
      </c>
      <c r="T38" s="28">
        <f t="shared" si="13"/>
        <v>14477</v>
      </c>
      <c r="U38" s="28">
        <f t="shared" si="13"/>
        <v>14547</v>
      </c>
      <c r="V38" s="28">
        <f t="shared" si="13"/>
        <v>14617</v>
      </c>
      <c r="W38" s="28">
        <f t="shared" si="13"/>
        <v>14446</v>
      </c>
      <c r="X38" s="28">
        <f t="shared" si="13"/>
        <v>14506</v>
      </c>
      <c r="Y38" s="28">
        <f t="shared" si="13"/>
        <v>17566</v>
      </c>
      <c r="Z38" s="28">
        <f t="shared" si="13"/>
        <v>17355</v>
      </c>
      <c r="AA38" s="28">
        <f t="shared" si="13"/>
        <v>17405</v>
      </c>
      <c r="AB38" s="28">
        <f t="shared" si="13"/>
        <v>17455</v>
      </c>
      <c r="AC38" s="28">
        <f t="shared" si="13"/>
        <v>17505</v>
      </c>
      <c r="AD38" s="28">
        <f t="shared" si="13"/>
        <v>17555</v>
      </c>
      <c r="AE38" s="28">
        <f t="shared" si="13"/>
        <v>17284</v>
      </c>
      <c r="AF38" s="28">
        <f t="shared" si="13"/>
        <v>17324</v>
      </c>
      <c r="AG38" s="28">
        <f t="shared" si="13"/>
        <v>17364</v>
      </c>
      <c r="AH38" s="28">
        <f t="shared" si="13"/>
        <v>17404</v>
      </c>
      <c r="AI38" s="28">
        <f t="shared" si="13"/>
        <v>20944</v>
      </c>
      <c r="AJ38" s="28">
        <f t="shared" si="13"/>
        <v>20613</v>
      </c>
      <c r="AK38" s="28">
        <f t="shared" si="13"/>
        <v>20643</v>
      </c>
      <c r="AL38" s="28"/>
      <c r="AM38" s="72">
        <f t="shared" si="0"/>
        <v>15123.14705882353</v>
      </c>
    </row>
    <row r="39" spans="1:39" x14ac:dyDescent="0.35">
      <c r="B39" s="26"/>
    </row>
    <row r="40" spans="1:39" x14ac:dyDescent="0.35">
      <c r="B40" s="26"/>
    </row>
    <row r="41" spans="1:39" x14ac:dyDescent="0.35">
      <c r="B41" s="26"/>
    </row>
    <row r="42" spans="1:39" x14ac:dyDescent="0.35">
      <c r="B42" s="26"/>
    </row>
    <row r="43" spans="1:39" x14ac:dyDescent="0.35">
      <c r="B43" s="26"/>
    </row>
    <row r="44" spans="1:39" x14ac:dyDescent="0.35">
      <c r="B44" s="26"/>
    </row>
    <row r="45" spans="1:39" x14ac:dyDescent="0.35">
      <c r="A45" t="s">
        <v>27</v>
      </c>
      <c r="B45" s="26">
        <f>AVERAGE(B3:AK3)</f>
        <v>899</v>
      </c>
    </row>
    <row r="46" spans="1:39" x14ac:dyDescent="0.35">
      <c r="A46" t="s">
        <v>10</v>
      </c>
      <c r="B46" s="26">
        <f>-AVERAGE(B4:AK4)</f>
        <v>-81.527777777777771</v>
      </c>
    </row>
    <row r="47" spans="1:39" x14ac:dyDescent="0.35">
      <c r="A47" t="s">
        <v>11</v>
      </c>
      <c r="B47" s="26">
        <f>-AVERAGE(D5:AK5)</f>
        <v>-54.084270701021637</v>
      </c>
    </row>
    <row r="48" spans="1:39" x14ac:dyDescent="0.35">
      <c r="A48" t="s">
        <v>12</v>
      </c>
      <c r="B48" s="26">
        <f>-AVERAGE(D6:AK6)</f>
        <v>-118.62690844577779</v>
      </c>
    </row>
    <row r="49" spans="1:2" x14ac:dyDescent="0.35">
      <c r="B49" s="26"/>
    </row>
    <row r="50" spans="1:2" x14ac:dyDescent="0.35">
      <c r="A50" t="s">
        <v>32</v>
      </c>
      <c r="B50" s="26">
        <f>-SUM(B45:B48)</f>
        <v>-644.76104307542278</v>
      </c>
    </row>
    <row r="51" spans="1:2" x14ac:dyDescent="0.35">
      <c r="B51" s="26"/>
    </row>
    <row r="52" spans="1:2" x14ac:dyDescent="0.35">
      <c r="B52" s="26"/>
    </row>
    <row r="53" spans="1:2" x14ac:dyDescent="0.35">
      <c r="B53" s="26"/>
    </row>
    <row r="54" spans="1:2" x14ac:dyDescent="0.35">
      <c r="B54" s="26"/>
    </row>
    <row r="55" spans="1:2" x14ac:dyDescent="0.35">
      <c r="B55" s="26"/>
    </row>
    <row r="56" spans="1:2" x14ac:dyDescent="0.35">
      <c r="B56" s="26"/>
    </row>
  </sheetData>
  <sheetProtection algorithmName="SHA-512" hashValue="wPirmsgslcBn7FdgXAK5LCpjiz6tvAFWLD3sxttFWmHzgwyUdXa7NG+UBX6PHyGX+WdUduDOyE8RysCSLCQ0JA==" saltValue="ZJidQW/C14ulKIxIA4FD5A==" spinCount="100000" sheet="1" objects="1" scenarios="1"/>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81"/>
  <sheetViews>
    <sheetView showGridLines="0" zoomScale="85" zoomScaleNormal="85" workbookViewId="0">
      <pane xSplit="2" ySplit="2" topLeftCell="C3" activePane="bottomRight" state="frozen"/>
      <selection activeCell="G22" sqref="G12:M22"/>
      <selection pane="topRight" activeCell="G22" sqref="G12:M22"/>
      <selection pane="bottomLeft" activeCell="G22" sqref="G12:M22"/>
      <selection pane="bottomRight" activeCell="C17" sqref="C17"/>
    </sheetView>
  </sheetViews>
  <sheetFormatPr defaultColWidth="9.1796875" defaultRowHeight="12" customHeight="1" x14ac:dyDescent="0.35"/>
  <cols>
    <col min="1" max="1" width="3.54296875" style="1" customWidth="1"/>
    <col min="2" max="2" width="32.1796875" style="1" bestFit="1" customWidth="1"/>
    <col min="3" max="14" width="8.81640625" style="1" customWidth="1"/>
    <col min="15" max="38" width="9.1796875" style="1"/>
    <col min="39" max="39" width="2.1796875" style="1" customWidth="1"/>
    <col min="40" max="40" width="9.453125" style="1" bestFit="1" customWidth="1"/>
    <col min="41" max="16384" width="9.1796875" style="1"/>
  </cols>
  <sheetData>
    <row r="1" spans="1:40" ht="12" customHeight="1" thickBot="1" x14ac:dyDescent="0.4">
      <c r="A1" s="2"/>
      <c r="B1" s="3"/>
      <c r="C1" s="82" t="s">
        <v>18</v>
      </c>
      <c r="D1" s="82"/>
      <c r="E1" s="82"/>
      <c r="F1" s="82"/>
      <c r="G1" s="82"/>
      <c r="H1" s="82"/>
      <c r="I1" s="82"/>
      <c r="J1" s="82"/>
      <c r="K1" s="82"/>
      <c r="L1" s="82"/>
      <c r="M1" s="82"/>
      <c r="N1" s="82"/>
      <c r="O1" s="82" t="s">
        <v>47</v>
      </c>
      <c r="P1" s="82"/>
      <c r="Q1" s="82"/>
      <c r="R1" s="82"/>
      <c r="S1" s="82"/>
      <c r="T1" s="82"/>
      <c r="U1" s="82"/>
      <c r="V1" s="82"/>
      <c r="W1" s="82"/>
      <c r="X1" s="82"/>
      <c r="Y1" s="82"/>
      <c r="Z1" s="82"/>
      <c r="AA1" s="82" t="s">
        <v>48</v>
      </c>
      <c r="AB1" s="82"/>
      <c r="AC1" s="82"/>
      <c r="AD1" s="82"/>
      <c r="AE1" s="82"/>
      <c r="AF1" s="82"/>
      <c r="AG1" s="82"/>
      <c r="AH1" s="82"/>
      <c r="AI1" s="82"/>
      <c r="AJ1" s="82"/>
      <c r="AK1" s="82"/>
      <c r="AL1" s="82"/>
    </row>
    <row r="2" spans="1:40" ht="12" customHeight="1" x14ac:dyDescent="0.35">
      <c r="A2" s="9" t="s">
        <v>0</v>
      </c>
      <c r="B2" s="9" t="s">
        <v>1</v>
      </c>
      <c r="C2" s="9">
        <v>1</v>
      </c>
      <c r="D2" s="9">
        <v>2</v>
      </c>
      <c r="E2" s="9">
        <v>3</v>
      </c>
      <c r="F2" s="9">
        <v>4</v>
      </c>
      <c r="G2" s="9">
        <v>5</v>
      </c>
      <c r="H2" s="9">
        <v>6</v>
      </c>
      <c r="I2" s="9">
        <v>7</v>
      </c>
      <c r="J2" s="9">
        <v>8</v>
      </c>
      <c r="K2" s="9">
        <v>9</v>
      </c>
      <c r="L2" s="9">
        <v>10</v>
      </c>
      <c r="M2" s="9">
        <v>11</v>
      </c>
      <c r="N2" s="9">
        <v>12</v>
      </c>
      <c r="O2" s="9">
        <v>13</v>
      </c>
      <c r="P2" s="9">
        <v>14</v>
      </c>
      <c r="Q2" s="9">
        <v>15</v>
      </c>
      <c r="R2" s="9">
        <v>16</v>
      </c>
      <c r="S2" s="9">
        <v>17</v>
      </c>
      <c r="T2" s="9">
        <v>18</v>
      </c>
      <c r="U2" s="9">
        <v>19</v>
      </c>
      <c r="V2" s="9">
        <v>20</v>
      </c>
      <c r="W2" s="9">
        <v>21</v>
      </c>
      <c r="X2" s="9">
        <v>22</v>
      </c>
      <c r="Y2" s="9">
        <v>23</v>
      </c>
      <c r="Z2" s="9">
        <v>24</v>
      </c>
      <c r="AA2" s="9">
        <v>25</v>
      </c>
      <c r="AB2" s="9">
        <v>26</v>
      </c>
      <c r="AC2" s="9">
        <v>27</v>
      </c>
      <c r="AD2" s="9">
        <v>28</v>
      </c>
      <c r="AE2" s="9">
        <v>29</v>
      </c>
      <c r="AF2" s="9">
        <v>30</v>
      </c>
      <c r="AG2" s="9">
        <v>31</v>
      </c>
      <c r="AH2" s="9">
        <v>32</v>
      </c>
      <c r="AI2" s="9">
        <v>33</v>
      </c>
      <c r="AJ2" s="9">
        <v>34</v>
      </c>
      <c r="AK2" s="9">
        <v>35</v>
      </c>
      <c r="AL2" s="9">
        <v>36</v>
      </c>
      <c r="AN2" s="9" t="s">
        <v>52</v>
      </c>
    </row>
    <row r="3" spans="1:40" ht="12" customHeight="1" x14ac:dyDescent="0.35">
      <c r="A3" s="10">
        <v>1</v>
      </c>
      <c r="B3" s="11" t="s">
        <v>36</v>
      </c>
      <c r="C3" s="44">
        <v>200000</v>
      </c>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N3" s="12">
        <f>SUM(C3:AL3)</f>
        <v>200000</v>
      </c>
    </row>
    <row r="4" spans="1:40" ht="12" customHeight="1" x14ac:dyDescent="0.35">
      <c r="A4" s="10">
        <f>A3+1</f>
        <v>2</v>
      </c>
      <c r="B4" s="11" t="s">
        <v>37</v>
      </c>
      <c r="C4" s="44">
        <v>150000</v>
      </c>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N4" s="12">
        <f t="shared" ref="AN4:AN16" si="0">SUM(C4:AL4)</f>
        <v>150000</v>
      </c>
    </row>
    <row r="5" spans="1:40" ht="12" customHeight="1" x14ac:dyDescent="0.35">
      <c r="A5" s="10">
        <f t="shared" ref="A5:A16" si="1">A4+1</f>
        <v>3</v>
      </c>
      <c r="B5" s="11" t="s">
        <v>38</v>
      </c>
      <c r="C5" s="44">
        <v>300000</v>
      </c>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N5" s="12">
        <f t="shared" si="0"/>
        <v>300000</v>
      </c>
    </row>
    <row r="6" spans="1:40" ht="12" customHeight="1" x14ac:dyDescent="0.35">
      <c r="A6" s="10">
        <f t="shared" si="1"/>
        <v>4</v>
      </c>
      <c r="B6" s="11" t="s">
        <v>39</v>
      </c>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N6" s="12">
        <f t="shared" si="0"/>
        <v>0</v>
      </c>
    </row>
    <row r="7" spans="1:40" ht="12" customHeight="1" x14ac:dyDescent="0.35">
      <c r="A7" s="10">
        <f t="shared" si="1"/>
        <v>5</v>
      </c>
      <c r="B7" s="11" t="s">
        <v>40</v>
      </c>
      <c r="C7" s="44">
        <v>100000</v>
      </c>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N7" s="12">
        <f t="shared" si="0"/>
        <v>100000</v>
      </c>
    </row>
    <row r="8" spans="1:40" ht="12" customHeight="1" x14ac:dyDescent="0.35">
      <c r="A8" s="10">
        <f t="shared" si="1"/>
        <v>6</v>
      </c>
      <c r="B8" s="11" t="s">
        <v>41</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N8" s="12">
        <f t="shared" si="0"/>
        <v>0</v>
      </c>
    </row>
    <row r="9" spans="1:40" ht="12" customHeight="1" x14ac:dyDescent="0.35">
      <c r="A9" s="10">
        <f t="shared" si="1"/>
        <v>7</v>
      </c>
      <c r="B9" s="11" t="s">
        <v>42</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N9" s="12">
        <f t="shared" si="0"/>
        <v>0</v>
      </c>
    </row>
    <row r="10" spans="1:40" ht="12" customHeight="1" x14ac:dyDescent="0.35">
      <c r="A10" s="10">
        <f t="shared" si="1"/>
        <v>8</v>
      </c>
      <c r="B10" s="11" t="s">
        <v>43</v>
      </c>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N10" s="12">
        <f t="shared" si="0"/>
        <v>0</v>
      </c>
    </row>
    <row r="11" spans="1:40" ht="12" customHeight="1" x14ac:dyDescent="0.35">
      <c r="A11" s="10">
        <f t="shared" si="1"/>
        <v>9</v>
      </c>
      <c r="B11" s="11" t="s">
        <v>44</v>
      </c>
      <c r="C11" s="44"/>
      <c r="D11" s="44"/>
      <c r="E11" s="44"/>
      <c r="F11" s="44"/>
      <c r="G11" s="44"/>
      <c r="H11" s="44"/>
      <c r="I11" s="44"/>
      <c r="J11" s="44"/>
      <c r="K11" s="44"/>
      <c r="L11" s="44"/>
      <c r="M11" s="44"/>
      <c r="N11" s="44"/>
      <c r="O11" s="44"/>
      <c r="P11" s="44"/>
      <c r="Q11" s="44"/>
      <c r="R11" s="44"/>
      <c r="S11" s="44"/>
      <c r="T11" s="44">
        <v>500000</v>
      </c>
      <c r="U11" s="44"/>
      <c r="V11" s="44"/>
      <c r="W11" s="44"/>
      <c r="X11" s="44"/>
      <c r="Y11" s="44"/>
      <c r="Z11" s="44"/>
      <c r="AA11" s="44"/>
      <c r="AB11" s="44"/>
      <c r="AC11" s="44"/>
      <c r="AD11" s="44"/>
      <c r="AE11" s="44"/>
      <c r="AF11" s="44"/>
      <c r="AG11" s="44"/>
      <c r="AH11" s="44"/>
      <c r="AI11" s="44"/>
      <c r="AJ11" s="44"/>
      <c r="AK11" s="44"/>
      <c r="AL11" s="44"/>
      <c r="AN11" s="12">
        <f t="shared" si="0"/>
        <v>500000</v>
      </c>
    </row>
    <row r="12" spans="1:40" ht="12" customHeight="1" x14ac:dyDescent="0.35">
      <c r="A12" s="10">
        <f t="shared" si="1"/>
        <v>10</v>
      </c>
      <c r="B12" s="11" t="s">
        <v>45</v>
      </c>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N12" s="12">
        <f t="shared" si="0"/>
        <v>0</v>
      </c>
    </row>
    <row r="13" spans="1:40" ht="12" customHeight="1" x14ac:dyDescent="0.35">
      <c r="A13" s="10">
        <f t="shared" si="1"/>
        <v>11</v>
      </c>
      <c r="B13" s="11" t="s">
        <v>46</v>
      </c>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N13" s="12">
        <f t="shared" si="0"/>
        <v>0</v>
      </c>
    </row>
    <row r="14" spans="1:40" ht="12" customHeight="1" x14ac:dyDescent="0.35">
      <c r="A14" s="10">
        <f t="shared" si="1"/>
        <v>12</v>
      </c>
      <c r="B14" s="11" t="s">
        <v>3</v>
      </c>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N14" s="12">
        <f t="shared" si="0"/>
        <v>0</v>
      </c>
    </row>
    <row r="15" spans="1:40" ht="12" customHeight="1" x14ac:dyDescent="0.35">
      <c r="A15" s="10">
        <f t="shared" si="1"/>
        <v>13</v>
      </c>
      <c r="B15" s="11" t="s">
        <v>4</v>
      </c>
      <c r="C15" s="12">
        <f>'3 Product financial details'!B2*'3 Product financial details'!B3</f>
        <v>0</v>
      </c>
      <c r="D15" s="12">
        <f>'3 Product financial details'!C2*'3 Product financial details'!C3</f>
        <v>0</v>
      </c>
      <c r="E15" s="12">
        <f>'3 Product financial details'!D2*'3 Product financial details'!D3</f>
        <v>44950</v>
      </c>
      <c r="F15" s="12">
        <f>'3 Product financial details'!E2*'3 Product financial details'!E3</f>
        <v>53940</v>
      </c>
      <c r="G15" s="12">
        <f>'3 Product financial details'!F2*'3 Product financial details'!F3</f>
        <v>62930</v>
      </c>
      <c r="H15" s="12">
        <f>'3 Product financial details'!G2*'3 Product financial details'!G3</f>
        <v>71920</v>
      </c>
      <c r="I15" s="12">
        <f>'3 Product financial details'!H2*'3 Product financial details'!H3</f>
        <v>80910</v>
      </c>
      <c r="J15" s="12">
        <f>'3 Product financial details'!I2*'3 Product financial details'!I3</f>
        <v>89900</v>
      </c>
      <c r="K15" s="12">
        <f>'3 Product financial details'!J2*'3 Product financial details'!J3</f>
        <v>98890</v>
      </c>
      <c r="L15" s="12">
        <f>'3 Product financial details'!K2*'3 Product financial details'!K3</f>
        <v>107880</v>
      </c>
      <c r="M15" s="12">
        <f>'3 Product financial details'!L2*'3 Product financial details'!L3</f>
        <v>116870</v>
      </c>
      <c r="N15" s="12">
        <f>'3 Product financial details'!M2*'3 Product financial details'!M3</f>
        <v>125860</v>
      </c>
      <c r="O15" s="12">
        <f>'3 Product financial details'!N2*'3 Product financial details'!N3</f>
        <v>134850</v>
      </c>
      <c r="P15" s="12">
        <f>'3 Product financial details'!O2*'3 Product financial details'!O3</f>
        <v>143840</v>
      </c>
      <c r="Q15" s="12">
        <f>'3 Product financial details'!P2*'3 Product financial details'!P3</f>
        <v>152830</v>
      </c>
      <c r="R15" s="12">
        <f>'3 Product financial details'!Q2*'3 Product financial details'!Q3</f>
        <v>161820</v>
      </c>
      <c r="S15" s="12">
        <f>'3 Product financial details'!R2*'3 Product financial details'!R3</f>
        <v>170810</v>
      </c>
      <c r="T15" s="12">
        <f>'3 Product financial details'!S2*'3 Product financial details'!S3</f>
        <v>179800</v>
      </c>
      <c r="U15" s="12">
        <f>'3 Product financial details'!T2*'3 Product financial details'!T3</f>
        <v>188790</v>
      </c>
      <c r="V15" s="12">
        <f>'3 Product financial details'!U2*'3 Product financial details'!U3</f>
        <v>197780</v>
      </c>
      <c r="W15" s="12">
        <f>'3 Product financial details'!V2*'3 Product financial details'!V3</f>
        <v>206770</v>
      </c>
      <c r="X15" s="12">
        <f>'3 Product financial details'!W2*'3 Product financial details'!W3</f>
        <v>215760</v>
      </c>
      <c r="Y15" s="12">
        <f>'3 Product financial details'!X2*'3 Product financial details'!X3</f>
        <v>224750</v>
      </c>
      <c r="Z15" s="12">
        <f>'3 Product financial details'!Y2*'3 Product financial details'!Y3</f>
        <v>233740</v>
      </c>
      <c r="AA15" s="12">
        <f>'3 Product financial details'!Z2*'3 Product financial details'!Z3</f>
        <v>242730</v>
      </c>
      <c r="AB15" s="12">
        <f>'3 Product financial details'!AA2*'3 Product financial details'!AA3</f>
        <v>251720</v>
      </c>
      <c r="AC15" s="12">
        <f>'3 Product financial details'!AB2*'3 Product financial details'!AB3</f>
        <v>260710</v>
      </c>
      <c r="AD15" s="12">
        <f>'3 Product financial details'!AC2*'3 Product financial details'!AC3</f>
        <v>269700</v>
      </c>
      <c r="AE15" s="12">
        <f>'3 Product financial details'!AD2*'3 Product financial details'!AD3</f>
        <v>278690</v>
      </c>
      <c r="AF15" s="12">
        <f>'3 Product financial details'!AE2*'3 Product financial details'!AE3</f>
        <v>287680</v>
      </c>
      <c r="AG15" s="12">
        <f>'3 Product financial details'!AF2*'3 Product financial details'!AF3</f>
        <v>296670</v>
      </c>
      <c r="AH15" s="12">
        <f>'3 Product financial details'!AG2*'3 Product financial details'!AG3</f>
        <v>305660</v>
      </c>
      <c r="AI15" s="12">
        <f>'3 Product financial details'!AH2*'3 Product financial details'!AH3</f>
        <v>314650</v>
      </c>
      <c r="AJ15" s="12">
        <f>'3 Product financial details'!AI2*'3 Product financial details'!AI3</f>
        <v>323640</v>
      </c>
      <c r="AK15" s="12">
        <f>'3 Product financial details'!AJ2*'3 Product financial details'!AJ3</f>
        <v>332630</v>
      </c>
      <c r="AL15" s="12">
        <f>'3 Product financial details'!AK2*'3 Product financial details'!AK3</f>
        <v>341620</v>
      </c>
      <c r="AN15" s="12">
        <f t="shared" si="0"/>
        <v>6571690</v>
      </c>
    </row>
    <row r="16" spans="1:40" ht="12" customHeight="1" x14ac:dyDescent="0.35">
      <c r="A16" s="10">
        <f t="shared" si="1"/>
        <v>14</v>
      </c>
      <c r="B16" s="11" t="s">
        <v>5</v>
      </c>
      <c r="C16" s="44"/>
      <c r="D16" s="44"/>
      <c r="E16" s="44"/>
      <c r="F16" s="44"/>
      <c r="G16" s="44"/>
      <c r="H16" s="44"/>
      <c r="I16" s="44"/>
      <c r="J16" s="44"/>
      <c r="K16" s="44"/>
      <c r="L16" s="44"/>
      <c r="M16" s="44"/>
      <c r="N16" s="44">
        <v>150000</v>
      </c>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N16" s="12">
        <f t="shared" si="0"/>
        <v>150000</v>
      </c>
    </row>
    <row r="17" spans="1:40" ht="12" customHeight="1" x14ac:dyDescent="0.35">
      <c r="A17" s="13" t="s">
        <v>25</v>
      </c>
      <c r="B17" s="14" t="s">
        <v>6</v>
      </c>
      <c r="C17" s="15">
        <f>SUM(C3:C16)</f>
        <v>750000</v>
      </c>
      <c r="D17" s="15">
        <f t="shared" ref="D17:N17" si="2">SUM(D3:D16)</f>
        <v>0</v>
      </c>
      <c r="E17" s="15">
        <f t="shared" si="2"/>
        <v>44950</v>
      </c>
      <c r="F17" s="15">
        <f t="shared" si="2"/>
        <v>53940</v>
      </c>
      <c r="G17" s="15">
        <f t="shared" si="2"/>
        <v>62930</v>
      </c>
      <c r="H17" s="15">
        <f t="shared" si="2"/>
        <v>71920</v>
      </c>
      <c r="I17" s="15">
        <f t="shared" si="2"/>
        <v>80910</v>
      </c>
      <c r="J17" s="15">
        <f t="shared" si="2"/>
        <v>89900</v>
      </c>
      <c r="K17" s="15">
        <f t="shared" si="2"/>
        <v>98890</v>
      </c>
      <c r="L17" s="15">
        <f t="shared" si="2"/>
        <v>107880</v>
      </c>
      <c r="M17" s="15">
        <f t="shared" si="2"/>
        <v>116870</v>
      </c>
      <c r="N17" s="15">
        <f t="shared" si="2"/>
        <v>275860</v>
      </c>
      <c r="O17" s="15">
        <f t="shared" ref="O17" si="3">SUM(O3:O16)</f>
        <v>134850</v>
      </c>
      <c r="P17" s="15">
        <f t="shared" ref="P17" si="4">SUM(P3:P16)</f>
        <v>143840</v>
      </c>
      <c r="Q17" s="15">
        <f t="shared" ref="Q17" si="5">SUM(Q3:Q16)</f>
        <v>152830</v>
      </c>
      <c r="R17" s="15">
        <f t="shared" ref="R17" si="6">SUM(R3:R16)</f>
        <v>161820</v>
      </c>
      <c r="S17" s="15">
        <f t="shared" ref="S17" si="7">SUM(S3:S16)</f>
        <v>170810</v>
      </c>
      <c r="T17" s="15">
        <f t="shared" ref="T17" si="8">SUM(T3:T16)</f>
        <v>679800</v>
      </c>
      <c r="U17" s="15">
        <f t="shared" ref="U17" si="9">SUM(U3:U16)</f>
        <v>188790</v>
      </c>
      <c r="V17" s="15">
        <f t="shared" ref="V17" si="10">SUM(V3:V16)</f>
        <v>197780</v>
      </c>
      <c r="W17" s="15">
        <f t="shared" ref="W17" si="11">SUM(W3:W16)</f>
        <v>206770</v>
      </c>
      <c r="X17" s="15">
        <f t="shared" ref="X17" si="12">SUM(X3:X16)</f>
        <v>215760</v>
      </c>
      <c r="Y17" s="15">
        <f t="shared" ref="Y17" si="13">SUM(Y3:Y16)</f>
        <v>224750</v>
      </c>
      <c r="Z17" s="15">
        <f t="shared" ref="Z17" si="14">SUM(Z3:Z16)</f>
        <v>233740</v>
      </c>
      <c r="AA17" s="15">
        <f t="shared" ref="AA17" si="15">SUM(AA3:AA16)</f>
        <v>242730</v>
      </c>
      <c r="AB17" s="15">
        <f t="shared" ref="AB17" si="16">SUM(AB3:AB16)</f>
        <v>251720</v>
      </c>
      <c r="AC17" s="15">
        <f t="shared" ref="AC17" si="17">SUM(AC3:AC16)</f>
        <v>260710</v>
      </c>
      <c r="AD17" s="15">
        <f t="shared" ref="AD17" si="18">SUM(AD3:AD16)</f>
        <v>269700</v>
      </c>
      <c r="AE17" s="15">
        <f t="shared" ref="AE17" si="19">SUM(AE3:AE16)</f>
        <v>278690</v>
      </c>
      <c r="AF17" s="15">
        <f t="shared" ref="AF17" si="20">SUM(AF3:AF16)</f>
        <v>287680</v>
      </c>
      <c r="AG17" s="15">
        <f t="shared" ref="AG17" si="21">SUM(AG3:AG16)</f>
        <v>296670</v>
      </c>
      <c r="AH17" s="15">
        <f t="shared" ref="AH17" si="22">SUM(AH3:AH16)</f>
        <v>305660</v>
      </c>
      <c r="AI17" s="15">
        <f t="shared" ref="AI17" si="23">SUM(AI3:AI16)</f>
        <v>314650</v>
      </c>
      <c r="AJ17" s="15">
        <f t="shared" ref="AJ17" si="24">SUM(AJ3:AJ16)</f>
        <v>323640</v>
      </c>
      <c r="AK17" s="15">
        <f t="shared" ref="AK17:AN17" si="25">SUM(AK3:AK16)</f>
        <v>332630</v>
      </c>
      <c r="AL17" s="15">
        <f t="shared" si="25"/>
        <v>341620</v>
      </c>
      <c r="AN17" s="15">
        <f t="shared" si="25"/>
        <v>7971690</v>
      </c>
    </row>
    <row r="18" spans="1:40" ht="12" customHeight="1" x14ac:dyDescent="0.35">
      <c r="A18" s="10">
        <v>5</v>
      </c>
      <c r="B18" s="16" t="s">
        <v>7</v>
      </c>
      <c r="C18" s="12">
        <f>'2 Investment'!B20</f>
        <v>750000</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N18" s="12">
        <f t="shared" ref="AN18:AN25" si="26">SUM(C18:AL18)</f>
        <v>750000</v>
      </c>
    </row>
    <row r="19" spans="1:40" ht="12" customHeight="1" x14ac:dyDescent="0.35">
      <c r="A19" s="10">
        <f t="shared" ref="A19:A25" si="27">A18+1</f>
        <v>6</v>
      </c>
      <c r="B19" s="16" t="s">
        <v>10</v>
      </c>
      <c r="C19" s="12">
        <f>'3 Product financial details'!B2*'3 Product financial details'!B4</f>
        <v>0</v>
      </c>
      <c r="D19" s="12">
        <f>'3 Product financial details'!C2*'3 Product financial details'!C4</f>
        <v>0</v>
      </c>
      <c r="E19" s="12">
        <f>'3 Product financial details'!D2*'3 Product financial details'!D4</f>
        <v>6000</v>
      </c>
      <c r="F19" s="12">
        <f>'3 Product financial details'!E2*'3 Product financial details'!E4</f>
        <v>7080</v>
      </c>
      <c r="G19" s="12">
        <f>'3 Product financial details'!F2*'3 Product financial details'!F4</f>
        <v>8050</v>
      </c>
      <c r="H19" s="12">
        <f>'3 Product financial details'!G2*'3 Product financial details'!G4</f>
        <v>8960</v>
      </c>
      <c r="I19" s="12">
        <f>'3 Product financial details'!H2*'3 Product financial details'!H4</f>
        <v>9900</v>
      </c>
      <c r="J19" s="12">
        <f>'3 Product financial details'!I2*'3 Product financial details'!I4</f>
        <v>10800</v>
      </c>
      <c r="K19" s="12">
        <f>'3 Product financial details'!J2*'3 Product financial details'!J4</f>
        <v>11550</v>
      </c>
      <c r="L19" s="12">
        <f>'3 Product financial details'!K2*'3 Product financial details'!K4</f>
        <v>12360</v>
      </c>
      <c r="M19" s="12">
        <f>'3 Product financial details'!L2*'3 Product financial details'!L4</f>
        <v>13000</v>
      </c>
      <c r="N19" s="12">
        <f>'3 Product financial details'!M2*'3 Product financial details'!M4</f>
        <v>13720</v>
      </c>
      <c r="O19" s="12">
        <f>'3 Product financial details'!N2*'3 Product financial details'!N4</f>
        <v>14250</v>
      </c>
      <c r="P19" s="12">
        <f>'3 Product financial details'!O2*'3 Product financial details'!O4</f>
        <v>14880</v>
      </c>
      <c r="Q19" s="12">
        <f>'3 Product financial details'!P2*'3 Product financial details'!P4</f>
        <v>15300</v>
      </c>
      <c r="R19" s="12">
        <f>'3 Product financial details'!Q2*'3 Product financial details'!Q4</f>
        <v>15840</v>
      </c>
      <c r="S19" s="12">
        <f>'3 Product financial details'!R2*'3 Product financial details'!R4</f>
        <v>16150</v>
      </c>
      <c r="T19" s="12">
        <f>'3 Product financial details'!S2*'3 Product financial details'!S4</f>
        <v>16600</v>
      </c>
      <c r="U19" s="12">
        <f>'3 Product financial details'!T2*'3 Product financial details'!T4</f>
        <v>16800</v>
      </c>
      <c r="V19" s="12">
        <f>'3 Product financial details'!U2*'3 Product financial details'!U4</f>
        <v>17160</v>
      </c>
      <c r="W19" s="12">
        <f>'3 Product financial details'!V2*'3 Product financial details'!V4</f>
        <v>17250</v>
      </c>
      <c r="X19" s="12">
        <f>'3 Product financial details'!W2*'3 Product financial details'!W4</f>
        <v>17520</v>
      </c>
      <c r="Y19" s="12">
        <f>'3 Product financial details'!X2*'3 Product financial details'!X4</f>
        <v>17500</v>
      </c>
      <c r="Z19" s="12">
        <f>'3 Product financial details'!Y2*'3 Product financial details'!Y4</f>
        <v>17680</v>
      </c>
      <c r="AA19" s="12">
        <f>'3 Product financial details'!Z2*'3 Product financial details'!Z4</f>
        <v>17550</v>
      </c>
      <c r="AB19" s="12">
        <f>'3 Product financial details'!AA2*'3 Product financial details'!AA4</f>
        <v>17640</v>
      </c>
      <c r="AC19" s="12">
        <f>'3 Product financial details'!AB2*'3 Product financial details'!AB4</f>
        <v>17400</v>
      </c>
      <c r="AD19" s="12">
        <f>'3 Product financial details'!AC2*'3 Product financial details'!AC4</f>
        <v>17400</v>
      </c>
      <c r="AE19" s="12">
        <f>'3 Product financial details'!AD2*'3 Product financial details'!AD4</f>
        <v>17050</v>
      </c>
      <c r="AF19" s="12">
        <f>'3 Product financial details'!AE2*'3 Product financial details'!AE4</f>
        <v>16960</v>
      </c>
      <c r="AG19" s="12">
        <f>'3 Product financial details'!AF2*'3 Product financial details'!AF4</f>
        <v>16500</v>
      </c>
      <c r="AH19" s="12">
        <f>'3 Product financial details'!AG2*'3 Product financial details'!AG4</f>
        <v>16320</v>
      </c>
      <c r="AI19" s="12">
        <f>'3 Product financial details'!AH2*'3 Product financial details'!AH4</f>
        <v>15750</v>
      </c>
      <c r="AJ19" s="12">
        <f>'3 Product financial details'!AI2*'3 Product financial details'!AI4</f>
        <v>15480</v>
      </c>
      <c r="AK19" s="12">
        <f>'3 Product financial details'!AJ2*'3 Product financial details'!AJ4</f>
        <v>14800</v>
      </c>
      <c r="AL19" s="12">
        <f>'3 Product financial details'!AK2*'3 Product financial details'!AK4</f>
        <v>14440</v>
      </c>
      <c r="AN19" s="12">
        <f t="shared" si="26"/>
        <v>495640</v>
      </c>
    </row>
    <row r="20" spans="1:40" ht="12" customHeight="1" x14ac:dyDescent="0.35">
      <c r="A20" s="10">
        <f t="shared" si="27"/>
        <v>7</v>
      </c>
      <c r="B20" s="16" t="s">
        <v>11</v>
      </c>
      <c r="C20" s="12">
        <f>'3 Product financial details'!B13</f>
        <v>0</v>
      </c>
      <c r="D20" s="12">
        <f>'3 Product financial details'!C13</f>
        <v>0</v>
      </c>
      <c r="E20" s="12">
        <f>'3 Product financial details'!D13</f>
        <v>7000</v>
      </c>
      <c r="F20" s="12">
        <f>'3 Product financial details'!E13</f>
        <v>7000</v>
      </c>
      <c r="G20" s="12">
        <f>'3 Product financial details'!F13</f>
        <v>7000</v>
      </c>
      <c r="H20" s="12">
        <f>'3 Product financial details'!G13</f>
        <v>7000</v>
      </c>
      <c r="I20" s="12">
        <f>'3 Product financial details'!H13</f>
        <v>7000</v>
      </c>
      <c r="J20" s="12">
        <f>'3 Product financial details'!I13</f>
        <v>7000</v>
      </c>
      <c r="K20" s="12">
        <f>'3 Product financial details'!J13</f>
        <v>7000</v>
      </c>
      <c r="L20" s="12">
        <f>'3 Product financial details'!K13</f>
        <v>7000</v>
      </c>
      <c r="M20" s="12">
        <f>'3 Product financial details'!L13</f>
        <v>7000</v>
      </c>
      <c r="N20" s="12">
        <f>'3 Product financial details'!M13</f>
        <v>7000</v>
      </c>
      <c r="O20" s="12">
        <f>'3 Product financial details'!N13</f>
        <v>7000</v>
      </c>
      <c r="P20" s="12">
        <f>'3 Product financial details'!O13</f>
        <v>7000</v>
      </c>
      <c r="Q20" s="12">
        <f>'3 Product financial details'!P13</f>
        <v>7000</v>
      </c>
      <c r="R20" s="12">
        <f>'3 Product financial details'!Q13</f>
        <v>7000</v>
      </c>
      <c r="S20" s="12">
        <f>'3 Product financial details'!R13</f>
        <v>7000</v>
      </c>
      <c r="T20" s="12">
        <f>'3 Product financial details'!S13</f>
        <v>7000</v>
      </c>
      <c r="U20" s="12">
        <f>'3 Product financial details'!T13</f>
        <v>7000</v>
      </c>
      <c r="V20" s="12">
        <f>'3 Product financial details'!U13</f>
        <v>7000</v>
      </c>
      <c r="W20" s="12">
        <f>'3 Product financial details'!V13</f>
        <v>7000</v>
      </c>
      <c r="X20" s="12">
        <f>'3 Product financial details'!W13</f>
        <v>7000</v>
      </c>
      <c r="Y20" s="12">
        <f>'3 Product financial details'!X13</f>
        <v>7000</v>
      </c>
      <c r="Z20" s="12">
        <f>'3 Product financial details'!Y13</f>
        <v>15000</v>
      </c>
      <c r="AA20" s="12">
        <f>'3 Product financial details'!Z13</f>
        <v>15000</v>
      </c>
      <c r="AB20" s="12">
        <f>'3 Product financial details'!AA13</f>
        <v>15000</v>
      </c>
      <c r="AC20" s="12">
        <f>'3 Product financial details'!AB13</f>
        <v>15000</v>
      </c>
      <c r="AD20" s="12">
        <f>'3 Product financial details'!AC13</f>
        <v>15000</v>
      </c>
      <c r="AE20" s="12">
        <f>'3 Product financial details'!AD13</f>
        <v>15000</v>
      </c>
      <c r="AF20" s="12">
        <f>'3 Product financial details'!AE13</f>
        <v>15000</v>
      </c>
      <c r="AG20" s="12">
        <f>'3 Product financial details'!AF13</f>
        <v>15000</v>
      </c>
      <c r="AH20" s="12">
        <f>'3 Product financial details'!AG13</f>
        <v>15000</v>
      </c>
      <c r="AI20" s="12">
        <f>'3 Product financial details'!AH13</f>
        <v>15000</v>
      </c>
      <c r="AJ20" s="12">
        <f>'3 Product financial details'!AI13</f>
        <v>16000</v>
      </c>
      <c r="AK20" s="12">
        <f>'3 Product financial details'!AJ13</f>
        <v>16000</v>
      </c>
      <c r="AL20" s="12">
        <f>'3 Product financial details'!AK13</f>
        <v>16000</v>
      </c>
      <c r="AN20" s="12">
        <f t="shared" si="26"/>
        <v>345000</v>
      </c>
    </row>
    <row r="21" spans="1:40" ht="12" customHeight="1" x14ac:dyDescent="0.35">
      <c r="A21" s="10">
        <f t="shared" si="27"/>
        <v>8</v>
      </c>
      <c r="B21" s="16" t="s">
        <v>12</v>
      </c>
      <c r="C21" s="12">
        <f>'3 Product financial details'!B23</f>
        <v>11000</v>
      </c>
      <c r="D21" s="12">
        <f>'3 Product financial details'!C23</f>
        <v>11000</v>
      </c>
      <c r="E21" s="12">
        <f>'3 Product financial details'!D23</f>
        <v>16000</v>
      </c>
      <c r="F21" s="12">
        <f>'3 Product financial details'!E23</f>
        <v>16000</v>
      </c>
      <c r="G21" s="12">
        <f>'3 Product financial details'!F23</f>
        <v>16300</v>
      </c>
      <c r="H21" s="12">
        <f>'3 Product financial details'!G23</f>
        <v>16600</v>
      </c>
      <c r="I21" s="12">
        <f>'3 Product financial details'!H23</f>
        <v>16600</v>
      </c>
      <c r="J21" s="12">
        <f>'3 Product financial details'!I23</f>
        <v>16800</v>
      </c>
      <c r="K21" s="12">
        <f>'3 Product financial details'!J23</f>
        <v>17300</v>
      </c>
      <c r="L21" s="12">
        <f>'3 Product financial details'!K23</f>
        <v>17500</v>
      </c>
      <c r="M21" s="12">
        <f>'3 Product financial details'!L23</f>
        <v>17500</v>
      </c>
      <c r="N21" s="12">
        <f>'3 Product financial details'!M23</f>
        <v>17700</v>
      </c>
      <c r="O21" s="12">
        <f>'3 Product financial details'!N23</f>
        <v>18200</v>
      </c>
      <c r="P21" s="12">
        <f>'3 Product financial details'!O23</f>
        <v>18200</v>
      </c>
      <c r="Q21" s="12">
        <f>'3 Product financial details'!P23</f>
        <v>18500</v>
      </c>
      <c r="R21" s="12">
        <f>'3 Product financial details'!Q23</f>
        <v>19000</v>
      </c>
      <c r="S21" s="12">
        <f>'3 Product financial details'!R23</f>
        <v>19000</v>
      </c>
      <c r="T21" s="12">
        <f>'3 Product financial details'!S23</f>
        <v>19300</v>
      </c>
      <c r="U21" s="12">
        <f>'3 Product financial details'!T23</f>
        <v>19800</v>
      </c>
      <c r="V21" s="12">
        <f>'3 Product financial details'!U23</f>
        <v>19800</v>
      </c>
      <c r="W21" s="12">
        <f>'3 Product financial details'!V23</f>
        <v>20200</v>
      </c>
      <c r="X21" s="12">
        <f>'3 Product financial details'!W23</f>
        <v>20500</v>
      </c>
      <c r="Y21" s="12">
        <f>'3 Product financial details'!X23</f>
        <v>20500</v>
      </c>
      <c r="Z21" s="12">
        <f>'3 Product financial details'!Y23</f>
        <v>22500</v>
      </c>
      <c r="AA21" s="12">
        <f>'3 Product financial details'!Z23</f>
        <v>22500</v>
      </c>
      <c r="AB21" s="12">
        <f>'3 Product financial details'!AA23</f>
        <v>22500</v>
      </c>
      <c r="AC21" s="12">
        <f>'3 Product financial details'!AB23</f>
        <v>23500</v>
      </c>
      <c r="AD21" s="12">
        <f>'3 Product financial details'!AC23</f>
        <v>23500</v>
      </c>
      <c r="AE21" s="12">
        <f>'3 Product financial details'!AD23</f>
        <v>23500</v>
      </c>
      <c r="AF21" s="12">
        <f>'3 Product financial details'!AE23</f>
        <v>24500</v>
      </c>
      <c r="AG21" s="12">
        <f>'3 Product financial details'!AF23</f>
        <v>24500</v>
      </c>
      <c r="AH21" s="12">
        <f>'3 Product financial details'!AG23</f>
        <v>24500</v>
      </c>
      <c r="AI21" s="12">
        <f>'3 Product financial details'!AH23</f>
        <v>25500</v>
      </c>
      <c r="AJ21" s="12">
        <f>'3 Product financial details'!AI23</f>
        <v>27500</v>
      </c>
      <c r="AK21" s="12">
        <f>'3 Product financial details'!AJ23</f>
        <v>27500</v>
      </c>
      <c r="AL21" s="12">
        <f>'3 Product financial details'!AK23</f>
        <v>27500</v>
      </c>
      <c r="AN21" s="12">
        <f t="shared" si="26"/>
        <v>722800</v>
      </c>
    </row>
    <row r="22" spans="1:40" ht="12" customHeight="1" x14ac:dyDescent="0.35">
      <c r="A22" s="10">
        <f t="shared" si="27"/>
        <v>9</v>
      </c>
      <c r="B22" s="16" t="s">
        <v>13</v>
      </c>
      <c r="C22" s="12">
        <f>'3 Product financial details'!B31</f>
        <v>15500</v>
      </c>
      <c r="D22" s="12">
        <f>'3 Product financial details'!C31</f>
        <v>15500</v>
      </c>
      <c r="E22" s="12">
        <f>'3 Product financial details'!D31</f>
        <v>15500</v>
      </c>
      <c r="F22" s="12">
        <f>'3 Product financial details'!E31</f>
        <v>15500</v>
      </c>
      <c r="G22" s="12">
        <f>'3 Product financial details'!F31</f>
        <v>15500</v>
      </c>
      <c r="H22" s="12">
        <f>'3 Product financial details'!G31</f>
        <v>15500</v>
      </c>
      <c r="I22" s="12">
        <f>'3 Product financial details'!H31</f>
        <v>15500</v>
      </c>
      <c r="J22" s="12">
        <f>'3 Product financial details'!I31</f>
        <v>15500</v>
      </c>
      <c r="K22" s="12">
        <f>'3 Product financial details'!J31</f>
        <v>15500</v>
      </c>
      <c r="L22" s="12">
        <f>'3 Product financial details'!K31</f>
        <v>15500</v>
      </c>
      <c r="M22" s="12">
        <f>'3 Product financial details'!L31</f>
        <v>15500</v>
      </c>
      <c r="N22" s="12">
        <f>'3 Product financial details'!M31</f>
        <v>15500</v>
      </c>
      <c r="O22" s="12">
        <f>'3 Product financial details'!N31</f>
        <v>15500</v>
      </c>
      <c r="P22" s="12">
        <f>'3 Product financial details'!O31</f>
        <v>15500</v>
      </c>
      <c r="Q22" s="12">
        <f>'3 Product financial details'!P31</f>
        <v>15500</v>
      </c>
      <c r="R22" s="12">
        <f>'3 Product financial details'!Q31</f>
        <v>15500</v>
      </c>
      <c r="S22" s="12">
        <f>'3 Product financial details'!R31</f>
        <v>15500</v>
      </c>
      <c r="T22" s="12">
        <f>'3 Product financial details'!S31</f>
        <v>15500</v>
      </c>
      <c r="U22" s="12">
        <f>'3 Product financial details'!T31</f>
        <v>15500</v>
      </c>
      <c r="V22" s="12">
        <f>'3 Product financial details'!U31</f>
        <v>15500</v>
      </c>
      <c r="W22" s="12">
        <f>'3 Product financial details'!V31</f>
        <v>15500</v>
      </c>
      <c r="X22" s="12">
        <f>'3 Product financial details'!W31</f>
        <v>15500</v>
      </c>
      <c r="Y22" s="12">
        <f>'3 Product financial details'!X31</f>
        <v>15500</v>
      </c>
      <c r="Z22" s="12">
        <f>'3 Product financial details'!Y31</f>
        <v>15500</v>
      </c>
      <c r="AA22" s="12">
        <f>'3 Product financial details'!Z31</f>
        <v>15500</v>
      </c>
      <c r="AB22" s="12">
        <f>'3 Product financial details'!AA31</f>
        <v>15500</v>
      </c>
      <c r="AC22" s="12">
        <f>'3 Product financial details'!AB31</f>
        <v>15500</v>
      </c>
      <c r="AD22" s="12">
        <f>'3 Product financial details'!AC31</f>
        <v>15500</v>
      </c>
      <c r="AE22" s="12">
        <f>'3 Product financial details'!AD31</f>
        <v>15500</v>
      </c>
      <c r="AF22" s="12">
        <f>'3 Product financial details'!AE31</f>
        <v>15500</v>
      </c>
      <c r="AG22" s="12">
        <f>'3 Product financial details'!AF31</f>
        <v>15500</v>
      </c>
      <c r="AH22" s="12">
        <f>'3 Product financial details'!AG31</f>
        <v>15500</v>
      </c>
      <c r="AI22" s="12">
        <f>'3 Product financial details'!AH31</f>
        <v>15500</v>
      </c>
      <c r="AJ22" s="12">
        <f>'3 Product financial details'!AI31</f>
        <v>15500</v>
      </c>
      <c r="AK22" s="12">
        <f>'3 Product financial details'!AJ31</f>
        <v>15500</v>
      </c>
      <c r="AL22" s="12">
        <f>'3 Product financial details'!AK31</f>
        <v>15500</v>
      </c>
      <c r="AN22" s="12">
        <f t="shared" si="26"/>
        <v>558000</v>
      </c>
    </row>
    <row r="23" spans="1:40" ht="12" customHeight="1" x14ac:dyDescent="0.35">
      <c r="A23" s="10">
        <f t="shared" si="27"/>
        <v>10</v>
      </c>
      <c r="B23" s="16" t="s">
        <v>14</v>
      </c>
      <c r="C23" s="12">
        <f>'3 Product financial details'!B38</f>
        <v>14520</v>
      </c>
      <c r="D23" s="12">
        <f>'3 Product financial details'!C38</f>
        <v>12520</v>
      </c>
      <c r="E23" s="12">
        <f>'3 Product financial details'!D38</f>
        <v>11469</v>
      </c>
      <c r="F23" s="12">
        <f>'3 Product financial details'!E38</f>
        <v>11598</v>
      </c>
      <c r="G23" s="12">
        <f>'3 Product financial details'!F38</f>
        <v>11707</v>
      </c>
      <c r="H23" s="12">
        <f>'3 Product financial details'!G38</f>
        <v>11796</v>
      </c>
      <c r="I23" s="12">
        <f>'3 Product financial details'!H38</f>
        <v>11865</v>
      </c>
      <c r="J23" s="12">
        <f>'3 Product financial details'!I38</f>
        <v>11914</v>
      </c>
      <c r="K23" s="12">
        <f>'3 Product financial details'!J38</f>
        <v>11943</v>
      </c>
      <c r="L23" s="12">
        <f>'3 Product financial details'!K38</f>
        <v>11952</v>
      </c>
      <c r="M23" s="12">
        <f>'3 Product financial details'!L38</f>
        <v>11941</v>
      </c>
      <c r="N23" s="12">
        <f>'3 Product financial details'!M38</f>
        <v>11910</v>
      </c>
      <c r="O23" s="12">
        <f>'3 Product financial details'!N38</f>
        <v>14510</v>
      </c>
      <c r="P23" s="12">
        <f>'3 Product financial details'!O38</f>
        <v>14449</v>
      </c>
      <c r="Q23" s="12">
        <f>'3 Product financial details'!P38</f>
        <v>14539</v>
      </c>
      <c r="R23" s="12">
        <f>'3 Product financial details'!Q38</f>
        <v>14448</v>
      </c>
      <c r="S23" s="12">
        <f>'3 Product financial details'!R38</f>
        <v>14528</v>
      </c>
      <c r="T23" s="12">
        <f>'3 Product financial details'!S38</f>
        <v>14608</v>
      </c>
      <c r="U23" s="12">
        <f>'3 Product financial details'!T38</f>
        <v>14477</v>
      </c>
      <c r="V23" s="12">
        <f>'3 Product financial details'!U38</f>
        <v>14547</v>
      </c>
      <c r="W23" s="12">
        <f>'3 Product financial details'!V38</f>
        <v>14617</v>
      </c>
      <c r="X23" s="12">
        <f>'3 Product financial details'!W38</f>
        <v>14446</v>
      </c>
      <c r="Y23" s="12">
        <f>'3 Product financial details'!X38</f>
        <v>14506</v>
      </c>
      <c r="Z23" s="12">
        <f>'3 Product financial details'!Y38</f>
        <v>17566</v>
      </c>
      <c r="AA23" s="12">
        <f>'3 Product financial details'!Z38</f>
        <v>17355</v>
      </c>
      <c r="AB23" s="12">
        <f>'3 Product financial details'!AA38</f>
        <v>17405</v>
      </c>
      <c r="AC23" s="12">
        <f>'3 Product financial details'!AB38</f>
        <v>17455</v>
      </c>
      <c r="AD23" s="12">
        <f>'3 Product financial details'!AC38</f>
        <v>17505</v>
      </c>
      <c r="AE23" s="12">
        <f>'3 Product financial details'!AD38</f>
        <v>17555</v>
      </c>
      <c r="AF23" s="12">
        <f>'3 Product financial details'!AE38</f>
        <v>17284</v>
      </c>
      <c r="AG23" s="12">
        <f>'3 Product financial details'!AF38</f>
        <v>17324</v>
      </c>
      <c r="AH23" s="12">
        <f>'3 Product financial details'!AG38</f>
        <v>17364</v>
      </c>
      <c r="AI23" s="12">
        <f>'3 Product financial details'!AH38</f>
        <v>17404</v>
      </c>
      <c r="AJ23" s="12">
        <f>'3 Product financial details'!AI38</f>
        <v>20944</v>
      </c>
      <c r="AK23" s="12">
        <f>'3 Product financial details'!AJ38</f>
        <v>20613</v>
      </c>
      <c r="AL23" s="12">
        <f>'3 Product financial details'!AK38</f>
        <v>20643</v>
      </c>
      <c r="AN23" s="12">
        <f t="shared" si="26"/>
        <v>541227</v>
      </c>
    </row>
    <row r="24" spans="1:40" ht="12" customHeight="1" x14ac:dyDescent="0.35">
      <c r="A24" s="10">
        <f t="shared" si="27"/>
        <v>11</v>
      </c>
      <c r="B24" s="16" t="s">
        <v>8</v>
      </c>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N24" s="12">
        <f t="shared" si="26"/>
        <v>0</v>
      </c>
    </row>
    <row r="25" spans="1:40" s="7" customFormat="1" ht="12" customHeight="1" x14ac:dyDescent="0.35">
      <c r="A25" s="10">
        <f t="shared" si="27"/>
        <v>12</v>
      </c>
      <c r="B25" s="11" t="s">
        <v>9</v>
      </c>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N25" s="12">
        <f t="shared" si="26"/>
        <v>0</v>
      </c>
    </row>
    <row r="26" spans="1:40" ht="12" customHeight="1" x14ac:dyDescent="0.35">
      <c r="A26" s="13" t="s">
        <v>26</v>
      </c>
      <c r="B26" s="14" t="s">
        <v>15</v>
      </c>
      <c r="C26" s="15">
        <f>SUM(C18:C25)</f>
        <v>791020</v>
      </c>
      <c r="D26" s="15">
        <f t="shared" ref="D26:N26" si="28">SUM(D18:D25)</f>
        <v>39020</v>
      </c>
      <c r="E26" s="15">
        <f t="shared" si="28"/>
        <v>55969</v>
      </c>
      <c r="F26" s="15">
        <f t="shared" si="28"/>
        <v>57178</v>
      </c>
      <c r="G26" s="15">
        <f t="shared" si="28"/>
        <v>58557</v>
      </c>
      <c r="H26" s="15">
        <f t="shared" si="28"/>
        <v>59856</v>
      </c>
      <c r="I26" s="15">
        <f t="shared" si="28"/>
        <v>60865</v>
      </c>
      <c r="J26" s="15">
        <f t="shared" si="28"/>
        <v>62014</v>
      </c>
      <c r="K26" s="15">
        <f t="shared" si="28"/>
        <v>63293</v>
      </c>
      <c r="L26" s="15">
        <f t="shared" si="28"/>
        <v>64312</v>
      </c>
      <c r="M26" s="15">
        <f t="shared" si="28"/>
        <v>64941</v>
      </c>
      <c r="N26" s="15">
        <f t="shared" si="28"/>
        <v>65830</v>
      </c>
      <c r="O26" s="15">
        <f t="shared" ref="O26" si="29">SUM(O18:O25)</f>
        <v>69460</v>
      </c>
      <c r="P26" s="15">
        <f t="shared" ref="P26" si="30">SUM(P18:P25)</f>
        <v>70029</v>
      </c>
      <c r="Q26" s="15">
        <f t="shared" ref="Q26" si="31">SUM(Q18:Q25)</f>
        <v>70839</v>
      </c>
      <c r="R26" s="15">
        <f t="shared" ref="R26" si="32">SUM(R18:R25)</f>
        <v>71788</v>
      </c>
      <c r="S26" s="15">
        <f t="shared" ref="S26" si="33">SUM(S18:S25)</f>
        <v>72178</v>
      </c>
      <c r="T26" s="15">
        <f t="shared" ref="T26" si="34">SUM(T18:T25)</f>
        <v>73008</v>
      </c>
      <c r="U26" s="15">
        <f t="shared" ref="U26" si="35">SUM(U18:U25)</f>
        <v>73577</v>
      </c>
      <c r="V26" s="15">
        <f t="shared" ref="V26" si="36">SUM(V18:V25)</f>
        <v>74007</v>
      </c>
      <c r="W26" s="15">
        <f t="shared" ref="W26" si="37">SUM(W18:W25)</f>
        <v>74567</v>
      </c>
      <c r="X26" s="15">
        <f t="shared" ref="X26" si="38">SUM(X18:X25)</f>
        <v>74966</v>
      </c>
      <c r="Y26" s="15">
        <f t="shared" ref="Y26" si="39">SUM(Y18:Y25)</f>
        <v>75006</v>
      </c>
      <c r="Z26" s="15">
        <f t="shared" ref="Z26" si="40">SUM(Z18:Z25)</f>
        <v>88246</v>
      </c>
      <c r="AA26" s="15">
        <f t="shared" ref="AA26" si="41">SUM(AA18:AA25)</f>
        <v>87905</v>
      </c>
      <c r="AB26" s="15">
        <f t="shared" ref="AB26" si="42">SUM(AB18:AB25)</f>
        <v>88045</v>
      </c>
      <c r="AC26" s="15">
        <f t="shared" ref="AC26" si="43">SUM(AC18:AC25)</f>
        <v>88855</v>
      </c>
      <c r="AD26" s="15">
        <f t="shared" ref="AD26" si="44">SUM(AD18:AD25)</f>
        <v>88905</v>
      </c>
      <c r="AE26" s="15">
        <f t="shared" ref="AE26" si="45">SUM(AE18:AE25)</f>
        <v>88605</v>
      </c>
      <c r="AF26" s="15">
        <f t="shared" ref="AF26" si="46">SUM(AF18:AF25)</f>
        <v>89244</v>
      </c>
      <c r="AG26" s="15">
        <f t="shared" ref="AG26" si="47">SUM(AG18:AG25)</f>
        <v>88824</v>
      </c>
      <c r="AH26" s="15">
        <f t="shared" ref="AH26" si="48">SUM(AH18:AH25)</f>
        <v>88684</v>
      </c>
      <c r="AI26" s="15">
        <f t="shared" ref="AI26" si="49">SUM(AI18:AI25)</f>
        <v>89154</v>
      </c>
      <c r="AJ26" s="15">
        <f t="shared" ref="AJ26" si="50">SUM(AJ18:AJ25)</f>
        <v>95424</v>
      </c>
      <c r="AK26" s="15">
        <f t="shared" ref="AK26:AN26" si="51">SUM(AK18:AK25)</f>
        <v>94413</v>
      </c>
      <c r="AL26" s="15">
        <f t="shared" si="51"/>
        <v>94083</v>
      </c>
      <c r="AN26" s="15">
        <f t="shared" si="51"/>
        <v>3412667</v>
      </c>
    </row>
    <row r="27" spans="1:40" ht="12" customHeight="1" x14ac:dyDescent="0.35">
      <c r="A27" s="13" t="s">
        <v>2</v>
      </c>
      <c r="B27" s="14" t="s">
        <v>16</v>
      </c>
      <c r="C27" s="31">
        <f t="shared" ref="C27:N27" si="52">C17-C26</f>
        <v>-41020</v>
      </c>
      <c r="D27" s="31">
        <f t="shared" si="52"/>
        <v>-39020</v>
      </c>
      <c r="E27" s="31">
        <f t="shared" si="52"/>
        <v>-11019</v>
      </c>
      <c r="F27" s="31">
        <f t="shared" si="52"/>
        <v>-3238</v>
      </c>
      <c r="G27" s="31">
        <f t="shared" si="52"/>
        <v>4373</v>
      </c>
      <c r="H27" s="31">
        <f t="shared" si="52"/>
        <v>12064</v>
      </c>
      <c r="I27" s="31">
        <f t="shared" si="52"/>
        <v>20045</v>
      </c>
      <c r="J27" s="31">
        <f t="shared" si="52"/>
        <v>27886</v>
      </c>
      <c r="K27" s="31">
        <f t="shared" si="52"/>
        <v>35597</v>
      </c>
      <c r="L27" s="31">
        <f t="shared" si="52"/>
        <v>43568</v>
      </c>
      <c r="M27" s="31">
        <f t="shared" si="52"/>
        <v>51929</v>
      </c>
      <c r="N27" s="31">
        <f t="shared" si="52"/>
        <v>210030</v>
      </c>
      <c r="O27" s="31">
        <f t="shared" ref="O27:AK27" si="53">O17-O26</f>
        <v>65390</v>
      </c>
      <c r="P27" s="31">
        <f t="shared" si="53"/>
        <v>73811</v>
      </c>
      <c r="Q27" s="31">
        <f t="shared" si="53"/>
        <v>81991</v>
      </c>
      <c r="R27" s="31">
        <f t="shared" si="53"/>
        <v>90032</v>
      </c>
      <c r="S27" s="31">
        <f t="shared" si="53"/>
        <v>98632</v>
      </c>
      <c r="T27" s="31">
        <f t="shared" si="53"/>
        <v>606792</v>
      </c>
      <c r="U27" s="31">
        <f t="shared" si="53"/>
        <v>115213</v>
      </c>
      <c r="V27" s="31">
        <f t="shared" si="53"/>
        <v>123773</v>
      </c>
      <c r="W27" s="31">
        <f t="shared" si="53"/>
        <v>132203</v>
      </c>
      <c r="X27" s="31">
        <f t="shared" si="53"/>
        <v>140794</v>
      </c>
      <c r="Y27" s="31">
        <f t="shared" si="53"/>
        <v>149744</v>
      </c>
      <c r="Z27" s="31">
        <f t="shared" si="53"/>
        <v>145494</v>
      </c>
      <c r="AA27" s="31">
        <f t="shared" si="53"/>
        <v>154825</v>
      </c>
      <c r="AB27" s="31">
        <f t="shared" si="53"/>
        <v>163675</v>
      </c>
      <c r="AC27" s="31">
        <f t="shared" si="53"/>
        <v>171855</v>
      </c>
      <c r="AD27" s="31">
        <f t="shared" si="53"/>
        <v>180795</v>
      </c>
      <c r="AE27" s="31">
        <f t="shared" si="53"/>
        <v>190085</v>
      </c>
      <c r="AF27" s="31">
        <f t="shared" si="53"/>
        <v>198436</v>
      </c>
      <c r="AG27" s="31">
        <f t="shared" si="53"/>
        <v>207846</v>
      </c>
      <c r="AH27" s="31">
        <f t="shared" si="53"/>
        <v>216976</v>
      </c>
      <c r="AI27" s="31">
        <f t="shared" si="53"/>
        <v>225496</v>
      </c>
      <c r="AJ27" s="31">
        <f t="shared" si="53"/>
        <v>228216</v>
      </c>
      <c r="AK27" s="31">
        <f t="shared" si="53"/>
        <v>238217</v>
      </c>
      <c r="AL27" s="31">
        <f>AL17-AL26</f>
        <v>247537</v>
      </c>
      <c r="AN27" s="31">
        <f>AN17-AN26</f>
        <v>4559023</v>
      </c>
    </row>
    <row r="28" spans="1:40" ht="12" customHeight="1" x14ac:dyDescent="0.35">
      <c r="A28" s="35"/>
      <c r="B28" s="36" t="s">
        <v>17</v>
      </c>
      <c r="C28" s="37">
        <f>C27</f>
        <v>-41020</v>
      </c>
      <c r="D28" s="37">
        <f>C28+D27</f>
        <v>-80040</v>
      </c>
      <c r="E28" s="37">
        <f t="shared" ref="E28:N28" si="54">D28+E27</f>
        <v>-91059</v>
      </c>
      <c r="F28" s="37">
        <f t="shared" si="54"/>
        <v>-94297</v>
      </c>
      <c r="G28" s="37">
        <f t="shared" si="54"/>
        <v>-89924</v>
      </c>
      <c r="H28" s="37">
        <f t="shared" si="54"/>
        <v>-77860</v>
      </c>
      <c r="I28" s="37">
        <f t="shared" si="54"/>
        <v>-57815</v>
      </c>
      <c r="J28" s="37">
        <f t="shared" si="54"/>
        <v>-29929</v>
      </c>
      <c r="K28" s="37">
        <f t="shared" si="54"/>
        <v>5668</v>
      </c>
      <c r="L28" s="37">
        <f t="shared" si="54"/>
        <v>49236</v>
      </c>
      <c r="M28" s="37">
        <f t="shared" si="54"/>
        <v>101165</v>
      </c>
      <c r="N28" s="37">
        <f t="shared" si="54"/>
        <v>311195</v>
      </c>
      <c r="O28" s="37">
        <f t="shared" ref="O28" si="55">N28+O27</f>
        <v>376585</v>
      </c>
      <c r="P28" s="37">
        <f t="shared" ref="P28" si="56">O28+P27</f>
        <v>450396</v>
      </c>
      <c r="Q28" s="37">
        <f t="shared" ref="Q28" si="57">P28+Q27</f>
        <v>532387</v>
      </c>
      <c r="R28" s="37">
        <f t="shared" ref="R28" si="58">Q28+R27</f>
        <v>622419</v>
      </c>
      <c r="S28" s="37">
        <f t="shared" ref="S28" si="59">R28+S27</f>
        <v>721051</v>
      </c>
      <c r="T28" s="37">
        <f t="shared" ref="T28" si="60">S28+T27</f>
        <v>1327843</v>
      </c>
      <c r="U28" s="37">
        <f t="shared" ref="U28" si="61">T28+U27</f>
        <v>1443056</v>
      </c>
      <c r="V28" s="37">
        <f t="shared" ref="V28" si="62">U28+V27</f>
        <v>1566829</v>
      </c>
      <c r="W28" s="37">
        <f t="shared" ref="W28" si="63">V28+W27</f>
        <v>1699032</v>
      </c>
      <c r="X28" s="37">
        <f t="shared" ref="X28" si="64">W28+X27</f>
        <v>1839826</v>
      </c>
      <c r="Y28" s="37">
        <f t="shared" ref="Y28" si="65">X28+Y27</f>
        <v>1989570</v>
      </c>
      <c r="Z28" s="37">
        <f t="shared" ref="Z28" si="66">Y28+Z27</f>
        <v>2135064</v>
      </c>
      <c r="AA28" s="37">
        <f t="shared" ref="AA28" si="67">Z28+AA27</f>
        <v>2289889</v>
      </c>
      <c r="AB28" s="37">
        <f t="shared" ref="AB28" si="68">AA28+AB27</f>
        <v>2453564</v>
      </c>
      <c r="AC28" s="37">
        <f t="shared" ref="AC28" si="69">AB28+AC27</f>
        <v>2625419</v>
      </c>
      <c r="AD28" s="37">
        <f t="shared" ref="AD28" si="70">AC28+AD27</f>
        <v>2806214</v>
      </c>
      <c r="AE28" s="37">
        <f t="shared" ref="AE28" si="71">AD28+AE27</f>
        <v>2996299</v>
      </c>
      <c r="AF28" s="37">
        <f t="shared" ref="AF28" si="72">AE28+AF27</f>
        <v>3194735</v>
      </c>
      <c r="AG28" s="37">
        <f t="shared" ref="AG28" si="73">AF28+AG27</f>
        <v>3402581</v>
      </c>
      <c r="AH28" s="37">
        <f t="shared" ref="AH28" si="74">AG28+AH27</f>
        <v>3619557</v>
      </c>
      <c r="AI28" s="37">
        <f t="shared" ref="AI28" si="75">AH28+AI27</f>
        <v>3845053</v>
      </c>
      <c r="AJ28" s="37">
        <f t="shared" ref="AJ28" si="76">AI28+AJ27</f>
        <v>4073269</v>
      </c>
      <c r="AK28" s="37">
        <f t="shared" ref="AK28:AL28" si="77">AJ28+AK27</f>
        <v>4311486</v>
      </c>
      <c r="AL28" s="37">
        <f t="shared" si="77"/>
        <v>4559023</v>
      </c>
      <c r="AN28" s="37">
        <f>AL28</f>
        <v>4559023</v>
      </c>
    </row>
    <row r="29" spans="1:40" ht="12" customHeight="1" x14ac:dyDescent="0.35">
      <c r="A29" s="13"/>
      <c r="B29" s="14" t="s">
        <v>19</v>
      </c>
      <c r="C29" s="31">
        <f>C27/(1+$C$36)^(C2)</f>
        <v>-40662.844680886214</v>
      </c>
      <c r="D29" s="31">
        <f t="shared" ref="D29:AL29" si="78">D27/(1+$C$36)^(D2)</f>
        <v>-38343.474876084045</v>
      </c>
      <c r="E29" s="31">
        <f t="shared" si="78"/>
        <v>-10733.67614929571</v>
      </c>
      <c r="F29" s="31">
        <f t="shared" si="78"/>
        <v>-3126.6930680221376</v>
      </c>
      <c r="G29" s="31">
        <f t="shared" si="78"/>
        <v>4185.9109527700066</v>
      </c>
      <c r="H29" s="31">
        <f t="shared" si="78"/>
        <v>11447.323025311671</v>
      </c>
      <c r="I29" s="31">
        <f t="shared" si="78"/>
        <v>18854.749713138444</v>
      </c>
      <c r="J29" s="31">
        <f t="shared" si="78"/>
        <v>26001.7773877254</v>
      </c>
      <c r="K29" s="31">
        <f t="shared" si="78"/>
        <v>32902.758734552495</v>
      </c>
      <c r="L29" s="31">
        <f t="shared" si="78"/>
        <v>39919.826027472969</v>
      </c>
      <c r="M29" s="31">
        <f t="shared" si="78"/>
        <v>47166.437710052007</v>
      </c>
      <c r="N29" s="31">
        <f t="shared" si="78"/>
        <v>189106.54126377529</v>
      </c>
      <c r="O29" s="31">
        <f t="shared" si="78"/>
        <v>58363.141173433185</v>
      </c>
      <c r="P29" s="31">
        <f t="shared" si="78"/>
        <v>65305.613179132568</v>
      </c>
      <c r="Q29" s="31">
        <f t="shared" si="78"/>
        <v>71911.393934089283</v>
      </c>
      <c r="R29" s="31">
        <f t="shared" si="78"/>
        <v>78276.342227018467</v>
      </c>
      <c r="S29" s="31">
        <f t="shared" si="78"/>
        <v>85006.780191724873</v>
      </c>
      <c r="T29" s="31">
        <f t="shared" si="78"/>
        <v>518415.13847843296</v>
      </c>
      <c r="U29" s="31">
        <f t="shared" si="78"/>
        <v>97575.64158208025</v>
      </c>
      <c r="V29" s="31">
        <f t="shared" si="78"/>
        <v>103912.53728943775</v>
      </c>
      <c r="W29" s="31">
        <f t="shared" si="78"/>
        <v>110023.49685378827</v>
      </c>
      <c r="X29" s="31">
        <f t="shared" si="78"/>
        <v>116152.9869987385</v>
      </c>
      <c r="Y29" s="31">
        <f t="shared" si="78"/>
        <v>122460.99016085874</v>
      </c>
      <c r="Z29" s="31">
        <f t="shared" si="78"/>
        <v>117949.34192690358</v>
      </c>
      <c r="AA29" s="31">
        <f t="shared" si="78"/>
        <v>124420.98309856943</v>
      </c>
      <c r="AB29" s="31">
        <f t="shared" si="78"/>
        <v>130387.81002992482</v>
      </c>
      <c r="AC29" s="31">
        <f t="shared" si="78"/>
        <v>135712.20762580738</v>
      </c>
      <c r="AD29" s="31">
        <f t="shared" si="78"/>
        <v>141528.94205127208</v>
      </c>
      <c r="AE29" s="31">
        <f t="shared" si="78"/>
        <v>147505.69677157042</v>
      </c>
      <c r="AF29" s="31">
        <f t="shared" si="78"/>
        <v>152645.32642340951</v>
      </c>
      <c r="AG29" s="31">
        <f t="shared" si="78"/>
        <v>158491.80825256091</v>
      </c>
      <c r="AH29" s="31">
        <f t="shared" si="78"/>
        <v>164013.25574309292</v>
      </c>
      <c r="AI29" s="31">
        <f t="shared" si="78"/>
        <v>168969.45181404799</v>
      </c>
      <c r="AJ29" s="31">
        <f t="shared" si="78"/>
        <v>169518.67272358024</v>
      </c>
      <c r="AK29" s="31">
        <f t="shared" si="78"/>
        <v>175406.75201092873</v>
      </c>
      <c r="AL29" s="31">
        <f t="shared" si="78"/>
        <v>180682.37088078036</v>
      </c>
      <c r="AN29" s="31"/>
    </row>
    <row r="30" spans="1:40" ht="12" customHeight="1" x14ac:dyDescent="0.35">
      <c r="A30" s="38"/>
      <c r="B30" s="32" t="s">
        <v>20</v>
      </c>
      <c r="C30" s="33">
        <f>SUM(C29:AL29)</f>
        <v>3671355.3174616932</v>
      </c>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N30" s="45"/>
    </row>
    <row r="31" spans="1:40" ht="12" customHeight="1" x14ac:dyDescent="0.35">
      <c r="A31" s="10"/>
      <c r="B31" s="11"/>
      <c r="C31" s="17"/>
      <c r="D31" s="17"/>
      <c r="E31" s="17"/>
      <c r="F31" s="17"/>
      <c r="G31" s="17"/>
      <c r="H31" s="17"/>
      <c r="I31" s="17"/>
      <c r="J31" s="17"/>
      <c r="K31" s="18"/>
      <c r="L31" s="18"/>
      <c r="M31" s="18"/>
      <c r="N31" s="18"/>
    </row>
    <row r="32" spans="1:40" ht="12" customHeight="1" x14ac:dyDescent="0.35">
      <c r="A32" s="10"/>
      <c r="B32" s="16" t="s">
        <v>21</v>
      </c>
      <c r="C32" s="47">
        <v>3.6400000000000002E-2</v>
      </c>
      <c r="D32" s="19" t="s">
        <v>22</v>
      </c>
      <c r="E32" s="11"/>
      <c r="F32" s="11"/>
      <c r="G32" s="11"/>
      <c r="H32" s="11"/>
      <c r="I32" s="11"/>
      <c r="J32" s="11"/>
      <c r="K32" s="11"/>
      <c r="L32" s="11"/>
      <c r="M32" s="11"/>
      <c r="N32" s="11"/>
    </row>
    <row r="33" spans="1:14" ht="12" customHeight="1" x14ac:dyDescent="0.35">
      <c r="A33" s="10"/>
      <c r="B33" s="16" t="s">
        <v>23</v>
      </c>
      <c r="C33" s="47">
        <v>0.05</v>
      </c>
      <c r="D33" s="19" t="s">
        <v>55</v>
      </c>
      <c r="E33" s="19"/>
      <c r="F33" s="19"/>
      <c r="G33" s="19"/>
      <c r="H33" s="19"/>
      <c r="I33" s="19"/>
      <c r="J33" s="19"/>
      <c r="K33" s="19"/>
      <c r="L33" s="19"/>
      <c r="M33" s="19"/>
      <c r="N33" s="19"/>
    </row>
    <row r="34" spans="1:14" ht="12" customHeight="1" x14ac:dyDescent="0.35">
      <c r="A34" s="10"/>
      <c r="B34" s="16" t="s">
        <v>24</v>
      </c>
      <c r="C34" s="47">
        <v>1.9E-2</v>
      </c>
      <c r="D34" s="19" t="s">
        <v>56</v>
      </c>
      <c r="E34" s="19"/>
      <c r="F34" s="19"/>
      <c r="G34" s="19"/>
      <c r="H34" s="19"/>
      <c r="I34" s="19"/>
      <c r="J34" s="19"/>
      <c r="K34" s="19"/>
      <c r="L34" s="19"/>
      <c r="M34" s="19"/>
      <c r="N34" s="19"/>
    </row>
    <row r="35" spans="1:14" ht="12" customHeight="1" x14ac:dyDescent="0.35">
      <c r="A35" s="10"/>
      <c r="B35" s="21" t="s">
        <v>50</v>
      </c>
      <c r="C35" s="22">
        <f>SUM(C32:C34)</f>
        <v>0.10540000000000001</v>
      </c>
      <c r="D35" s="19"/>
      <c r="E35" s="19"/>
      <c r="F35" s="19"/>
      <c r="G35" s="19"/>
      <c r="H35" s="19"/>
      <c r="I35" s="19"/>
      <c r="J35" s="19"/>
      <c r="K35" s="19"/>
      <c r="L35" s="19"/>
      <c r="M35" s="19"/>
      <c r="N35" s="19"/>
    </row>
    <row r="36" spans="1:14" ht="12" customHeight="1" x14ac:dyDescent="0.35">
      <c r="A36" s="10"/>
      <c r="B36" s="21" t="s">
        <v>51</v>
      </c>
      <c r="C36" s="22">
        <f>C35/12</f>
        <v>8.783333333333334E-3</v>
      </c>
      <c r="D36" s="19"/>
      <c r="E36" s="19"/>
      <c r="F36" s="19"/>
      <c r="G36" s="19"/>
      <c r="H36" s="19"/>
      <c r="I36" s="19"/>
      <c r="J36" s="19"/>
      <c r="K36" s="19"/>
      <c r="L36" s="19"/>
      <c r="M36" s="19"/>
      <c r="N36" s="19"/>
    </row>
    <row r="37" spans="1:14" ht="12" customHeight="1" x14ac:dyDescent="0.35">
      <c r="A37" s="10"/>
      <c r="B37" s="11"/>
      <c r="C37" s="22"/>
      <c r="D37" s="19"/>
      <c r="E37" s="19"/>
      <c r="F37" s="19"/>
      <c r="G37" s="19"/>
      <c r="H37" s="19"/>
      <c r="I37" s="19"/>
      <c r="J37" s="19"/>
      <c r="K37" s="19"/>
      <c r="L37" s="19"/>
      <c r="M37" s="19"/>
      <c r="N37" s="19"/>
    </row>
    <row r="38" spans="1:14" ht="12" customHeight="1" x14ac:dyDescent="0.35">
      <c r="A38" s="10"/>
      <c r="C38" s="48" t="s">
        <v>53</v>
      </c>
      <c r="D38" s="49" t="s">
        <v>54</v>
      </c>
      <c r="E38" s="19"/>
      <c r="F38" s="19"/>
      <c r="G38" s="19"/>
      <c r="H38" s="19"/>
      <c r="I38" s="19"/>
      <c r="J38" s="19"/>
      <c r="K38" s="19"/>
      <c r="L38" s="19"/>
      <c r="M38" s="19"/>
      <c r="N38" s="19"/>
    </row>
    <row r="39" spans="1:14" ht="12" customHeight="1" x14ac:dyDescent="0.35">
      <c r="A39" s="10"/>
      <c r="B39" s="16" t="s">
        <v>36</v>
      </c>
      <c r="C39" s="20">
        <f t="shared" ref="C39:C49" si="79">C3/(SUM($C$3:$C$13))</f>
        <v>0.26666666666666666</v>
      </c>
      <c r="D39" s="20">
        <f>AN3/(SUM($AN$3:$AN$13))</f>
        <v>0.16</v>
      </c>
      <c r="E39" s="19"/>
      <c r="F39" s="19"/>
      <c r="G39" s="19"/>
      <c r="H39" s="19"/>
      <c r="I39" s="19"/>
      <c r="J39" s="19"/>
      <c r="K39" s="19"/>
      <c r="L39" s="19"/>
      <c r="M39" s="19"/>
      <c r="N39" s="19"/>
    </row>
    <row r="40" spans="1:14" ht="12" customHeight="1" x14ac:dyDescent="0.35">
      <c r="A40" s="10"/>
      <c r="B40" s="16" t="s">
        <v>37</v>
      </c>
      <c r="C40" s="20">
        <f t="shared" si="79"/>
        <v>0.2</v>
      </c>
      <c r="D40" s="20">
        <f t="shared" ref="D40:D49" si="80">AN4/(SUM($AN$3:$AN$13))</f>
        <v>0.12</v>
      </c>
      <c r="E40" s="19"/>
      <c r="F40" s="19"/>
      <c r="G40" s="19"/>
      <c r="H40" s="19"/>
      <c r="I40" s="19"/>
      <c r="J40" s="19"/>
      <c r="K40" s="19"/>
      <c r="L40" s="19"/>
      <c r="M40" s="19"/>
      <c r="N40" s="19"/>
    </row>
    <row r="41" spans="1:14" ht="12" customHeight="1" x14ac:dyDescent="0.35">
      <c r="A41" s="10"/>
      <c r="B41" s="16" t="s">
        <v>38</v>
      </c>
      <c r="C41" s="20">
        <f t="shared" si="79"/>
        <v>0.4</v>
      </c>
      <c r="D41" s="20">
        <f t="shared" si="80"/>
        <v>0.24</v>
      </c>
      <c r="E41" s="19"/>
      <c r="F41" s="19"/>
      <c r="G41" s="19"/>
      <c r="H41" s="19"/>
      <c r="I41" s="19"/>
      <c r="J41" s="19"/>
      <c r="K41" s="19"/>
      <c r="L41" s="19"/>
      <c r="M41" s="19"/>
      <c r="N41" s="19"/>
    </row>
    <row r="42" spans="1:14" ht="12" customHeight="1" x14ac:dyDescent="0.35">
      <c r="A42" s="10"/>
      <c r="B42" s="1" t="s">
        <v>39</v>
      </c>
      <c r="C42" s="20">
        <f t="shared" si="79"/>
        <v>0</v>
      </c>
      <c r="D42" s="20">
        <f t="shared" si="80"/>
        <v>0</v>
      </c>
      <c r="E42" s="19"/>
      <c r="F42" s="19"/>
      <c r="G42" s="19"/>
      <c r="H42" s="19"/>
      <c r="I42" s="19"/>
      <c r="J42" s="19"/>
      <c r="K42" s="19"/>
      <c r="L42" s="19"/>
      <c r="M42" s="19"/>
      <c r="N42" s="19"/>
    </row>
    <row r="43" spans="1:14" ht="12" customHeight="1" x14ac:dyDescent="0.35">
      <c r="A43" s="10"/>
      <c r="B43" s="1" t="s">
        <v>40</v>
      </c>
      <c r="C43" s="20">
        <f t="shared" si="79"/>
        <v>0.13333333333333333</v>
      </c>
      <c r="D43" s="20">
        <f t="shared" si="80"/>
        <v>0.08</v>
      </c>
      <c r="E43" s="19"/>
      <c r="F43" s="19"/>
      <c r="G43" s="19"/>
      <c r="H43" s="19"/>
      <c r="I43" s="19"/>
      <c r="J43" s="19"/>
      <c r="K43" s="19"/>
      <c r="L43" s="19"/>
      <c r="M43" s="19"/>
      <c r="N43" s="19"/>
    </row>
    <row r="44" spans="1:14" ht="12" customHeight="1" x14ac:dyDescent="0.35">
      <c r="A44" s="10"/>
      <c r="B44" s="1" t="s">
        <v>41</v>
      </c>
      <c r="C44" s="20">
        <f t="shared" si="79"/>
        <v>0</v>
      </c>
      <c r="D44" s="20">
        <f t="shared" si="80"/>
        <v>0</v>
      </c>
      <c r="E44" s="19"/>
      <c r="F44" s="19"/>
      <c r="G44" s="19"/>
      <c r="H44" s="19"/>
      <c r="I44" s="19"/>
      <c r="J44" s="19"/>
      <c r="K44" s="19"/>
      <c r="L44" s="19"/>
      <c r="M44" s="19"/>
      <c r="N44" s="19"/>
    </row>
    <row r="45" spans="1:14" ht="12" customHeight="1" x14ac:dyDescent="0.35">
      <c r="A45" s="5"/>
      <c r="B45" s="1" t="s">
        <v>42</v>
      </c>
      <c r="C45" s="20">
        <f t="shared" si="79"/>
        <v>0</v>
      </c>
      <c r="D45" s="20">
        <f t="shared" si="80"/>
        <v>0</v>
      </c>
      <c r="E45" s="4"/>
      <c r="F45" s="4"/>
      <c r="G45" s="4"/>
      <c r="H45" s="4"/>
      <c r="I45" s="4"/>
      <c r="J45" s="4"/>
      <c r="K45" s="4"/>
      <c r="L45" s="4"/>
      <c r="M45" s="4"/>
      <c r="N45" s="4"/>
    </row>
    <row r="46" spans="1:14" ht="12" customHeight="1" x14ac:dyDescent="0.35">
      <c r="A46" s="5"/>
      <c r="B46" s="1" t="s">
        <v>43</v>
      </c>
      <c r="C46" s="20">
        <f t="shared" si="79"/>
        <v>0</v>
      </c>
      <c r="D46" s="20">
        <f t="shared" si="80"/>
        <v>0</v>
      </c>
      <c r="E46" s="4"/>
      <c r="F46" s="4"/>
      <c r="G46" s="4"/>
      <c r="H46" s="4"/>
      <c r="I46" s="4"/>
      <c r="J46" s="4"/>
      <c r="K46" s="4"/>
      <c r="L46" s="4"/>
      <c r="M46" s="4"/>
      <c r="N46" s="4"/>
    </row>
    <row r="47" spans="1:14" ht="12" customHeight="1" x14ac:dyDescent="0.35">
      <c r="A47" s="5"/>
      <c r="B47" s="1" t="s">
        <v>44</v>
      </c>
      <c r="C47" s="20">
        <f t="shared" si="79"/>
        <v>0</v>
      </c>
      <c r="D47" s="20">
        <f t="shared" si="80"/>
        <v>0.4</v>
      </c>
      <c r="E47" s="4"/>
      <c r="F47" s="4"/>
      <c r="G47" s="4"/>
      <c r="H47" s="4"/>
      <c r="I47" s="4"/>
      <c r="J47" s="4"/>
      <c r="K47" s="4"/>
      <c r="L47" s="4"/>
      <c r="M47" s="4"/>
      <c r="N47" s="4"/>
    </row>
    <row r="48" spans="1:14" ht="12" customHeight="1" x14ac:dyDescent="0.35">
      <c r="A48" s="5"/>
      <c r="B48" s="1" t="s">
        <v>45</v>
      </c>
      <c r="C48" s="20">
        <f t="shared" si="79"/>
        <v>0</v>
      </c>
      <c r="D48" s="20">
        <f t="shared" si="80"/>
        <v>0</v>
      </c>
      <c r="E48" s="4"/>
      <c r="F48" s="4"/>
      <c r="G48" s="4"/>
      <c r="H48" s="4"/>
      <c r="I48" s="4"/>
      <c r="J48" s="4"/>
      <c r="K48" s="4"/>
      <c r="L48" s="4"/>
      <c r="M48" s="4"/>
      <c r="N48" s="4"/>
    </row>
    <row r="49" spans="1:14" ht="12" customHeight="1" x14ac:dyDescent="0.35">
      <c r="A49" s="5"/>
      <c r="B49" s="1" t="s">
        <v>46</v>
      </c>
      <c r="C49" s="20">
        <f t="shared" si="79"/>
        <v>0</v>
      </c>
      <c r="D49" s="20">
        <f t="shared" si="80"/>
        <v>0</v>
      </c>
      <c r="E49" s="4"/>
      <c r="F49" s="4"/>
      <c r="G49" s="4"/>
      <c r="H49" s="4"/>
      <c r="I49" s="4"/>
      <c r="J49" s="4"/>
      <c r="K49" s="4"/>
      <c r="L49" s="4"/>
      <c r="M49" s="4"/>
      <c r="N49" s="4"/>
    </row>
    <row r="50" spans="1:14" ht="12" customHeight="1" x14ac:dyDescent="0.35">
      <c r="A50" s="5"/>
      <c r="C50" s="46">
        <f>SUM(C39:C49)</f>
        <v>1</v>
      </c>
      <c r="D50" s="46">
        <f>SUM(D39:D49)</f>
        <v>1</v>
      </c>
      <c r="E50" s="4"/>
      <c r="F50" s="4"/>
      <c r="G50" s="4"/>
      <c r="H50" s="4"/>
      <c r="I50" s="4"/>
      <c r="J50" s="4"/>
      <c r="K50" s="4"/>
      <c r="L50" s="4"/>
      <c r="M50" s="4"/>
      <c r="N50" s="4"/>
    </row>
    <row r="51" spans="1:14" ht="12" customHeight="1" x14ac:dyDescent="0.35">
      <c r="A51" s="5"/>
      <c r="B51" s="6"/>
      <c r="C51" s="4"/>
      <c r="D51" s="4"/>
      <c r="E51" s="4"/>
      <c r="F51" s="4"/>
      <c r="G51" s="4"/>
      <c r="H51" s="4"/>
      <c r="I51" s="4"/>
      <c r="J51" s="4"/>
      <c r="K51" s="4"/>
      <c r="L51" s="4"/>
      <c r="M51" s="4"/>
      <c r="N51" s="4"/>
    </row>
    <row r="52" spans="1:14" ht="12" customHeight="1" x14ac:dyDescent="0.35">
      <c r="A52" s="5"/>
      <c r="B52" s="6"/>
      <c r="C52" s="50"/>
      <c r="D52" s="4"/>
      <c r="E52" s="4"/>
      <c r="F52" s="4"/>
      <c r="G52" s="4"/>
      <c r="H52" s="4"/>
      <c r="I52" s="4"/>
      <c r="J52" s="4"/>
      <c r="K52" s="4"/>
      <c r="L52" s="4"/>
      <c r="M52" s="4"/>
      <c r="N52" s="4"/>
    </row>
    <row r="53" spans="1:14" ht="12" customHeight="1" x14ac:dyDescent="0.35">
      <c r="A53" s="5"/>
      <c r="B53" s="6"/>
      <c r="C53" s="4"/>
      <c r="D53" s="4"/>
      <c r="E53" s="4"/>
      <c r="F53" s="4"/>
      <c r="G53" s="4"/>
      <c r="H53" s="4"/>
      <c r="I53" s="4"/>
      <c r="J53" s="4"/>
      <c r="K53" s="4"/>
      <c r="L53" s="4"/>
      <c r="M53" s="4"/>
      <c r="N53" s="4"/>
    </row>
    <row r="54" spans="1:14" ht="12" customHeight="1" x14ac:dyDescent="0.35">
      <c r="A54" s="5"/>
      <c r="B54" s="6"/>
      <c r="C54" s="4"/>
      <c r="D54" s="4"/>
      <c r="E54" s="4"/>
      <c r="F54" s="4"/>
      <c r="G54" s="4"/>
      <c r="H54" s="4"/>
      <c r="I54" s="4"/>
      <c r="J54" s="4"/>
      <c r="K54" s="4"/>
      <c r="L54" s="4"/>
      <c r="M54" s="4"/>
      <c r="N54" s="4"/>
    </row>
    <row r="55" spans="1:14" ht="12" customHeight="1" x14ac:dyDescent="0.35">
      <c r="A55" s="5"/>
      <c r="B55" s="6"/>
      <c r="C55" s="4"/>
      <c r="D55" s="4"/>
      <c r="E55" s="4"/>
      <c r="F55" s="4"/>
      <c r="G55" s="4"/>
      <c r="H55" s="4"/>
      <c r="I55" s="4"/>
      <c r="J55" s="4"/>
      <c r="K55" s="4"/>
      <c r="L55" s="4"/>
      <c r="M55" s="4"/>
      <c r="N55" s="4"/>
    </row>
    <row r="56" spans="1:14" ht="12" customHeight="1" x14ac:dyDescent="0.35">
      <c r="A56" s="5"/>
      <c r="C56" s="4"/>
      <c r="D56" s="4"/>
      <c r="E56" s="4"/>
      <c r="F56" s="4"/>
      <c r="G56" s="4"/>
      <c r="H56" s="4"/>
      <c r="I56" s="4"/>
      <c r="J56" s="4"/>
      <c r="K56" s="4"/>
      <c r="L56" s="4"/>
      <c r="M56" s="4"/>
      <c r="N56" s="4"/>
    </row>
    <row r="57" spans="1:14" ht="12" customHeight="1" x14ac:dyDescent="0.35">
      <c r="A57" s="5"/>
      <c r="C57" s="4"/>
      <c r="D57" s="4"/>
      <c r="E57" s="4"/>
      <c r="F57" s="4"/>
      <c r="G57" s="4"/>
      <c r="H57" s="4"/>
      <c r="I57" s="4"/>
      <c r="J57" s="4"/>
      <c r="K57" s="4"/>
      <c r="L57" s="4"/>
      <c r="M57" s="4"/>
      <c r="N57" s="4"/>
    </row>
    <row r="58" spans="1:14" ht="12" customHeight="1" x14ac:dyDescent="0.35">
      <c r="A58" s="5"/>
      <c r="C58" s="4"/>
      <c r="D58" s="4"/>
      <c r="E58" s="4"/>
      <c r="F58" s="4"/>
      <c r="G58" s="4"/>
      <c r="H58" s="4"/>
      <c r="I58" s="4"/>
      <c r="J58" s="4"/>
      <c r="K58" s="4"/>
      <c r="L58" s="4"/>
      <c r="M58" s="4"/>
      <c r="N58" s="4"/>
    </row>
    <row r="59" spans="1:14" ht="12" customHeight="1" x14ac:dyDescent="0.35">
      <c r="A59" s="5"/>
      <c r="C59" s="4"/>
      <c r="D59" s="4"/>
      <c r="E59" s="4"/>
      <c r="F59" s="4"/>
      <c r="G59" s="4"/>
      <c r="H59" s="4"/>
      <c r="I59" s="4"/>
      <c r="J59" s="4"/>
      <c r="K59" s="4"/>
      <c r="L59" s="4"/>
      <c r="M59" s="4"/>
      <c r="N59" s="4"/>
    </row>
    <row r="60" spans="1:14" ht="12" customHeight="1" x14ac:dyDescent="0.35">
      <c r="A60" s="5"/>
      <c r="C60" s="4"/>
      <c r="D60" s="4"/>
      <c r="E60" s="4"/>
      <c r="F60" s="4"/>
      <c r="G60" s="4"/>
      <c r="H60" s="4"/>
      <c r="I60" s="4"/>
      <c r="J60" s="4"/>
      <c r="K60" s="4"/>
      <c r="L60" s="4"/>
      <c r="M60" s="4"/>
      <c r="N60" s="4"/>
    </row>
    <row r="61" spans="1:14" ht="12" customHeight="1" x14ac:dyDescent="0.35">
      <c r="A61" s="5"/>
      <c r="D61" s="8"/>
    </row>
    <row r="62" spans="1:14" ht="12" customHeight="1" x14ac:dyDescent="0.35">
      <c r="A62" s="5"/>
      <c r="D62" s="8"/>
    </row>
    <row r="63" spans="1:14" ht="12" customHeight="1" x14ac:dyDescent="0.35">
      <c r="A63" s="5"/>
      <c r="D63" s="8"/>
    </row>
    <row r="64" spans="1:14" ht="12" customHeight="1" x14ac:dyDescent="0.35">
      <c r="A64" s="5"/>
    </row>
    <row r="65" spans="1:4" ht="12" customHeight="1" x14ac:dyDescent="0.35">
      <c r="A65" s="5"/>
      <c r="D65" s="8"/>
    </row>
    <row r="66" spans="1:4" ht="12" customHeight="1" x14ac:dyDescent="0.35">
      <c r="A66" s="5"/>
      <c r="D66" s="8"/>
    </row>
    <row r="67" spans="1:4" ht="12" customHeight="1" x14ac:dyDescent="0.35">
      <c r="A67" s="5"/>
      <c r="D67" s="8"/>
    </row>
    <row r="68" spans="1:4" ht="12" customHeight="1" x14ac:dyDescent="0.35">
      <c r="A68" s="5"/>
      <c r="D68" s="8"/>
    </row>
    <row r="69" spans="1:4" ht="12" customHeight="1" x14ac:dyDescent="0.35">
      <c r="A69" s="5"/>
      <c r="D69" s="8"/>
    </row>
    <row r="70" spans="1:4" ht="12" customHeight="1" x14ac:dyDescent="0.35">
      <c r="A70" s="5"/>
      <c r="D70" s="8"/>
    </row>
    <row r="71" spans="1:4" ht="12" customHeight="1" x14ac:dyDescent="0.35">
      <c r="A71" s="5"/>
    </row>
    <row r="72" spans="1:4" ht="12" customHeight="1" x14ac:dyDescent="0.35">
      <c r="A72" s="5"/>
      <c r="D72" s="8"/>
    </row>
    <row r="73" spans="1:4" ht="12" customHeight="1" x14ac:dyDescent="0.35">
      <c r="A73" s="5"/>
      <c r="D73" s="8"/>
    </row>
    <row r="74" spans="1:4" ht="12" customHeight="1" x14ac:dyDescent="0.35">
      <c r="A74" s="5"/>
      <c r="D74" s="8"/>
    </row>
    <row r="75" spans="1:4" ht="12" customHeight="1" x14ac:dyDescent="0.35">
      <c r="A75" s="5"/>
      <c r="D75" s="8"/>
    </row>
    <row r="76" spans="1:4" ht="12" customHeight="1" x14ac:dyDescent="0.35">
      <c r="A76" s="5"/>
      <c r="D76" s="8"/>
    </row>
    <row r="77" spans="1:4" ht="12" customHeight="1" x14ac:dyDescent="0.35">
      <c r="A77" s="5"/>
      <c r="D77" s="8"/>
    </row>
    <row r="78" spans="1:4" ht="12" customHeight="1" x14ac:dyDescent="0.35">
      <c r="A78" s="5"/>
    </row>
    <row r="79" spans="1:4" ht="12" customHeight="1" x14ac:dyDescent="0.35">
      <c r="A79" s="5"/>
    </row>
    <row r="80" spans="1:4" ht="12" customHeight="1" x14ac:dyDescent="0.35">
      <c r="A80" s="5"/>
    </row>
    <row r="81" spans="1:1" ht="12" customHeight="1" x14ac:dyDescent="0.35">
      <c r="A81" s="5"/>
    </row>
  </sheetData>
  <sheetProtection algorithmName="SHA-512" hashValue="r++caUnBAyP5/HmN3xibbfcKUkKeXdLcMvHh0ai+95+P682aDWcdr4auJ+895UnuSSmaW5NA+crUQS2bIfHCww==" saltValue="35sUjZb2gG1luOUw5tcilA==" spinCount="100000" sheet="1" objects="1" scenarios="1"/>
  <mergeCells count="3">
    <mergeCell ref="C1:N1"/>
    <mergeCell ref="O1:Z1"/>
    <mergeCell ref="AA1:AL1"/>
  </mergeCells>
  <phoneticPr fontId="13" type="noConversion"/>
  <pageMargins left="0.25" right="0.25" top="0.75" bottom="0.75" header="0.3" footer="0.3"/>
  <pageSetup paperSize="9" orientation="landscape" r:id="rId1"/>
  <ignoredErrors>
    <ignoredError sqref="AN3:AN25"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B2B82-A38D-4D8C-AD60-5369CD23761F}">
  <dimension ref="A1:E44"/>
  <sheetViews>
    <sheetView topLeftCell="A31" workbookViewId="0">
      <selection activeCell="H36" sqref="H36"/>
    </sheetView>
  </sheetViews>
  <sheetFormatPr defaultRowHeight="14.5" x14ac:dyDescent="0.35"/>
  <cols>
    <col min="2" max="2" width="14.08984375" bestFit="1" customWidth="1"/>
    <col min="3" max="3" width="10.90625" bestFit="1" customWidth="1"/>
    <col min="4" max="4" width="12.7265625" bestFit="1" customWidth="1"/>
    <col min="5" max="5" width="16.08984375" bestFit="1" customWidth="1"/>
  </cols>
  <sheetData>
    <row r="1" spans="1:5" x14ac:dyDescent="0.35">
      <c r="A1" s="84" t="s">
        <v>144</v>
      </c>
      <c r="B1" s="84"/>
      <c r="C1" s="84"/>
      <c r="D1" s="84"/>
      <c r="E1" s="84"/>
    </row>
    <row r="2" spans="1:5" s="24" customFormat="1" x14ac:dyDescent="0.35">
      <c r="A2" s="24" t="s">
        <v>119</v>
      </c>
      <c r="B2" s="24" t="s">
        <v>140</v>
      </c>
      <c r="C2" s="24" t="s">
        <v>141</v>
      </c>
      <c r="D2" s="24" t="s">
        <v>142</v>
      </c>
      <c r="E2" s="24" t="s">
        <v>143</v>
      </c>
    </row>
    <row r="3" spans="1:5" x14ac:dyDescent="0.35">
      <c r="A3">
        <v>1</v>
      </c>
      <c r="B3">
        <v>125</v>
      </c>
      <c r="C3">
        <v>0</v>
      </c>
      <c r="D3">
        <v>0</v>
      </c>
      <c r="E3">
        <f>SUM(B3:D3)</f>
        <v>125</v>
      </c>
    </row>
    <row r="4" spans="1:5" x14ac:dyDescent="0.35">
      <c r="A4">
        <v>2</v>
      </c>
      <c r="B4">
        <v>125</v>
      </c>
      <c r="C4">
        <v>0</v>
      </c>
      <c r="D4">
        <v>0</v>
      </c>
      <c r="E4">
        <f t="shared" ref="E4:E44" si="0">SUM(B4:D4)</f>
        <v>125</v>
      </c>
    </row>
    <row r="5" spans="1:5" x14ac:dyDescent="0.35">
      <c r="A5">
        <v>3</v>
      </c>
      <c r="B5">
        <v>120</v>
      </c>
      <c r="C5">
        <v>140</v>
      </c>
      <c r="D5">
        <v>320</v>
      </c>
      <c r="E5">
        <f t="shared" si="0"/>
        <v>580</v>
      </c>
    </row>
    <row r="6" spans="1:5" x14ac:dyDescent="0.35">
      <c r="A6">
        <v>4</v>
      </c>
      <c r="B6">
        <v>118</v>
      </c>
      <c r="C6">
        <v>117</v>
      </c>
      <c r="D6">
        <v>267</v>
      </c>
      <c r="E6">
        <f t="shared" si="0"/>
        <v>502</v>
      </c>
    </row>
    <row r="7" spans="1:5" x14ac:dyDescent="0.35">
      <c r="A7">
        <v>5</v>
      </c>
      <c r="B7">
        <v>115</v>
      </c>
      <c r="C7">
        <v>100</v>
      </c>
      <c r="D7">
        <v>233</v>
      </c>
      <c r="E7">
        <f t="shared" si="0"/>
        <v>448</v>
      </c>
    </row>
    <row r="8" spans="1:5" x14ac:dyDescent="0.35">
      <c r="A8">
        <v>6</v>
      </c>
      <c r="B8">
        <v>112</v>
      </c>
      <c r="C8">
        <v>88</v>
      </c>
      <c r="D8">
        <v>208</v>
      </c>
      <c r="E8">
        <f t="shared" si="0"/>
        <v>408</v>
      </c>
    </row>
    <row r="9" spans="1:5" x14ac:dyDescent="0.35">
      <c r="A9">
        <v>7</v>
      </c>
      <c r="B9">
        <v>110</v>
      </c>
      <c r="C9">
        <v>78</v>
      </c>
      <c r="D9">
        <v>184</v>
      </c>
      <c r="E9">
        <f t="shared" si="0"/>
        <v>372</v>
      </c>
    </row>
    <row r="10" spans="1:5" x14ac:dyDescent="0.35">
      <c r="A10">
        <v>8</v>
      </c>
      <c r="B10">
        <v>108</v>
      </c>
      <c r="C10">
        <v>70</v>
      </c>
      <c r="D10">
        <v>168</v>
      </c>
      <c r="E10">
        <f t="shared" si="0"/>
        <v>346</v>
      </c>
    </row>
    <row r="11" spans="1:5" x14ac:dyDescent="0.35">
      <c r="A11">
        <v>9</v>
      </c>
      <c r="B11">
        <v>105</v>
      </c>
      <c r="C11">
        <v>64</v>
      </c>
      <c r="D11">
        <v>157</v>
      </c>
      <c r="E11">
        <f t="shared" si="0"/>
        <v>326</v>
      </c>
    </row>
    <row r="12" spans="1:5" x14ac:dyDescent="0.35">
      <c r="A12">
        <v>10</v>
      </c>
      <c r="B12">
        <v>103</v>
      </c>
      <c r="C12">
        <v>58</v>
      </c>
      <c r="D12">
        <v>146</v>
      </c>
      <c r="E12">
        <f t="shared" si="0"/>
        <v>307</v>
      </c>
    </row>
    <row r="13" spans="1:5" x14ac:dyDescent="0.35">
      <c r="A13">
        <v>11</v>
      </c>
      <c r="B13">
        <v>100</v>
      </c>
      <c r="C13">
        <v>54</v>
      </c>
      <c r="D13">
        <v>135</v>
      </c>
      <c r="E13">
        <f t="shared" si="0"/>
        <v>289</v>
      </c>
    </row>
    <row r="14" spans="1:5" x14ac:dyDescent="0.35">
      <c r="A14">
        <v>12</v>
      </c>
      <c r="B14">
        <v>98</v>
      </c>
      <c r="C14">
        <v>50</v>
      </c>
      <c r="D14">
        <v>126</v>
      </c>
      <c r="E14">
        <f t="shared" si="0"/>
        <v>274</v>
      </c>
    </row>
    <row r="16" spans="1:5" x14ac:dyDescent="0.35">
      <c r="A16" s="84" t="s">
        <v>145</v>
      </c>
      <c r="B16" s="84"/>
      <c r="C16" s="84"/>
      <c r="D16" s="84"/>
      <c r="E16" s="84"/>
    </row>
    <row r="17" spans="1:5" x14ac:dyDescent="0.35">
      <c r="A17" s="24" t="s">
        <v>119</v>
      </c>
      <c r="B17" s="24" t="s">
        <v>140</v>
      </c>
      <c r="C17" s="24" t="s">
        <v>141</v>
      </c>
      <c r="D17" s="24" t="s">
        <v>142</v>
      </c>
      <c r="E17" s="24" t="s">
        <v>143</v>
      </c>
    </row>
    <row r="18" spans="1:5" x14ac:dyDescent="0.35">
      <c r="A18">
        <v>13</v>
      </c>
      <c r="B18">
        <v>95</v>
      </c>
      <c r="C18">
        <v>47</v>
      </c>
      <c r="D18">
        <v>121</v>
      </c>
      <c r="E18">
        <f t="shared" si="0"/>
        <v>263</v>
      </c>
    </row>
    <row r="19" spans="1:5" x14ac:dyDescent="0.35">
      <c r="A19">
        <v>14</v>
      </c>
      <c r="B19">
        <v>93</v>
      </c>
      <c r="C19">
        <v>44</v>
      </c>
      <c r="D19">
        <v>114</v>
      </c>
      <c r="E19">
        <f t="shared" si="0"/>
        <v>251</v>
      </c>
    </row>
    <row r="20" spans="1:5" x14ac:dyDescent="0.35">
      <c r="A20">
        <v>15</v>
      </c>
      <c r="B20">
        <v>90</v>
      </c>
      <c r="C20">
        <v>41</v>
      </c>
      <c r="D20">
        <v>109</v>
      </c>
      <c r="E20">
        <f t="shared" si="0"/>
        <v>240</v>
      </c>
    </row>
    <row r="21" spans="1:5" x14ac:dyDescent="0.35">
      <c r="A21">
        <v>16</v>
      </c>
      <c r="B21">
        <v>88</v>
      </c>
      <c r="C21">
        <v>39</v>
      </c>
      <c r="D21">
        <v>106</v>
      </c>
      <c r="E21">
        <f t="shared" si="0"/>
        <v>233</v>
      </c>
    </row>
    <row r="22" spans="1:5" x14ac:dyDescent="0.35">
      <c r="A22">
        <v>17</v>
      </c>
      <c r="B22">
        <v>85</v>
      </c>
      <c r="C22">
        <v>37</v>
      </c>
      <c r="D22">
        <v>100</v>
      </c>
      <c r="E22">
        <f t="shared" si="0"/>
        <v>222</v>
      </c>
    </row>
    <row r="23" spans="1:5" x14ac:dyDescent="0.35">
      <c r="A23">
        <v>18</v>
      </c>
      <c r="B23">
        <v>83</v>
      </c>
      <c r="C23">
        <v>35</v>
      </c>
      <c r="D23">
        <v>97</v>
      </c>
      <c r="E23">
        <f t="shared" si="0"/>
        <v>215</v>
      </c>
    </row>
    <row r="24" spans="1:5" x14ac:dyDescent="0.35">
      <c r="A24">
        <v>19</v>
      </c>
      <c r="B24">
        <v>80</v>
      </c>
      <c r="C24">
        <v>33</v>
      </c>
      <c r="D24">
        <v>94</v>
      </c>
      <c r="E24">
        <f t="shared" si="0"/>
        <v>207</v>
      </c>
    </row>
    <row r="25" spans="1:5" x14ac:dyDescent="0.35">
      <c r="A25">
        <v>20</v>
      </c>
      <c r="B25">
        <v>78</v>
      </c>
      <c r="C25">
        <v>32</v>
      </c>
      <c r="D25">
        <v>90</v>
      </c>
      <c r="E25">
        <f t="shared" si="0"/>
        <v>200</v>
      </c>
    </row>
    <row r="26" spans="1:5" x14ac:dyDescent="0.35">
      <c r="A26">
        <v>21</v>
      </c>
      <c r="B26">
        <v>75</v>
      </c>
      <c r="C26">
        <v>30</v>
      </c>
      <c r="D26">
        <v>88</v>
      </c>
      <c r="E26">
        <f t="shared" si="0"/>
        <v>193</v>
      </c>
    </row>
    <row r="27" spans="1:5" x14ac:dyDescent="0.35">
      <c r="A27">
        <v>22</v>
      </c>
      <c r="B27">
        <v>73</v>
      </c>
      <c r="C27">
        <v>29</v>
      </c>
      <c r="D27">
        <v>85</v>
      </c>
      <c r="E27">
        <f t="shared" si="0"/>
        <v>187</v>
      </c>
    </row>
    <row r="28" spans="1:5" x14ac:dyDescent="0.35">
      <c r="A28">
        <v>23</v>
      </c>
      <c r="B28">
        <v>70</v>
      </c>
      <c r="C28">
        <v>28</v>
      </c>
      <c r="D28">
        <v>82</v>
      </c>
      <c r="E28">
        <f t="shared" si="0"/>
        <v>180</v>
      </c>
    </row>
    <row r="29" spans="1:5" x14ac:dyDescent="0.35">
      <c r="A29">
        <v>24</v>
      </c>
      <c r="B29">
        <v>68</v>
      </c>
      <c r="C29">
        <v>58</v>
      </c>
      <c r="D29">
        <v>87</v>
      </c>
      <c r="E29">
        <f t="shared" si="0"/>
        <v>213</v>
      </c>
    </row>
    <row r="31" spans="1:5" x14ac:dyDescent="0.35">
      <c r="A31" s="84" t="s">
        <v>146</v>
      </c>
      <c r="B31" s="84"/>
      <c r="C31" s="84"/>
      <c r="D31" s="84"/>
      <c r="E31" s="84"/>
    </row>
    <row r="32" spans="1:5" x14ac:dyDescent="0.35">
      <c r="A32" s="24" t="s">
        <v>119</v>
      </c>
      <c r="B32" s="24" t="s">
        <v>140</v>
      </c>
      <c r="C32" s="24" t="s">
        <v>141</v>
      </c>
      <c r="D32" s="24" t="s">
        <v>142</v>
      </c>
      <c r="E32" s="24" t="s">
        <v>143</v>
      </c>
    </row>
    <row r="33" spans="1:5" x14ac:dyDescent="0.35">
      <c r="A33">
        <v>25</v>
      </c>
      <c r="B33">
        <v>65</v>
      </c>
      <c r="C33">
        <v>56</v>
      </c>
      <c r="D33">
        <v>83</v>
      </c>
      <c r="E33">
        <f t="shared" si="0"/>
        <v>204</v>
      </c>
    </row>
    <row r="34" spans="1:5" x14ac:dyDescent="0.35">
      <c r="A34">
        <v>26</v>
      </c>
      <c r="B34">
        <v>63</v>
      </c>
      <c r="C34">
        <v>54</v>
      </c>
      <c r="D34">
        <v>80</v>
      </c>
      <c r="E34">
        <f t="shared" si="0"/>
        <v>197</v>
      </c>
    </row>
    <row r="35" spans="1:5" x14ac:dyDescent="0.35">
      <c r="A35">
        <v>27</v>
      </c>
      <c r="B35">
        <v>60</v>
      </c>
      <c r="C35">
        <v>52</v>
      </c>
      <c r="D35">
        <v>81</v>
      </c>
      <c r="E35">
        <f t="shared" si="0"/>
        <v>193</v>
      </c>
    </row>
    <row r="36" spans="1:5" x14ac:dyDescent="0.35">
      <c r="A36">
        <v>28</v>
      </c>
      <c r="B36">
        <v>58</v>
      </c>
      <c r="C36">
        <v>50</v>
      </c>
      <c r="D36">
        <v>78</v>
      </c>
      <c r="E36">
        <f t="shared" si="0"/>
        <v>186</v>
      </c>
    </row>
    <row r="37" spans="1:5" x14ac:dyDescent="0.35">
      <c r="A37">
        <v>29</v>
      </c>
      <c r="B37">
        <v>55</v>
      </c>
      <c r="C37">
        <v>48</v>
      </c>
      <c r="D37">
        <v>76</v>
      </c>
      <c r="E37">
        <f t="shared" si="0"/>
        <v>179</v>
      </c>
    </row>
    <row r="38" spans="1:5" x14ac:dyDescent="0.35">
      <c r="A38">
        <v>30</v>
      </c>
      <c r="B38">
        <v>53</v>
      </c>
      <c r="C38">
        <v>47</v>
      </c>
      <c r="D38">
        <v>77</v>
      </c>
      <c r="E38">
        <f t="shared" si="0"/>
        <v>177</v>
      </c>
    </row>
    <row r="39" spans="1:5" x14ac:dyDescent="0.35">
      <c r="A39">
        <v>31</v>
      </c>
      <c r="B39">
        <v>50</v>
      </c>
      <c r="C39">
        <v>45</v>
      </c>
      <c r="D39">
        <v>74</v>
      </c>
      <c r="E39">
        <f t="shared" si="0"/>
        <v>169</v>
      </c>
    </row>
    <row r="40" spans="1:5" x14ac:dyDescent="0.35">
      <c r="A40">
        <v>32</v>
      </c>
      <c r="B40">
        <v>48</v>
      </c>
      <c r="C40">
        <v>44</v>
      </c>
      <c r="D40">
        <v>72</v>
      </c>
      <c r="E40">
        <f t="shared" si="0"/>
        <v>164</v>
      </c>
    </row>
    <row r="41" spans="1:5" x14ac:dyDescent="0.35">
      <c r="A41">
        <v>33</v>
      </c>
      <c r="B41">
        <v>45</v>
      </c>
      <c r="C41">
        <v>43</v>
      </c>
      <c r="D41">
        <v>73</v>
      </c>
      <c r="E41">
        <f t="shared" si="0"/>
        <v>161</v>
      </c>
    </row>
    <row r="42" spans="1:5" x14ac:dyDescent="0.35">
      <c r="A42">
        <v>34</v>
      </c>
      <c r="B42">
        <v>43</v>
      </c>
      <c r="C42">
        <v>44</v>
      </c>
      <c r="D42">
        <v>76</v>
      </c>
      <c r="E42">
        <f t="shared" si="0"/>
        <v>163</v>
      </c>
    </row>
    <row r="43" spans="1:5" x14ac:dyDescent="0.35">
      <c r="A43">
        <v>35</v>
      </c>
      <c r="B43">
        <v>40</v>
      </c>
      <c r="C43">
        <v>43</v>
      </c>
      <c r="D43">
        <v>74</v>
      </c>
      <c r="E43">
        <f t="shared" si="0"/>
        <v>157</v>
      </c>
    </row>
    <row r="44" spans="1:5" x14ac:dyDescent="0.35">
      <c r="A44">
        <v>36</v>
      </c>
      <c r="B44">
        <v>38</v>
      </c>
      <c r="C44">
        <v>42</v>
      </c>
      <c r="D44">
        <v>72</v>
      </c>
      <c r="E44">
        <f t="shared" si="0"/>
        <v>152</v>
      </c>
    </row>
  </sheetData>
  <mergeCells count="3">
    <mergeCell ref="A1:E1"/>
    <mergeCell ref="A16:E16"/>
    <mergeCell ref="A31:E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7FD58-09BC-41BA-A6A2-983A51FCE90D}">
  <dimension ref="A1:F55"/>
  <sheetViews>
    <sheetView topLeftCell="D36" workbookViewId="0">
      <selection activeCell="F54" sqref="F54"/>
    </sheetView>
  </sheetViews>
  <sheetFormatPr defaultColWidth="18.1796875" defaultRowHeight="14.5" x14ac:dyDescent="0.35"/>
  <sheetData>
    <row r="1" spans="1:6" x14ac:dyDescent="0.35">
      <c r="A1" s="84" t="s">
        <v>109</v>
      </c>
      <c r="B1" s="84"/>
      <c r="C1" s="84"/>
    </row>
    <row r="2" spans="1:6" x14ac:dyDescent="0.35">
      <c r="A2" t="s">
        <v>110</v>
      </c>
      <c r="B2" t="s">
        <v>111</v>
      </c>
    </row>
    <row r="3" spans="1:6" x14ac:dyDescent="0.35">
      <c r="A3" t="s">
        <v>13</v>
      </c>
      <c r="B3" t="s">
        <v>112</v>
      </c>
    </row>
    <row r="4" spans="1:6" x14ac:dyDescent="0.35">
      <c r="A4" t="s">
        <v>113</v>
      </c>
      <c r="B4" t="s">
        <v>112</v>
      </c>
    </row>
    <row r="5" spans="1:6" x14ac:dyDescent="0.35">
      <c r="A5" t="s">
        <v>114</v>
      </c>
      <c r="B5" t="s">
        <v>112</v>
      </c>
    </row>
    <row r="6" spans="1:6" x14ac:dyDescent="0.35">
      <c r="A6" t="s">
        <v>115</v>
      </c>
      <c r="B6" t="s">
        <v>112</v>
      </c>
    </row>
    <row r="7" spans="1:6" x14ac:dyDescent="0.35">
      <c r="A7" t="s">
        <v>116</v>
      </c>
      <c r="B7" t="s">
        <v>112</v>
      </c>
    </row>
    <row r="8" spans="1:6" x14ac:dyDescent="0.35">
      <c r="A8" t="s">
        <v>117</v>
      </c>
      <c r="B8" t="s">
        <v>112</v>
      </c>
    </row>
    <row r="11" spans="1:6" x14ac:dyDescent="0.35">
      <c r="A11" s="24" t="s">
        <v>118</v>
      </c>
    </row>
    <row r="12" spans="1:6" x14ac:dyDescent="0.35">
      <c r="A12" s="24" t="s">
        <v>119</v>
      </c>
      <c r="B12" s="24" t="s">
        <v>120</v>
      </c>
      <c r="C12" s="24" t="s">
        <v>113</v>
      </c>
      <c r="D12" s="24" t="s">
        <v>114</v>
      </c>
      <c r="E12" s="24" t="s">
        <v>121</v>
      </c>
      <c r="F12" s="24" t="s">
        <v>122</v>
      </c>
    </row>
    <row r="13" spans="1:6" x14ac:dyDescent="0.35">
      <c r="A13">
        <v>1</v>
      </c>
      <c r="B13" s="26">
        <v>15500</v>
      </c>
      <c r="C13" s="26">
        <v>10000</v>
      </c>
      <c r="D13" s="26">
        <v>3000</v>
      </c>
      <c r="E13" s="26">
        <v>1500</v>
      </c>
      <c r="F13" s="26">
        <f>SUM(B13:E13)</f>
        <v>30000</v>
      </c>
    </row>
    <row r="14" spans="1:6" x14ac:dyDescent="0.35">
      <c r="A14">
        <v>2</v>
      </c>
      <c r="B14" s="26">
        <v>15500</v>
      </c>
      <c r="C14" s="26">
        <v>8000</v>
      </c>
      <c r="D14" s="26">
        <v>3000</v>
      </c>
      <c r="E14" s="26">
        <v>1500</v>
      </c>
      <c r="F14" s="26">
        <f t="shared" ref="F14:F24" si="0">SUM(B14:E14)</f>
        <v>28000</v>
      </c>
    </row>
    <row r="15" spans="1:6" x14ac:dyDescent="0.35">
      <c r="A15">
        <v>3</v>
      </c>
      <c r="B15" s="26">
        <v>15500</v>
      </c>
      <c r="C15" s="26">
        <v>6000</v>
      </c>
      <c r="D15" s="26">
        <v>3000</v>
      </c>
      <c r="E15" s="26">
        <v>1500</v>
      </c>
      <c r="F15" s="26">
        <f t="shared" si="0"/>
        <v>26000</v>
      </c>
    </row>
    <row r="16" spans="1:6" x14ac:dyDescent="0.35">
      <c r="A16">
        <v>4</v>
      </c>
      <c r="B16" s="26">
        <v>15500</v>
      </c>
      <c r="C16" s="26">
        <v>6000</v>
      </c>
      <c r="D16" s="26">
        <v>3000</v>
      </c>
      <c r="E16" s="26">
        <v>1500</v>
      </c>
      <c r="F16" s="26">
        <f t="shared" si="0"/>
        <v>26000</v>
      </c>
    </row>
    <row r="17" spans="1:6" x14ac:dyDescent="0.35">
      <c r="A17">
        <v>5</v>
      </c>
      <c r="B17" s="26">
        <v>15500</v>
      </c>
      <c r="C17" s="26">
        <v>6000</v>
      </c>
      <c r="D17" s="26">
        <v>3000</v>
      </c>
      <c r="E17" s="26">
        <v>1500</v>
      </c>
      <c r="F17" s="26">
        <f t="shared" si="0"/>
        <v>26000</v>
      </c>
    </row>
    <row r="18" spans="1:6" x14ac:dyDescent="0.35">
      <c r="A18">
        <v>6</v>
      </c>
      <c r="B18" s="26">
        <v>15500</v>
      </c>
      <c r="C18" s="26">
        <v>6000</v>
      </c>
      <c r="D18" s="26">
        <v>3000</v>
      </c>
      <c r="E18" s="26">
        <v>1500</v>
      </c>
      <c r="F18" s="26">
        <f t="shared" si="0"/>
        <v>26000</v>
      </c>
    </row>
    <row r="19" spans="1:6" x14ac:dyDescent="0.35">
      <c r="A19">
        <v>7</v>
      </c>
      <c r="B19" s="26">
        <v>15500</v>
      </c>
      <c r="C19" s="26">
        <v>6000</v>
      </c>
      <c r="D19" s="26">
        <v>3000</v>
      </c>
      <c r="E19" s="26">
        <v>1500</v>
      </c>
      <c r="F19" s="26">
        <f t="shared" si="0"/>
        <v>26000</v>
      </c>
    </row>
    <row r="20" spans="1:6" x14ac:dyDescent="0.35">
      <c r="A20">
        <v>8</v>
      </c>
      <c r="B20" s="26">
        <v>15500</v>
      </c>
      <c r="C20" s="26">
        <v>6000</v>
      </c>
      <c r="D20" s="26">
        <v>3000</v>
      </c>
      <c r="E20" s="26">
        <v>1500</v>
      </c>
      <c r="F20" s="26">
        <f t="shared" si="0"/>
        <v>26000</v>
      </c>
    </row>
    <row r="21" spans="1:6" x14ac:dyDescent="0.35">
      <c r="A21">
        <v>9</v>
      </c>
      <c r="B21" s="26">
        <v>15500</v>
      </c>
      <c r="C21" s="26">
        <v>6000</v>
      </c>
      <c r="D21" s="26">
        <v>3000</v>
      </c>
      <c r="E21" s="26">
        <v>1500</v>
      </c>
      <c r="F21" s="26">
        <f t="shared" si="0"/>
        <v>26000</v>
      </c>
    </row>
    <row r="22" spans="1:6" x14ac:dyDescent="0.35">
      <c r="A22">
        <v>10</v>
      </c>
      <c r="B22" s="26">
        <v>15500</v>
      </c>
      <c r="C22" s="26">
        <v>6000</v>
      </c>
      <c r="D22" s="26">
        <v>3000</v>
      </c>
      <c r="E22" s="26">
        <v>1500</v>
      </c>
      <c r="F22" s="26">
        <f t="shared" si="0"/>
        <v>26000</v>
      </c>
    </row>
    <row r="23" spans="1:6" x14ac:dyDescent="0.35">
      <c r="A23">
        <v>11</v>
      </c>
      <c r="B23" s="26">
        <v>15500</v>
      </c>
      <c r="C23" s="26">
        <v>6000</v>
      </c>
      <c r="D23" s="26">
        <v>3000</v>
      </c>
      <c r="E23" s="26">
        <v>1500</v>
      </c>
      <c r="F23" s="26">
        <f t="shared" si="0"/>
        <v>26000</v>
      </c>
    </row>
    <row r="24" spans="1:6" x14ac:dyDescent="0.35">
      <c r="A24">
        <v>12</v>
      </c>
      <c r="B24" s="26">
        <v>15500</v>
      </c>
      <c r="C24" s="26">
        <v>6000</v>
      </c>
      <c r="D24" s="26">
        <v>3000</v>
      </c>
      <c r="E24" s="26">
        <v>1500</v>
      </c>
      <c r="F24" s="26">
        <f t="shared" si="0"/>
        <v>26000</v>
      </c>
    </row>
    <row r="26" spans="1:6" x14ac:dyDescent="0.35">
      <c r="A26" s="24" t="s">
        <v>123</v>
      </c>
    </row>
    <row r="27" spans="1:6" x14ac:dyDescent="0.35">
      <c r="A27" t="s">
        <v>119</v>
      </c>
      <c r="B27" t="s">
        <v>120</v>
      </c>
      <c r="C27" t="s">
        <v>113</v>
      </c>
      <c r="D27" t="s">
        <v>114</v>
      </c>
      <c r="E27" t="s">
        <v>121</v>
      </c>
      <c r="F27" t="s">
        <v>122</v>
      </c>
    </row>
    <row r="28" spans="1:6" x14ac:dyDescent="0.35">
      <c r="A28">
        <v>13</v>
      </c>
      <c r="B28" s="26">
        <v>15500</v>
      </c>
      <c r="C28" s="26">
        <v>8000</v>
      </c>
      <c r="D28" s="26">
        <v>3500</v>
      </c>
      <c r="E28" s="26">
        <v>1500</v>
      </c>
      <c r="F28" s="26">
        <f>SUM(B28:E28)</f>
        <v>28500</v>
      </c>
    </row>
    <row r="29" spans="1:6" x14ac:dyDescent="0.35">
      <c r="A29">
        <v>14</v>
      </c>
      <c r="B29" s="26">
        <v>15500</v>
      </c>
      <c r="C29" s="26">
        <v>8000</v>
      </c>
      <c r="D29" s="26">
        <v>3500</v>
      </c>
      <c r="E29" s="26">
        <v>1500</v>
      </c>
      <c r="F29" s="26">
        <f t="shared" ref="F29:F39" si="1">SUM(B29:E29)</f>
        <v>28500</v>
      </c>
    </row>
    <row r="30" spans="1:6" x14ac:dyDescent="0.35">
      <c r="A30">
        <v>15</v>
      </c>
      <c r="B30" s="26">
        <v>15500</v>
      </c>
      <c r="C30" s="26">
        <v>8000</v>
      </c>
      <c r="D30" s="26">
        <v>3500</v>
      </c>
      <c r="E30" s="26">
        <v>1500</v>
      </c>
      <c r="F30" s="26">
        <f t="shared" si="1"/>
        <v>28500</v>
      </c>
    </row>
    <row r="31" spans="1:6" x14ac:dyDescent="0.35">
      <c r="A31">
        <v>16</v>
      </c>
      <c r="B31" s="26">
        <v>15500</v>
      </c>
      <c r="C31" s="26">
        <v>8000</v>
      </c>
      <c r="D31" s="26">
        <v>3500</v>
      </c>
      <c r="E31" s="26">
        <v>1500</v>
      </c>
      <c r="F31" s="26">
        <f t="shared" si="1"/>
        <v>28500</v>
      </c>
    </row>
    <row r="32" spans="1:6" x14ac:dyDescent="0.35">
      <c r="A32">
        <v>17</v>
      </c>
      <c r="B32" s="26">
        <v>15500</v>
      </c>
      <c r="C32" s="26">
        <v>8000</v>
      </c>
      <c r="D32" s="26">
        <v>3500</v>
      </c>
      <c r="E32" s="26">
        <v>1500</v>
      </c>
      <c r="F32" s="26">
        <f t="shared" si="1"/>
        <v>28500</v>
      </c>
    </row>
    <row r="33" spans="1:6" x14ac:dyDescent="0.35">
      <c r="A33">
        <v>18</v>
      </c>
      <c r="B33" s="26">
        <v>15500</v>
      </c>
      <c r="C33" s="26">
        <v>8000</v>
      </c>
      <c r="D33" s="26">
        <v>3500</v>
      </c>
      <c r="E33" s="26">
        <v>1500</v>
      </c>
      <c r="F33" s="26">
        <f t="shared" si="1"/>
        <v>28500</v>
      </c>
    </row>
    <row r="34" spans="1:6" x14ac:dyDescent="0.35">
      <c r="A34">
        <v>19</v>
      </c>
      <c r="B34" s="26">
        <v>15500</v>
      </c>
      <c r="C34" s="26">
        <v>8000</v>
      </c>
      <c r="D34" s="26">
        <v>3500</v>
      </c>
      <c r="E34" s="26">
        <v>1500</v>
      </c>
      <c r="F34" s="26">
        <f t="shared" si="1"/>
        <v>28500</v>
      </c>
    </row>
    <row r="35" spans="1:6" x14ac:dyDescent="0.35">
      <c r="A35">
        <v>20</v>
      </c>
      <c r="B35" s="26">
        <v>15500</v>
      </c>
      <c r="C35" s="26">
        <v>8000</v>
      </c>
      <c r="D35" s="26">
        <v>3500</v>
      </c>
      <c r="E35" s="26">
        <v>1500</v>
      </c>
      <c r="F35" s="26">
        <f t="shared" si="1"/>
        <v>28500</v>
      </c>
    </row>
    <row r="36" spans="1:6" x14ac:dyDescent="0.35">
      <c r="A36">
        <v>21</v>
      </c>
      <c r="B36" s="26">
        <v>15500</v>
      </c>
      <c r="C36" s="26">
        <v>8000</v>
      </c>
      <c r="D36" s="26">
        <v>3500</v>
      </c>
      <c r="E36" s="26">
        <v>1500</v>
      </c>
      <c r="F36" s="26">
        <f t="shared" si="1"/>
        <v>28500</v>
      </c>
    </row>
    <row r="37" spans="1:6" x14ac:dyDescent="0.35">
      <c r="A37">
        <v>22</v>
      </c>
      <c r="B37" s="26">
        <v>15500</v>
      </c>
      <c r="C37" s="26">
        <v>8000</v>
      </c>
      <c r="D37" s="26">
        <v>3500</v>
      </c>
      <c r="E37" s="26">
        <v>1500</v>
      </c>
      <c r="F37" s="26">
        <f t="shared" si="1"/>
        <v>28500</v>
      </c>
    </row>
    <row r="38" spans="1:6" x14ac:dyDescent="0.35">
      <c r="A38">
        <v>23</v>
      </c>
      <c r="B38" s="26">
        <v>15500</v>
      </c>
      <c r="C38" s="26">
        <v>8000</v>
      </c>
      <c r="D38" s="26">
        <v>3500</v>
      </c>
      <c r="E38" s="26">
        <v>1500</v>
      </c>
      <c r="F38" s="26">
        <f t="shared" si="1"/>
        <v>28500</v>
      </c>
    </row>
    <row r="39" spans="1:6" x14ac:dyDescent="0.35">
      <c r="A39">
        <v>24</v>
      </c>
      <c r="B39" s="26">
        <v>15500</v>
      </c>
      <c r="C39" s="26">
        <v>10000</v>
      </c>
      <c r="D39" s="26">
        <v>4000</v>
      </c>
      <c r="E39" s="26">
        <v>2000</v>
      </c>
      <c r="F39" s="26">
        <f t="shared" si="1"/>
        <v>31500</v>
      </c>
    </row>
    <row r="42" spans="1:6" x14ac:dyDescent="0.35">
      <c r="A42" s="24" t="s">
        <v>124</v>
      </c>
      <c r="B42" s="24"/>
      <c r="C42" s="24"/>
      <c r="D42" s="24"/>
      <c r="E42" s="24"/>
      <c r="F42" s="24"/>
    </row>
    <row r="43" spans="1:6" x14ac:dyDescent="0.35">
      <c r="A43" s="24" t="s">
        <v>119</v>
      </c>
      <c r="B43" s="24" t="s">
        <v>120</v>
      </c>
      <c r="C43" s="24" t="s">
        <v>113</v>
      </c>
      <c r="D43" s="24" t="s">
        <v>114</v>
      </c>
      <c r="E43" s="24" t="s">
        <v>121</v>
      </c>
      <c r="F43" s="24" t="s">
        <v>122</v>
      </c>
    </row>
    <row r="44" spans="1:6" x14ac:dyDescent="0.35">
      <c r="A44">
        <v>25</v>
      </c>
      <c r="B44" s="26">
        <v>15500</v>
      </c>
      <c r="C44" s="26">
        <v>10000</v>
      </c>
      <c r="D44" s="26">
        <v>4000</v>
      </c>
      <c r="E44" s="26">
        <v>2000</v>
      </c>
      <c r="F44" s="26">
        <f>SUM(B44:E44)</f>
        <v>31500</v>
      </c>
    </row>
    <row r="45" spans="1:6" x14ac:dyDescent="0.35">
      <c r="A45">
        <v>26</v>
      </c>
      <c r="B45" s="26">
        <v>15500</v>
      </c>
      <c r="C45" s="26">
        <v>10000</v>
      </c>
      <c r="D45" s="26">
        <v>4000</v>
      </c>
      <c r="E45" s="26">
        <v>2000</v>
      </c>
      <c r="F45" s="26">
        <f t="shared" ref="F45:F55" si="2">SUM(B45:E45)</f>
        <v>31500</v>
      </c>
    </row>
    <row r="46" spans="1:6" x14ac:dyDescent="0.35">
      <c r="A46">
        <v>27</v>
      </c>
      <c r="B46" s="26">
        <v>15500</v>
      </c>
      <c r="C46" s="26">
        <v>10000</v>
      </c>
      <c r="D46" s="26">
        <v>4000</v>
      </c>
      <c r="E46" s="26">
        <v>2000</v>
      </c>
      <c r="F46" s="26">
        <f t="shared" si="2"/>
        <v>31500</v>
      </c>
    </row>
    <row r="47" spans="1:6" x14ac:dyDescent="0.35">
      <c r="A47">
        <v>28</v>
      </c>
      <c r="B47" s="26">
        <v>15500</v>
      </c>
      <c r="C47" s="26">
        <v>10000</v>
      </c>
      <c r="D47" s="26">
        <v>4000</v>
      </c>
      <c r="E47" s="26">
        <v>2000</v>
      </c>
      <c r="F47" s="26">
        <f t="shared" si="2"/>
        <v>31500</v>
      </c>
    </row>
    <row r="48" spans="1:6" x14ac:dyDescent="0.35">
      <c r="A48">
        <v>29</v>
      </c>
      <c r="B48" s="26">
        <v>15500</v>
      </c>
      <c r="C48" s="26">
        <v>10000</v>
      </c>
      <c r="D48" s="26">
        <v>4000</v>
      </c>
      <c r="E48" s="26">
        <v>2000</v>
      </c>
      <c r="F48" s="26">
        <f t="shared" si="2"/>
        <v>31500</v>
      </c>
    </row>
    <row r="49" spans="1:6" x14ac:dyDescent="0.35">
      <c r="A49">
        <v>30</v>
      </c>
      <c r="B49" s="26">
        <v>15500</v>
      </c>
      <c r="C49" s="26">
        <v>10000</v>
      </c>
      <c r="D49" s="26">
        <v>4000</v>
      </c>
      <c r="E49" s="26">
        <v>2000</v>
      </c>
      <c r="F49" s="26">
        <f t="shared" si="2"/>
        <v>31500</v>
      </c>
    </row>
    <row r="50" spans="1:6" x14ac:dyDescent="0.35">
      <c r="A50">
        <v>31</v>
      </c>
      <c r="B50" s="26">
        <v>15500</v>
      </c>
      <c r="C50" s="26">
        <v>10000</v>
      </c>
      <c r="D50" s="26">
        <v>4000</v>
      </c>
      <c r="E50" s="26">
        <v>2000</v>
      </c>
      <c r="F50" s="26">
        <f t="shared" si="2"/>
        <v>31500</v>
      </c>
    </row>
    <row r="51" spans="1:6" x14ac:dyDescent="0.35">
      <c r="A51">
        <v>32</v>
      </c>
      <c r="B51" s="26">
        <v>15500</v>
      </c>
      <c r="C51" s="26">
        <v>10000</v>
      </c>
      <c r="D51" s="26">
        <v>4000</v>
      </c>
      <c r="E51" s="26">
        <v>2000</v>
      </c>
      <c r="F51" s="26">
        <f t="shared" si="2"/>
        <v>31500</v>
      </c>
    </row>
    <row r="52" spans="1:6" x14ac:dyDescent="0.35">
      <c r="A52">
        <v>33</v>
      </c>
      <c r="B52" s="26">
        <v>15500</v>
      </c>
      <c r="C52" s="26">
        <v>10000</v>
      </c>
      <c r="D52" s="26">
        <v>4000</v>
      </c>
      <c r="E52" s="26">
        <v>2000</v>
      </c>
      <c r="F52" s="26">
        <f t="shared" si="2"/>
        <v>31500</v>
      </c>
    </row>
    <row r="53" spans="1:6" x14ac:dyDescent="0.35">
      <c r="A53">
        <v>34</v>
      </c>
      <c r="B53" s="26">
        <v>15500</v>
      </c>
      <c r="C53" s="26">
        <v>12000</v>
      </c>
      <c r="D53" s="26">
        <v>5000</v>
      </c>
      <c r="E53" s="26">
        <v>2500</v>
      </c>
      <c r="F53" s="26">
        <f t="shared" si="2"/>
        <v>35000</v>
      </c>
    </row>
    <row r="54" spans="1:6" x14ac:dyDescent="0.35">
      <c r="A54">
        <v>35</v>
      </c>
      <c r="B54" s="26">
        <v>15500</v>
      </c>
      <c r="C54" s="26">
        <v>12000</v>
      </c>
      <c r="D54" s="26">
        <v>5000</v>
      </c>
      <c r="E54" s="26">
        <v>2500</v>
      </c>
      <c r="F54" s="26">
        <f t="shared" si="2"/>
        <v>35000</v>
      </c>
    </row>
    <row r="55" spans="1:6" x14ac:dyDescent="0.35">
      <c r="A55">
        <v>36</v>
      </c>
      <c r="B55" s="26">
        <v>15500</v>
      </c>
      <c r="C55" s="26">
        <v>12000</v>
      </c>
      <c r="D55" s="26">
        <v>5000</v>
      </c>
      <c r="E55" s="26">
        <v>2500</v>
      </c>
      <c r="F55" s="26">
        <f t="shared" si="2"/>
        <v>35000</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D4C3C-6971-453A-9DEC-0BC8941673C5}">
  <dimension ref="A1:H47"/>
  <sheetViews>
    <sheetView topLeftCell="D1" workbookViewId="0">
      <selection activeCell="H12" sqref="H12"/>
    </sheetView>
  </sheetViews>
  <sheetFormatPr defaultColWidth="8.7265625" defaultRowHeight="14" x14ac:dyDescent="0.3"/>
  <cols>
    <col min="1" max="1" width="8.7265625" style="77"/>
    <col min="2" max="2" width="17.7265625" style="77" bestFit="1" customWidth="1"/>
    <col min="3" max="3" width="23.1796875" style="77" bestFit="1" customWidth="1"/>
    <col min="4" max="4" width="29.453125" style="77" bestFit="1" customWidth="1"/>
    <col min="5" max="5" width="22.26953125" style="77" bestFit="1" customWidth="1"/>
    <col min="6" max="6" width="24.26953125" style="77" bestFit="1" customWidth="1"/>
    <col min="7" max="7" width="15.81640625" style="77" bestFit="1" customWidth="1"/>
    <col min="8" max="8" width="19.54296875" style="77" bestFit="1" customWidth="1"/>
    <col min="9" max="16384" width="8.7265625" style="77"/>
  </cols>
  <sheetData>
    <row r="1" spans="1:8" x14ac:dyDescent="0.3">
      <c r="A1" s="85" t="s">
        <v>125</v>
      </c>
      <c r="B1" s="85"/>
      <c r="C1" s="85"/>
      <c r="D1" s="85"/>
      <c r="E1" s="85"/>
      <c r="F1" s="85"/>
      <c r="G1" s="85"/>
      <c r="H1" s="85"/>
    </row>
    <row r="2" spans="1:8" x14ac:dyDescent="0.3">
      <c r="A2" s="78" t="s">
        <v>119</v>
      </c>
      <c r="B2" s="78" t="s">
        <v>126</v>
      </c>
      <c r="C2" s="78" t="s">
        <v>127</v>
      </c>
      <c r="D2" s="78" t="s">
        <v>128</v>
      </c>
      <c r="E2" s="78" t="s">
        <v>129</v>
      </c>
      <c r="F2" s="78" t="s">
        <v>130</v>
      </c>
      <c r="G2" s="78" t="s">
        <v>131</v>
      </c>
      <c r="H2" s="78" t="s">
        <v>132</v>
      </c>
    </row>
    <row r="3" spans="1:8" x14ac:dyDescent="0.3">
      <c r="A3" s="77">
        <v>1</v>
      </c>
      <c r="B3" s="77">
        <v>899</v>
      </c>
      <c r="C3" s="77">
        <f>'Variable Costs'!E3</f>
        <v>125</v>
      </c>
      <c r="D3" s="77">
        <f>B3-C3</f>
        <v>774</v>
      </c>
      <c r="E3" s="79">
        <f>'[3]Fixed Costs'!F13</f>
        <v>78000</v>
      </c>
      <c r="F3" s="80">
        <f>ROUNDUP(E3/D3,0)</f>
        <v>101</v>
      </c>
      <c r="G3" s="77">
        <v>0</v>
      </c>
      <c r="H3" s="81" t="str">
        <f>IF(G3&gt;=F3, "Yes", "No")</f>
        <v>No</v>
      </c>
    </row>
    <row r="4" spans="1:8" x14ac:dyDescent="0.3">
      <c r="A4" s="77">
        <v>2</v>
      </c>
      <c r="B4" s="77">
        <v>899</v>
      </c>
      <c r="C4" s="77">
        <f>'Variable Costs'!E4</f>
        <v>125</v>
      </c>
      <c r="D4" s="77">
        <f t="shared" ref="D4:D14" si="0">B4-C4</f>
        <v>774</v>
      </c>
      <c r="E4" s="79">
        <f>'[3]Fixed Costs'!F14</f>
        <v>68000</v>
      </c>
      <c r="F4" s="80">
        <f t="shared" ref="F4:F14" si="1">ROUNDUP(E4/D4,0)</f>
        <v>88</v>
      </c>
      <c r="G4" s="77">
        <v>0</v>
      </c>
      <c r="H4" s="81" t="str">
        <f t="shared" ref="H4:H14" si="2">IF(G4&gt;=F4, "Yes", "No")</f>
        <v>No</v>
      </c>
    </row>
    <row r="5" spans="1:8" x14ac:dyDescent="0.3">
      <c r="A5" s="77">
        <v>3</v>
      </c>
      <c r="B5" s="77">
        <v>899</v>
      </c>
      <c r="C5" s="77">
        <f>'Variable Costs'!E5</f>
        <v>580</v>
      </c>
      <c r="D5" s="77">
        <f t="shared" si="0"/>
        <v>319</v>
      </c>
      <c r="E5" s="79">
        <f>'[3]Fixed Costs'!F15</f>
        <v>66000</v>
      </c>
      <c r="F5" s="80">
        <f t="shared" si="1"/>
        <v>207</v>
      </c>
      <c r="G5" s="77">
        <v>50</v>
      </c>
      <c r="H5" s="81" t="str">
        <f t="shared" si="2"/>
        <v>No</v>
      </c>
    </row>
    <row r="6" spans="1:8" x14ac:dyDescent="0.3">
      <c r="A6" s="77">
        <v>4</v>
      </c>
      <c r="B6" s="77">
        <v>899</v>
      </c>
      <c r="C6" s="77">
        <f>'Variable Costs'!E6</f>
        <v>502</v>
      </c>
      <c r="D6" s="77">
        <f t="shared" si="0"/>
        <v>397</v>
      </c>
      <c r="E6" s="79">
        <f>'[3]Fixed Costs'!F16</f>
        <v>66000</v>
      </c>
      <c r="F6" s="80">
        <f t="shared" si="1"/>
        <v>167</v>
      </c>
      <c r="G6" s="77">
        <v>60</v>
      </c>
      <c r="H6" s="81" t="str">
        <f t="shared" si="2"/>
        <v>No</v>
      </c>
    </row>
    <row r="7" spans="1:8" x14ac:dyDescent="0.3">
      <c r="A7" s="77">
        <v>5</v>
      </c>
      <c r="B7" s="77">
        <v>899</v>
      </c>
      <c r="C7" s="77">
        <f>'Variable Costs'!E7</f>
        <v>448</v>
      </c>
      <c r="D7" s="77">
        <f t="shared" si="0"/>
        <v>451</v>
      </c>
      <c r="E7" s="79">
        <f>'[3]Fixed Costs'!F17</f>
        <v>66500</v>
      </c>
      <c r="F7" s="80">
        <f t="shared" si="1"/>
        <v>148</v>
      </c>
      <c r="G7" s="77">
        <v>70</v>
      </c>
      <c r="H7" s="81" t="str">
        <f t="shared" si="2"/>
        <v>No</v>
      </c>
    </row>
    <row r="8" spans="1:8" x14ac:dyDescent="0.3">
      <c r="A8" s="77">
        <v>6</v>
      </c>
      <c r="B8" s="77">
        <v>899</v>
      </c>
      <c r="C8" s="77">
        <f>'Variable Costs'!E8</f>
        <v>408</v>
      </c>
      <c r="D8" s="77">
        <f t="shared" si="0"/>
        <v>491</v>
      </c>
      <c r="E8" s="79">
        <f>'[3]Fixed Costs'!F18</f>
        <v>75500</v>
      </c>
      <c r="F8" s="80">
        <f t="shared" si="1"/>
        <v>154</v>
      </c>
      <c r="G8" s="77">
        <v>80</v>
      </c>
      <c r="H8" s="81" t="str">
        <f t="shared" si="2"/>
        <v>No</v>
      </c>
    </row>
    <row r="9" spans="1:8" x14ac:dyDescent="0.3">
      <c r="A9" s="77">
        <v>7</v>
      </c>
      <c r="B9" s="77">
        <v>899</v>
      </c>
      <c r="C9" s="77">
        <f>'Variable Costs'!E9</f>
        <v>372</v>
      </c>
      <c r="D9" s="77">
        <f t="shared" si="0"/>
        <v>527</v>
      </c>
      <c r="E9" s="79">
        <f>'[3]Fixed Costs'!F19</f>
        <v>75500</v>
      </c>
      <c r="F9" s="80">
        <f t="shared" si="1"/>
        <v>144</v>
      </c>
      <c r="G9" s="77">
        <v>90</v>
      </c>
      <c r="H9" s="81" t="str">
        <f t="shared" si="2"/>
        <v>No</v>
      </c>
    </row>
    <row r="10" spans="1:8" x14ac:dyDescent="0.3">
      <c r="A10" s="77">
        <v>8</v>
      </c>
      <c r="B10" s="77">
        <v>899</v>
      </c>
      <c r="C10" s="77">
        <f>'Variable Costs'!E10</f>
        <v>346</v>
      </c>
      <c r="D10" s="77">
        <f t="shared" si="0"/>
        <v>553</v>
      </c>
      <c r="E10" s="79">
        <f>'[3]Fixed Costs'!F20</f>
        <v>75500</v>
      </c>
      <c r="F10" s="80">
        <f t="shared" si="1"/>
        <v>137</v>
      </c>
      <c r="G10" s="77">
        <v>100</v>
      </c>
      <c r="H10" s="81" t="str">
        <f t="shared" si="2"/>
        <v>No</v>
      </c>
    </row>
    <row r="11" spans="1:8" x14ac:dyDescent="0.3">
      <c r="A11" s="77">
        <v>9</v>
      </c>
      <c r="B11" s="77">
        <v>899</v>
      </c>
      <c r="C11" s="77">
        <f>'Variable Costs'!E11</f>
        <v>326</v>
      </c>
      <c r="D11" s="77">
        <f t="shared" si="0"/>
        <v>573</v>
      </c>
      <c r="E11" s="79">
        <f>'[3]Fixed Costs'!F21</f>
        <v>85000</v>
      </c>
      <c r="F11" s="80">
        <f t="shared" si="1"/>
        <v>149</v>
      </c>
      <c r="G11" s="77">
        <v>110</v>
      </c>
      <c r="H11" s="81" t="str">
        <f t="shared" si="2"/>
        <v>No</v>
      </c>
    </row>
    <row r="12" spans="1:8" x14ac:dyDescent="0.3">
      <c r="A12" s="77">
        <v>10</v>
      </c>
      <c r="B12" s="77">
        <v>899</v>
      </c>
      <c r="C12" s="77">
        <f>'Variable Costs'!E12</f>
        <v>307</v>
      </c>
      <c r="D12" s="77">
        <f t="shared" si="0"/>
        <v>592</v>
      </c>
      <c r="E12" s="79">
        <f>'[3]Fixed Costs'!F22</f>
        <v>85000</v>
      </c>
      <c r="F12" s="80">
        <f t="shared" si="1"/>
        <v>144</v>
      </c>
      <c r="G12" s="77">
        <v>120</v>
      </c>
      <c r="H12" s="81" t="str">
        <f t="shared" si="2"/>
        <v>No</v>
      </c>
    </row>
    <row r="13" spans="1:8" x14ac:dyDescent="0.3">
      <c r="A13" s="77">
        <v>11</v>
      </c>
      <c r="B13" s="77">
        <v>899</v>
      </c>
      <c r="C13" s="77">
        <f>'Variable Costs'!E13</f>
        <v>289</v>
      </c>
      <c r="D13" s="77">
        <f t="shared" si="0"/>
        <v>610</v>
      </c>
      <c r="E13" s="79">
        <f>'[3]Fixed Costs'!F23</f>
        <v>85000</v>
      </c>
      <c r="F13" s="80">
        <f t="shared" si="1"/>
        <v>140</v>
      </c>
      <c r="G13" s="77">
        <v>130</v>
      </c>
      <c r="H13" s="81" t="str">
        <f t="shared" si="2"/>
        <v>No</v>
      </c>
    </row>
    <row r="14" spans="1:8" x14ac:dyDescent="0.3">
      <c r="A14" s="77">
        <v>12</v>
      </c>
      <c r="B14" s="77">
        <v>899</v>
      </c>
      <c r="C14" s="77">
        <f>'Variable Costs'!E14</f>
        <v>274</v>
      </c>
      <c r="D14" s="77">
        <f t="shared" si="0"/>
        <v>625</v>
      </c>
      <c r="E14" s="79">
        <f>'[3]Fixed Costs'!F24</f>
        <v>85000</v>
      </c>
      <c r="F14" s="80">
        <f t="shared" si="1"/>
        <v>136</v>
      </c>
      <c r="G14" s="77">
        <v>140</v>
      </c>
      <c r="H14" s="81" t="str">
        <f t="shared" si="2"/>
        <v>Yes</v>
      </c>
    </row>
    <row r="17" spans="1:8" x14ac:dyDescent="0.3">
      <c r="A17" s="78"/>
    </row>
    <row r="18" spans="1:8" x14ac:dyDescent="0.3">
      <c r="A18" s="85" t="s">
        <v>133</v>
      </c>
      <c r="B18" s="85"/>
      <c r="C18" s="85"/>
      <c r="D18" s="85"/>
      <c r="E18" s="85"/>
      <c r="F18" s="85"/>
      <c r="G18" s="85"/>
      <c r="H18" s="85"/>
    </row>
    <row r="19" spans="1:8" s="78" customFormat="1" x14ac:dyDescent="0.3">
      <c r="A19" s="78" t="s">
        <v>119</v>
      </c>
      <c r="B19" s="78" t="s">
        <v>126</v>
      </c>
      <c r="C19" s="78" t="s">
        <v>127</v>
      </c>
      <c r="D19" s="78" t="s">
        <v>128</v>
      </c>
      <c r="E19" s="78" t="s">
        <v>134</v>
      </c>
      <c r="F19" s="78" t="s">
        <v>130</v>
      </c>
      <c r="G19" s="78" t="s">
        <v>131</v>
      </c>
      <c r="H19" s="78" t="s">
        <v>132</v>
      </c>
    </row>
    <row r="20" spans="1:8" x14ac:dyDescent="0.3">
      <c r="A20" s="77">
        <v>13</v>
      </c>
      <c r="B20" s="77">
        <v>899</v>
      </c>
      <c r="C20" s="77">
        <f>'Variable Costs'!E18</f>
        <v>263</v>
      </c>
      <c r="D20" s="77">
        <f>B20-C20</f>
        <v>636</v>
      </c>
      <c r="E20" s="79">
        <f>'[3]Fixed Costs'!F28</f>
        <v>94500</v>
      </c>
      <c r="F20" s="80">
        <f>ROUNDUP(E20/D20,0)</f>
        <v>149</v>
      </c>
      <c r="G20" s="77">
        <v>150</v>
      </c>
      <c r="H20" s="81" t="str">
        <f>IF(G20&gt;=F20, "Yes", "No")</f>
        <v>Yes</v>
      </c>
    </row>
    <row r="21" spans="1:8" x14ac:dyDescent="0.3">
      <c r="A21" s="77">
        <v>14</v>
      </c>
      <c r="B21" s="77">
        <v>899</v>
      </c>
      <c r="C21" s="77">
        <f>'Variable Costs'!E19</f>
        <v>251</v>
      </c>
      <c r="D21" s="77">
        <f t="shared" ref="D21:D31" si="3">B21-C21</f>
        <v>648</v>
      </c>
      <c r="E21" s="79">
        <f>'[3]Fixed Costs'!F29</f>
        <v>94500</v>
      </c>
      <c r="F21" s="80">
        <f t="shared" ref="F21:F31" si="4">ROUNDUP(E21/D21,0)</f>
        <v>146</v>
      </c>
      <c r="G21" s="77">
        <v>160</v>
      </c>
      <c r="H21" s="81" t="str">
        <f t="shared" ref="H21:H31" si="5">IF(G21&gt;=F21, "Yes", "No")</f>
        <v>Yes</v>
      </c>
    </row>
    <row r="22" spans="1:8" x14ac:dyDescent="0.3">
      <c r="A22" s="77">
        <v>15</v>
      </c>
      <c r="B22" s="77">
        <v>899</v>
      </c>
      <c r="C22" s="77">
        <f>'Variable Costs'!E20</f>
        <v>240</v>
      </c>
      <c r="D22" s="77">
        <f t="shared" si="3"/>
        <v>659</v>
      </c>
      <c r="E22" s="79">
        <f>'[3]Fixed Costs'!F30</f>
        <v>94500</v>
      </c>
      <c r="F22" s="80">
        <f t="shared" si="4"/>
        <v>144</v>
      </c>
      <c r="G22" s="77">
        <v>170</v>
      </c>
      <c r="H22" s="81" t="str">
        <f t="shared" si="5"/>
        <v>Yes</v>
      </c>
    </row>
    <row r="23" spans="1:8" x14ac:dyDescent="0.3">
      <c r="A23" s="77">
        <v>16</v>
      </c>
      <c r="B23" s="77">
        <v>899</v>
      </c>
      <c r="C23" s="77">
        <f>'Variable Costs'!E21</f>
        <v>233</v>
      </c>
      <c r="D23" s="77">
        <f t="shared" si="3"/>
        <v>666</v>
      </c>
      <c r="E23" s="79">
        <f>'[3]Fixed Costs'!F31</f>
        <v>103000</v>
      </c>
      <c r="F23" s="80">
        <f t="shared" si="4"/>
        <v>155</v>
      </c>
      <c r="G23" s="77">
        <v>180</v>
      </c>
      <c r="H23" s="81" t="str">
        <f t="shared" si="5"/>
        <v>Yes</v>
      </c>
    </row>
    <row r="24" spans="1:8" x14ac:dyDescent="0.3">
      <c r="A24" s="77">
        <v>17</v>
      </c>
      <c r="B24" s="77">
        <v>899</v>
      </c>
      <c r="C24" s="77">
        <f>'Variable Costs'!E22</f>
        <v>222</v>
      </c>
      <c r="D24" s="77">
        <f t="shared" si="3"/>
        <v>677</v>
      </c>
      <c r="E24" s="79">
        <f>'[3]Fixed Costs'!F32</f>
        <v>103000</v>
      </c>
      <c r="F24" s="80">
        <f t="shared" si="4"/>
        <v>153</v>
      </c>
      <c r="G24" s="77">
        <v>190</v>
      </c>
      <c r="H24" s="81" t="str">
        <f t="shared" si="5"/>
        <v>Yes</v>
      </c>
    </row>
    <row r="25" spans="1:8" x14ac:dyDescent="0.3">
      <c r="A25" s="77">
        <v>18</v>
      </c>
      <c r="B25" s="77">
        <v>899</v>
      </c>
      <c r="C25" s="77">
        <f>'Variable Costs'!E23</f>
        <v>215</v>
      </c>
      <c r="D25" s="77">
        <f t="shared" si="3"/>
        <v>684</v>
      </c>
      <c r="E25" s="79">
        <f>'[3]Fixed Costs'!F33</f>
        <v>118000</v>
      </c>
      <c r="F25" s="80">
        <f t="shared" si="4"/>
        <v>173</v>
      </c>
      <c r="G25" s="79">
        <v>200</v>
      </c>
      <c r="H25" s="81" t="str">
        <f t="shared" si="5"/>
        <v>Yes</v>
      </c>
    </row>
    <row r="26" spans="1:8" x14ac:dyDescent="0.3">
      <c r="A26" s="77">
        <v>19</v>
      </c>
      <c r="B26" s="77">
        <v>899</v>
      </c>
      <c r="C26" s="77">
        <f>'Variable Costs'!E24</f>
        <v>207</v>
      </c>
      <c r="D26" s="77">
        <f t="shared" si="3"/>
        <v>692</v>
      </c>
      <c r="E26" s="79">
        <f>'[3]Fixed Costs'!F34</f>
        <v>118500</v>
      </c>
      <c r="F26" s="80">
        <f t="shared" si="4"/>
        <v>172</v>
      </c>
      <c r="G26" s="79">
        <v>210</v>
      </c>
      <c r="H26" s="81" t="str">
        <f t="shared" si="5"/>
        <v>Yes</v>
      </c>
    </row>
    <row r="27" spans="1:8" x14ac:dyDescent="0.3">
      <c r="A27" s="77">
        <v>20</v>
      </c>
      <c r="B27" s="77">
        <v>899</v>
      </c>
      <c r="C27" s="77">
        <f>'Variable Costs'!E25</f>
        <v>200</v>
      </c>
      <c r="D27" s="77">
        <f t="shared" si="3"/>
        <v>699</v>
      </c>
      <c r="E27" s="79">
        <f>'[3]Fixed Costs'!F35</f>
        <v>118500</v>
      </c>
      <c r="F27" s="80">
        <f t="shared" si="4"/>
        <v>170</v>
      </c>
      <c r="G27" s="79">
        <v>220</v>
      </c>
      <c r="H27" s="81" t="str">
        <f t="shared" si="5"/>
        <v>Yes</v>
      </c>
    </row>
    <row r="28" spans="1:8" x14ac:dyDescent="0.3">
      <c r="A28" s="77">
        <v>21</v>
      </c>
      <c r="B28" s="77">
        <v>899</v>
      </c>
      <c r="C28" s="77">
        <f>'Variable Costs'!E26</f>
        <v>193</v>
      </c>
      <c r="D28" s="77">
        <f t="shared" si="3"/>
        <v>706</v>
      </c>
      <c r="E28" s="79">
        <f>'[3]Fixed Costs'!F36</f>
        <v>133500</v>
      </c>
      <c r="F28" s="80">
        <f t="shared" si="4"/>
        <v>190</v>
      </c>
      <c r="G28" s="79">
        <v>230</v>
      </c>
      <c r="H28" s="81" t="str">
        <f t="shared" si="5"/>
        <v>Yes</v>
      </c>
    </row>
    <row r="29" spans="1:8" x14ac:dyDescent="0.3">
      <c r="A29" s="77">
        <v>22</v>
      </c>
      <c r="B29" s="77">
        <v>899</v>
      </c>
      <c r="C29" s="77">
        <f>'Variable Costs'!E27</f>
        <v>187</v>
      </c>
      <c r="D29" s="77">
        <f t="shared" si="3"/>
        <v>712</v>
      </c>
      <c r="E29" s="79">
        <f>'[3]Fixed Costs'!F37</f>
        <v>134000</v>
      </c>
      <c r="F29" s="80">
        <f t="shared" si="4"/>
        <v>189</v>
      </c>
      <c r="G29" s="79">
        <v>240</v>
      </c>
      <c r="H29" s="81" t="str">
        <f t="shared" si="5"/>
        <v>Yes</v>
      </c>
    </row>
    <row r="30" spans="1:8" x14ac:dyDescent="0.3">
      <c r="A30" s="77">
        <v>23</v>
      </c>
      <c r="B30" s="77">
        <v>899</v>
      </c>
      <c r="C30" s="77">
        <f>'Variable Costs'!E28</f>
        <v>180</v>
      </c>
      <c r="D30" s="77">
        <f t="shared" si="3"/>
        <v>719</v>
      </c>
      <c r="E30" s="79">
        <f>'[3]Fixed Costs'!F38</f>
        <v>134000</v>
      </c>
      <c r="F30" s="80">
        <f t="shared" si="4"/>
        <v>187</v>
      </c>
      <c r="G30" s="79">
        <v>250</v>
      </c>
      <c r="H30" s="81" t="str">
        <f t="shared" si="5"/>
        <v>Yes</v>
      </c>
    </row>
    <row r="31" spans="1:8" x14ac:dyDescent="0.3">
      <c r="A31" s="77">
        <v>24</v>
      </c>
      <c r="B31" s="77">
        <v>899</v>
      </c>
      <c r="C31" s="77">
        <f>'Variable Costs'!E29</f>
        <v>213</v>
      </c>
      <c r="D31" s="77">
        <f t="shared" si="3"/>
        <v>686</v>
      </c>
      <c r="E31" s="79">
        <f>'[3]Fixed Costs'!F39</f>
        <v>150500</v>
      </c>
      <c r="F31" s="80">
        <f t="shared" si="4"/>
        <v>220</v>
      </c>
      <c r="G31" s="79">
        <v>260</v>
      </c>
      <c r="H31" s="81" t="str">
        <f t="shared" si="5"/>
        <v>Yes</v>
      </c>
    </row>
    <row r="34" spans="1:8" x14ac:dyDescent="0.3">
      <c r="A34" s="85" t="s">
        <v>135</v>
      </c>
      <c r="B34" s="85"/>
      <c r="C34" s="85"/>
      <c r="D34" s="85"/>
      <c r="E34" s="85"/>
      <c r="F34" s="85"/>
      <c r="G34" s="85"/>
      <c r="H34" s="85"/>
    </row>
    <row r="35" spans="1:8" s="78" customFormat="1" x14ac:dyDescent="0.3">
      <c r="A35" s="78" t="s">
        <v>119</v>
      </c>
      <c r="B35" s="78" t="s">
        <v>126</v>
      </c>
      <c r="C35" s="78" t="s">
        <v>127</v>
      </c>
      <c r="D35" s="78" t="s">
        <v>128</v>
      </c>
      <c r="E35" s="78" t="s">
        <v>134</v>
      </c>
      <c r="F35" s="78" t="s">
        <v>130</v>
      </c>
      <c r="G35" s="78" t="s">
        <v>131</v>
      </c>
      <c r="H35" s="78" t="s">
        <v>132</v>
      </c>
    </row>
    <row r="36" spans="1:8" x14ac:dyDescent="0.3">
      <c r="A36" s="77">
        <v>25</v>
      </c>
      <c r="B36" s="77">
        <v>899</v>
      </c>
      <c r="C36" s="77">
        <f>'Variable Costs'!E33</f>
        <v>204</v>
      </c>
      <c r="D36" s="77">
        <f>B36-C36</f>
        <v>695</v>
      </c>
      <c r="E36" s="79">
        <v>150500</v>
      </c>
      <c r="F36" s="80">
        <f>ROUNDUP(E36/D36,0)</f>
        <v>217</v>
      </c>
      <c r="G36" s="79">
        <v>270</v>
      </c>
      <c r="H36" s="81" t="str">
        <f>IF(G36&gt;=F36, "Yes", "No")</f>
        <v>Yes</v>
      </c>
    </row>
    <row r="37" spans="1:8" x14ac:dyDescent="0.3">
      <c r="A37" s="77">
        <v>26</v>
      </c>
      <c r="B37" s="77">
        <v>899</v>
      </c>
      <c r="C37" s="77">
        <f>'Variable Costs'!E34</f>
        <v>197</v>
      </c>
      <c r="D37" s="77">
        <f t="shared" ref="D37:D47" si="6">B37-C37</f>
        <v>702</v>
      </c>
      <c r="E37" s="79">
        <v>150500</v>
      </c>
      <c r="F37" s="80">
        <f t="shared" ref="F37:F47" si="7">ROUNDUP(E37/D37,0)</f>
        <v>215</v>
      </c>
      <c r="G37" s="79">
        <v>280</v>
      </c>
      <c r="H37" s="81" t="str">
        <f t="shared" ref="H37:H47" si="8">IF(G37&gt;=F37, "Yes", "No")</f>
        <v>Yes</v>
      </c>
    </row>
    <row r="38" spans="1:8" x14ac:dyDescent="0.3">
      <c r="A38" s="77">
        <v>27</v>
      </c>
      <c r="B38" s="77">
        <v>899</v>
      </c>
      <c r="C38" s="77">
        <f>'Variable Costs'!E35</f>
        <v>193</v>
      </c>
      <c r="D38" s="77">
        <f t="shared" si="6"/>
        <v>706</v>
      </c>
      <c r="E38" s="79">
        <v>168000</v>
      </c>
      <c r="F38" s="80">
        <f t="shared" si="7"/>
        <v>238</v>
      </c>
      <c r="G38" s="79">
        <v>290</v>
      </c>
      <c r="H38" s="81" t="str">
        <f t="shared" si="8"/>
        <v>Yes</v>
      </c>
    </row>
    <row r="39" spans="1:8" x14ac:dyDescent="0.3">
      <c r="A39" s="77">
        <v>28</v>
      </c>
      <c r="B39" s="77">
        <v>899</v>
      </c>
      <c r="C39" s="77">
        <f>'Variable Costs'!E36</f>
        <v>186</v>
      </c>
      <c r="D39" s="77">
        <f t="shared" si="6"/>
        <v>713</v>
      </c>
      <c r="E39" s="79">
        <v>168000</v>
      </c>
      <c r="F39" s="80">
        <f t="shared" si="7"/>
        <v>236</v>
      </c>
      <c r="G39" s="79">
        <v>300</v>
      </c>
      <c r="H39" s="81" t="str">
        <f t="shared" si="8"/>
        <v>Yes</v>
      </c>
    </row>
    <row r="40" spans="1:8" x14ac:dyDescent="0.3">
      <c r="A40" s="77">
        <v>29</v>
      </c>
      <c r="B40" s="77">
        <v>899</v>
      </c>
      <c r="C40" s="77">
        <f>'Variable Costs'!E37</f>
        <v>179</v>
      </c>
      <c r="D40" s="77">
        <f t="shared" si="6"/>
        <v>720</v>
      </c>
      <c r="E40" s="79">
        <v>168000</v>
      </c>
      <c r="F40" s="80">
        <f t="shared" si="7"/>
        <v>234</v>
      </c>
      <c r="G40" s="79">
        <v>310</v>
      </c>
      <c r="H40" s="81" t="str">
        <f t="shared" si="8"/>
        <v>Yes</v>
      </c>
    </row>
    <row r="41" spans="1:8" x14ac:dyDescent="0.3">
      <c r="A41" s="77">
        <v>30</v>
      </c>
      <c r="B41" s="77">
        <v>899</v>
      </c>
      <c r="C41" s="77">
        <f>'Variable Costs'!E38</f>
        <v>177</v>
      </c>
      <c r="D41" s="77">
        <f t="shared" si="6"/>
        <v>722</v>
      </c>
      <c r="E41" s="79">
        <v>175500</v>
      </c>
      <c r="F41" s="80">
        <f t="shared" si="7"/>
        <v>244</v>
      </c>
      <c r="G41" s="79">
        <v>320</v>
      </c>
      <c r="H41" s="81" t="str">
        <f t="shared" si="8"/>
        <v>Yes</v>
      </c>
    </row>
    <row r="42" spans="1:8" x14ac:dyDescent="0.3">
      <c r="A42" s="77">
        <v>31</v>
      </c>
      <c r="B42" s="77">
        <v>899</v>
      </c>
      <c r="C42" s="77">
        <f>'Variable Costs'!E39</f>
        <v>169</v>
      </c>
      <c r="D42" s="77">
        <f t="shared" si="6"/>
        <v>730</v>
      </c>
      <c r="E42" s="79">
        <v>168500</v>
      </c>
      <c r="F42" s="80">
        <f t="shared" si="7"/>
        <v>231</v>
      </c>
      <c r="G42" s="79">
        <v>330</v>
      </c>
      <c r="H42" s="81" t="str">
        <f t="shared" si="8"/>
        <v>Yes</v>
      </c>
    </row>
    <row r="43" spans="1:8" x14ac:dyDescent="0.3">
      <c r="A43" s="77">
        <v>32</v>
      </c>
      <c r="B43" s="77">
        <v>899</v>
      </c>
      <c r="C43" s="77">
        <f>'Variable Costs'!E40</f>
        <v>164</v>
      </c>
      <c r="D43" s="77">
        <f t="shared" si="6"/>
        <v>735</v>
      </c>
      <c r="E43" s="79">
        <v>168500</v>
      </c>
      <c r="F43" s="80">
        <f t="shared" si="7"/>
        <v>230</v>
      </c>
      <c r="G43" s="79">
        <v>340</v>
      </c>
      <c r="H43" s="81" t="str">
        <f t="shared" si="8"/>
        <v>Yes</v>
      </c>
    </row>
    <row r="44" spans="1:8" x14ac:dyDescent="0.3">
      <c r="A44" s="77">
        <v>33</v>
      </c>
      <c r="B44" s="77">
        <v>899</v>
      </c>
      <c r="C44" s="77">
        <f>'Variable Costs'!E41</f>
        <v>161</v>
      </c>
      <c r="D44" s="77">
        <f t="shared" si="6"/>
        <v>738</v>
      </c>
      <c r="E44" s="79">
        <v>169000</v>
      </c>
      <c r="F44" s="80">
        <f t="shared" si="7"/>
        <v>229</v>
      </c>
      <c r="G44" s="79">
        <v>350</v>
      </c>
      <c r="H44" s="81" t="str">
        <f t="shared" si="8"/>
        <v>Yes</v>
      </c>
    </row>
    <row r="45" spans="1:8" x14ac:dyDescent="0.3">
      <c r="A45" s="77">
        <v>34</v>
      </c>
      <c r="B45" s="77">
        <v>899</v>
      </c>
      <c r="C45" s="77">
        <f>'Variable Costs'!E42</f>
        <v>163</v>
      </c>
      <c r="D45" s="77">
        <f t="shared" si="6"/>
        <v>736</v>
      </c>
      <c r="E45" s="79">
        <v>188500</v>
      </c>
      <c r="F45" s="80">
        <f t="shared" si="7"/>
        <v>257</v>
      </c>
      <c r="G45" s="79">
        <v>360</v>
      </c>
      <c r="H45" s="81" t="str">
        <f t="shared" si="8"/>
        <v>Yes</v>
      </c>
    </row>
    <row r="46" spans="1:8" x14ac:dyDescent="0.3">
      <c r="A46" s="77">
        <v>35</v>
      </c>
      <c r="B46" s="77">
        <v>899</v>
      </c>
      <c r="C46" s="77">
        <f>'Variable Costs'!E43</f>
        <v>157</v>
      </c>
      <c r="D46" s="77">
        <f t="shared" si="6"/>
        <v>742</v>
      </c>
      <c r="E46" s="79">
        <v>188500</v>
      </c>
      <c r="F46" s="80">
        <f t="shared" si="7"/>
        <v>255</v>
      </c>
      <c r="G46" s="79">
        <v>370</v>
      </c>
      <c r="H46" s="81" t="str">
        <f t="shared" si="8"/>
        <v>Yes</v>
      </c>
    </row>
    <row r="47" spans="1:8" x14ac:dyDescent="0.3">
      <c r="A47" s="77">
        <v>36</v>
      </c>
      <c r="B47" s="77">
        <v>899</v>
      </c>
      <c r="C47" s="77">
        <f>'Variable Costs'!E44</f>
        <v>152</v>
      </c>
      <c r="D47" s="77">
        <f t="shared" si="6"/>
        <v>747</v>
      </c>
      <c r="E47" s="79">
        <v>188500</v>
      </c>
      <c r="F47" s="80">
        <f t="shared" si="7"/>
        <v>253</v>
      </c>
      <c r="G47" s="79">
        <v>380</v>
      </c>
      <c r="H47" s="81" t="str">
        <f t="shared" si="8"/>
        <v>Yes</v>
      </c>
    </row>
  </sheetData>
  <mergeCells count="3">
    <mergeCell ref="A1:H1"/>
    <mergeCell ref="A18:H18"/>
    <mergeCell ref="A34:H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1 Business Model Canvas</vt:lpstr>
      <vt:lpstr>2 Investment</vt:lpstr>
      <vt:lpstr>3 Product financial details</vt:lpstr>
      <vt:lpstr>4 Projection 3Y</vt:lpstr>
      <vt:lpstr>Variable Costs</vt:lpstr>
      <vt:lpstr>Fixed Costs</vt:lpstr>
      <vt:lpstr>Breakeven Analysis</vt:lpstr>
      <vt:lpstr>'4 Projection 3Y'!Print_Area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2021-08-27T06:47:12Z</cp:lastPrinted>
  <dcterms:created xsi:type="dcterms:W3CDTF">2021-07-04T13:30:27Z</dcterms:created>
  <dcterms:modified xsi:type="dcterms:W3CDTF">2026-10-23T17:19:53Z</dcterms:modified>
</cp:coreProperties>
</file>