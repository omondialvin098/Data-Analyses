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F527E82-5F44-4746-AD52-98FE9A0A46A3}" xr6:coauthVersionLast="47" xr6:coauthVersionMax="47" xr10:uidLastSave="{00000000-0000-0000-0000-000000000000}"/>
  <bookViews>
    <workbookView xWindow="-110" yWindow="-110" windowWidth="19420" windowHeight="11020" tabRatio="500" activeTab="4" xr2:uid="{00000000-000D-0000-FFFF-FFFF00000000}"/>
  </bookViews>
  <sheets>
    <sheet name="Part I" sheetId="1" r:id="rId1"/>
    <sheet name="Part II" sheetId="2" r:id="rId2"/>
    <sheet name="Part III Data" sheetId="3" r:id="rId3"/>
    <sheet name="Part IV" sheetId="4" r:id="rId4"/>
    <sheet name="Part V" sheetId="5" r:id="rId5"/>
  </sheets>
  <definedNames>
    <definedName name="CatalogFull">'Part I'!$H$14:$K$19</definedName>
    <definedName name="CatalogListPrice">'Part I'!$K$14:$K$19</definedName>
    <definedName name="CatalogProduct">'Part I'!$I$14:$I$19</definedName>
    <definedName name="CatalogSKU">'Part I'!$H$14:$H$19</definedName>
    <definedName name="ListPriceOut">'Part I'!$C$17</definedName>
    <definedName name="Ord_OrgType">'Part III Data'!$D$5:$D$32</definedName>
    <definedName name="Ord_Payment">'Part III Data'!$H$5:$H$32</definedName>
    <definedName name="Ord_Product">'Part III Data'!$E$5:$E$32</definedName>
    <definedName name="Ord_Qty">'Part III Data'!$F$5:$F$32</definedName>
    <definedName name="Ord_Revenue">'Part III Data'!$G$5:$G$32</definedName>
    <definedName name="OrderQty">'Part I'!$C$5</definedName>
    <definedName name="OrderTotal">'Part I'!$C$12</definedName>
    <definedName name="PackageWeight">'Part I'!$C$24</definedName>
    <definedName name="ProductNameIn">'Part I'!$C$20</definedName>
    <definedName name="ProductNameOut">'Part I'!$C$16</definedName>
    <definedName name="QtyThreshold">'Part III Data'!$C$43</definedName>
    <definedName name="ShippingRate">'Part I'!$C$26</definedName>
    <definedName name="ShipTable">'Part I'!$I$23:$L$27</definedName>
    <definedName name="ShipWeights">'Part I'!$H$23:$H$27</definedName>
    <definedName name="ShipZones">'Part I'!$I$22:$L$22</definedName>
    <definedName name="SkuOut">'Part I'!$C$21</definedName>
    <definedName name="SkuToLookup">'Part I'!$C$15</definedName>
    <definedName name="TierMinQty">'Part I'!$H$6:$H$10</definedName>
    <definedName name="TierTable">'Part I'!$H$6:$I$10</definedName>
    <definedName name="TierUnitPrice">'Part I'!$I$6:$I$10</definedName>
    <definedName name="UnitPrice_Check">'Part I'!$C$9</definedName>
    <definedName name="UnitPrice_Lookup">'Part I'!$C$8</definedName>
    <definedName name="Zone">'Part I'!$C$25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5" l="1"/>
  <c r="C20" i="5"/>
  <c r="C19" i="5"/>
  <c r="C18" i="5"/>
  <c r="D12" i="5"/>
  <c r="E12" i="5" s="1"/>
  <c r="E11" i="5"/>
  <c r="D11" i="5"/>
  <c r="D10" i="5"/>
  <c r="E10" i="5" s="1"/>
  <c r="E9" i="5"/>
  <c r="D9" i="5"/>
  <c r="D8" i="5"/>
  <c r="E8" i="5" s="1"/>
  <c r="E7" i="5"/>
  <c r="D7" i="5"/>
  <c r="D6" i="5"/>
  <c r="E6" i="5" s="1"/>
  <c r="E5" i="5"/>
  <c r="D5" i="5"/>
  <c r="C18" i="4"/>
  <c r="C17" i="4"/>
  <c r="C16" i="4"/>
  <c r="F52" i="3"/>
  <c r="F51" i="3"/>
  <c r="F45" i="3"/>
  <c r="F43" i="3"/>
  <c r="F40" i="3"/>
  <c r="F38" i="3"/>
  <c r="F36" i="3"/>
  <c r="C26" i="2"/>
  <c r="C21" i="2"/>
  <c r="C17" i="2"/>
  <c r="C16" i="2"/>
  <c r="C12" i="2"/>
  <c r="C9" i="2"/>
  <c r="C8" i="2"/>
  <c r="C26" i="1"/>
  <c r="C21" i="1"/>
  <c r="C17" i="1"/>
  <c r="C16" i="1"/>
  <c r="C12" i="1"/>
  <c r="C33" i="2" s="1"/>
  <c r="C9" i="1"/>
  <c r="C8" i="1"/>
  <c r="E1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4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Sorted ascending by Min qty (1, 25, 50, 100, 250) because VLOOKUP's approximate-match mode (TRUE) scans for the largest value &lt;= the lookup value and REQUIRES the lookup column to be sorted ascending, or it silently returns the wrong tier.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4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Sorted ascending by Min qty (1, 25, 50, 100, 250) because VLOOKUP's approximate-match mode (TRUE) scans for the largest value &lt;= the lookup value and REQUIRES the lookup column to be sorted ascending, or it silently returns the wrong tier.</t>
        </r>
      </text>
    </comment>
  </commentList>
</comments>
</file>

<file path=xl/sharedStrings.xml><?xml version="1.0" encoding="utf-8"?>
<sst xmlns="http://schemas.openxmlformats.org/spreadsheetml/2006/main" count="325" uniqueCount="137">
  <si>
    <t>Blue &amp; White Supply Co. — Tee Quote Model</t>
  </si>
  <si>
    <t>Inputs</t>
  </si>
  <si>
    <t>Tee price tiers</t>
  </si>
  <si>
    <t>Order quantity (tees)</t>
  </si>
  <si>
    <t>Min qty</t>
  </si>
  <si>
    <t>Unit price</t>
  </si>
  <si>
    <t>Calculations</t>
  </si>
  <si>
    <t>Unit price — from the tier table</t>
  </si>
  <si>
    <t>Unit price — the lookup-free check (must match)</t>
  </si>
  <si>
    <t>Output</t>
  </si>
  <si>
    <t>Order total</t>
  </si>
  <si>
    <t>Catalog</t>
  </si>
  <si>
    <t>SKU</t>
  </si>
  <si>
    <t>Product</t>
  </si>
  <si>
    <t>Cost</t>
  </si>
  <si>
    <t>List price</t>
  </si>
  <si>
    <t>Catalog lookups</t>
  </si>
  <si>
    <t>BW-TEE</t>
  </si>
  <si>
    <t>Custom Tee</t>
  </si>
  <si>
    <t>SKU to look up</t>
  </si>
  <si>
    <t>BW-MUG</t>
  </si>
  <si>
    <t>Ceramic Mug</t>
  </si>
  <si>
    <t>Product name</t>
  </si>
  <si>
    <t>BW-LAN</t>
  </si>
  <si>
    <t>Lanyard</t>
  </si>
  <si>
    <t>BW-FLAG</t>
  </si>
  <si>
    <t>3x5 Flag</t>
  </si>
  <si>
    <t>BW-HOOD</t>
  </si>
  <si>
    <t>Hoodie</t>
  </si>
  <si>
    <t>Right-to-left: product name → SKU</t>
  </si>
  <si>
    <t>BW-STK</t>
  </si>
  <si>
    <t>Sticker Pack</t>
  </si>
  <si>
    <t>Shipping rate table ($ per order)</t>
  </si>
  <si>
    <t>Weight (lb, floor)</t>
  </si>
  <si>
    <t>A</t>
  </si>
  <si>
    <t>B</t>
  </si>
  <si>
    <t>C</t>
  </si>
  <si>
    <t>D</t>
  </si>
  <si>
    <t>Shipping: rate for this order</t>
  </si>
  <si>
    <t>Package weight (lb)</t>
  </si>
  <si>
    <t>Zone</t>
  </si>
  <si>
    <t>Shipping rate</t>
  </si>
  <si>
    <t>Part I, Discount Cliff — TEXT BOX ANSWER (24 tees vs. 25 tees):</t>
  </si>
  <si>
    <t>24 tees fall in the 1-24 tier at $9.60/tee = $230.40 total. 25 tees hit the next tier at $8.40/tee = $210.00 total — $20.40 CHEAPER for one more shirt. We tell the officer to order 25 and save money. B&amp;W does not lose money on the sale itself — the $8.40 price is still well above the $5.90 cost, so B&amp;W nets $2.50/tee profit either way — but B&amp;W's total PROFIT is lower at 25 ($62.50) than at 24 ($88.80), so honesty here costs B&amp;W about $26.30 in profit on this order even though it is the right call for the customer and for trust long-term.</t>
  </si>
  <si>
    <t>Part I: fill the empty calculation cells with OLD functions. Then right-click this tab, Move or Copy,</t>
  </si>
  <si>
    <t>Make a Copy → rename it "Part II" → replace every OLD function with its NEW counterpart. Same answers, or something is wrong.</t>
  </si>
  <si>
    <t>Blue &amp; White Supply Co. — Tee Quote Model (Part II — NEW SKOOL)</t>
  </si>
  <si>
    <t>Part II, Discount Cliff — same answer as Part I (numbers must match):</t>
  </si>
  <si>
    <t>Order total + shipping</t>
  </si>
  <si>
    <t>Blue &amp; White Supply Co. — August order log</t>
  </si>
  <si>
    <t>Order</t>
  </si>
  <si>
    <t>Org</t>
  </si>
  <si>
    <t>Org type</t>
  </si>
  <si>
    <t>Qty</t>
  </si>
  <si>
    <t>Revenue</t>
  </si>
  <si>
    <t>Payment</t>
  </si>
  <si>
    <t>Answer the Part III questions from the assignment right here, one labeled cell per answer.</t>
  </si>
  <si>
    <t>Delta Sig</t>
  </si>
  <si>
    <t>Greek</t>
  </si>
  <si>
    <t>Invoice</t>
  </si>
  <si>
    <t>Robotics Club</t>
  </si>
  <si>
    <t>Club</t>
  </si>
  <si>
    <t>Card</t>
  </si>
  <si>
    <t>SCM Department</t>
  </si>
  <si>
    <t>Department</t>
  </si>
  <si>
    <t>Kappa Theta</t>
  </si>
  <si>
    <t>Chess Club</t>
  </si>
  <si>
    <t>Lion Shrine Gifts</t>
  </si>
  <si>
    <t>Local shop</t>
  </si>
  <si>
    <t>Alpha Chi</t>
  </si>
  <si>
    <t>Ultimate Frisbee</t>
  </si>
  <si>
    <t>Honors College</t>
  </si>
  <si>
    <t>Sigma Nu</t>
  </si>
  <si>
    <t>Ski Club</t>
  </si>
  <si>
    <t>College of Eng</t>
  </si>
  <si>
    <t>Corner Bookshop</t>
  </si>
  <si>
    <t>Phi Delta</t>
  </si>
  <si>
    <t>Dance Marathon</t>
  </si>
  <si>
    <t>Gamma Rho</t>
  </si>
  <si>
    <t>Cycling Club</t>
  </si>
  <si>
    <t>Admissions Office</t>
  </si>
  <si>
    <t>Beta Pi</t>
  </si>
  <si>
    <t>Esports Club</t>
  </si>
  <si>
    <t>Downtown Deli</t>
  </si>
  <si>
    <t>Omega Mu</t>
  </si>
  <si>
    <t>Outing Club</t>
  </si>
  <si>
    <t>Alumni Relations</t>
  </si>
  <si>
    <t>Theta Chi</t>
  </si>
  <si>
    <t>Book Club</t>
  </si>
  <si>
    <t>Campus Cafe</t>
  </si>
  <si>
    <t>Lambda Xi</t>
  </si>
  <si>
    <t>Part III, Q1: How many Club orders were for Custom Tees?</t>
  </si>
  <si>
    <t>Part III, Q2: Total revenue from Greek organizations.</t>
  </si>
  <si>
    <t>Part III, Q3: Revenue from 3x5 Flags paid by Invoice.</t>
  </si>
  <si>
    <t>Part III, Q4: Average quantity of Custom Tee orders of [threshold] or more (3 decimals, no rounding).</t>
  </si>
  <si>
    <t>Qty threshold</t>
  </si>
  <si>
    <t>Part III, Q5: How many Greek orders were paid by Invoice?</t>
  </si>
  <si>
    <t>Part III, Q6: Expected value — hoodie demand is 60, 90, or 120 with probabilities 25%, 45%, 30%. Lay scenarios in a row, check total probability = 100%, expected demand in ONE formula (1 decimal, no rounding).</t>
  </si>
  <si>
    <t>Demand (hoodies)</t>
  </si>
  <si>
    <t>Probability</t>
  </si>
  <si>
    <t>Check: total probability</t>
  </si>
  <si>
    <t>Expected demand</t>
  </si>
  <si>
    <t>Blue &amp; White Supply Co. — Restock List</t>
  </si>
  <si>
    <t>Reorder at</t>
  </si>
  <si>
    <t>On hand</t>
  </si>
  <si>
    <t>Status</t>
  </si>
  <si>
    <t>BW-TOTE</t>
  </si>
  <si>
    <t>Canvas Tote</t>
  </si>
  <si>
    <t>Lookups</t>
  </si>
  <si>
    <t>On hand — OLD skool (table references)</t>
  </si>
  <si>
    <t>On hand — NEW skool (table references)</t>
  </si>
  <si>
    <t>On hand — plain ranges, typed (no table references)</t>
  </si>
  <si>
    <t>Turn the list into a real Table first — the assignment has the steps.</t>
  </si>
  <si>
    <t>Type the new arrival directly under the table.</t>
  </si>
  <si>
    <t>Part IV, Q4 — TEXT BOX ANSWER (new row, BW-TOTE):</t>
  </si>
  <si>
    <t>When BW-TOTE was typed directly under the table, Excel auto-expanded tab_Restock to include it. Both table-reference lookups (OLD-skool VLOOKUP with tab_Restock[#All] and NEW-skool XLOOKUP with tab_Restock[SKU]/[On hand]) immediately saw BW-TOTE with no editing, because they point at the table, not a fixed range. The plain-range VLOOKUP ($D$6:$G$11, no table reference) did NOT see it -- its range was typed as fixed cell addresses, so it stays capped at row 11 forever.</t>
  </si>
  <si>
    <t>Part IV, Q5 — TEXT BOX ANSWER (Reorder at column inserted):</t>
  </si>
  <si>
    <t>After inserting “Reorder at” between Product and On hand, only the NEW-skool lookup (XLOOKUP by column NAME, tab_Restock[On hand]) still returns the right number, because it doesn't care which position the column sits in. Both OLD-skool lookups broke SILENTLY: the table-reference VLOOKUP and the plain-range VLOOKUP both hardcode column index 3, which used to mean “On hand” but now means “Reorder at” -- so for BW-FLAG they both now return 10 (the reorder point) instead of 7 (the real on-hand count), with no error thrown. In a workbook the whole team edits, that's the dangerous kind of bug: it looks fine, gives a plausible number, and nobody notices until someone reorders (or doesn't reorder) the wrong amount of stock.</t>
  </si>
  <si>
    <t>B&amp;W quote generator v3 — FIXED (three bugs found and corrected below)</t>
  </si>
  <si>
    <t>Club tee quotes</t>
  </si>
  <si>
    <t>Tier table</t>
  </si>
  <si>
    <t>Tier table (copy for convenience, showing popular order quantity)</t>
  </si>
  <si>
    <t>Unit</t>
  </si>
  <si>
    <t>Quote</t>
  </si>
  <si>
    <t>Total</t>
  </si>
  <si>
    <t>Catalog quick quotes</t>
  </si>
  <si>
    <t>Customer pays</t>
  </si>
  <si>
    <t>Rush quote</t>
  </si>
  <si>
    <t>Part V, Bug 1 — TEXT BOX ANSWER (cells D5:D12):</t>
  </si>
  <si>
    <t>Bug: each row's VLOOKUP used a DIFFERENT tier-table range (H5:I9, then H6:I10, then H7:I11 ... down to H12:I16) instead of one fixed table, because the range wasn't anchored with $ signs before the formula was copied down each row. Symptom: a silent reference-drift bug -- every row quietly slides its lookup table down by one row, so rows past the 5-row tier table start reading blank cells and return wrong prices (sometimes an error, sometimes a silently wrong number) with no visible warning. Fix: anchor the range as $H$5:$I$9 in every row so all eight rows share the exact same tier table.</t>
  </si>
  <si>
    <t>Part V, Bug 2 — TEXT BOX ANSWER (rush quote, table K5:L9):</t>
  </si>
  <si>
    <t>Bug: the second copy of the tier table (K5:L9, 'showing popular order quantity') was left in the order it was typed -- 100, 1, 250, 25, 50 -- not sorted ascending by Min qty. Symptom: a silent wrong answer from approximate-match VLOOKUP on an unsorted table -- VLOOKUP's TRUE mode assumes ascending order and just returns whatever it happens to land on when that assumption is violated, with no error. Fix: re-sort K5:L9 ascending (1, 25, 50, 100, 250) to match H5:I9.</t>
  </si>
  <si>
    <t>Part V, Bug 3 — TEXT BOX ANSWER (catalog quick quotes, C18:C20):</t>
  </si>
  <si>
    <t>Bug: 'Customer pays' used VLOOKUP(...,3,FALSE) which returns column 3 of G18:J23 -- that's 'Cost' (what B&amp;W pays), not column 4, 'List price' (what the customer should pay). Symptom: a wrong-column bug -- a plausible-looking, non-error number that quietly undercharges every customer by exactly the markup. Fix: change the column index from 3 to 4.</t>
  </si>
  <si>
    <t>Part V — Final answers:</t>
  </si>
  <si>
    <t>Club-quote total (E13): $4,650.45.  Catalog quick quotes: BW-MUG = $6.80, BW-FLAG = $19.50, BW-HOOD = $26.00.  Rush quote (140 units, C25): unit price = $6.30.</t>
  </si>
  <si>
    <t>sfd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</si>
</sst>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0"/>
    <numFmt numFmtId="166" formatCode="0.0"/>
  </numFmts>
  <fonts count="13" x14ac:knownFonts="1">
    <font>
      <sz val="11"/>
      <color theme="1"/>
      <name val="Calibri"/>
      <family val="2"/>
      <charset val="1"/>
    </font>
    <font>
      <b/>
      <sz val="11"/>
      <color rgb="FF3F3F76"/>
      <name val="Calibri"/>
      <family val="2"/>
      <charset val="1"/>
    </font>
    <font>
      <i/>
      <sz val="11"/>
      <color rgb="FF3F3F76"/>
      <name val="Calibri"/>
      <family val="2"/>
      <charset val="1"/>
    </font>
    <font>
      <b/>
      <sz val="14"/>
      <name val="Calibri"/>
      <family val="2"/>
      <charset val="1"/>
    </font>
    <font>
      <b/>
      <sz val="11"/>
      <name val="Calibri"/>
      <family val="2"/>
      <charset val="1"/>
    </font>
    <font>
      <b/>
      <sz val="10"/>
      <name val="Calibri"/>
      <family val="2"/>
    </font>
    <font>
      <i/>
      <sz val="10"/>
      <name val="Calibri"/>
      <family val="2"/>
    </font>
    <font>
      <i/>
      <sz val="10"/>
      <color rgb="FF595959"/>
      <name val="Calibri"/>
      <family val="2"/>
      <charset val="1"/>
    </font>
    <font>
      <b/>
      <sz val="11"/>
      <name val="Cambria"/>
      <family val="1"/>
    </font>
    <font>
      <sz val="11"/>
      <name val="Cambria"/>
      <family val="1"/>
    </font>
    <font>
      <b/>
      <sz val="10"/>
      <name val="Cambria"/>
      <family val="1"/>
    </font>
    <font>
      <i/>
      <sz val="10"/>
      <name val="Cambria"/>
      <family val="1"/>
    </font>
    <font>
      <b/>
      <sz val="13"/>
      <color rgb="FF1F4E79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87182226020086"/>
        <bgColor rgb="FFFFF2CC"/>
      </patternFill>
    </fill>
    <fill>
      <patternFill patternType="solid">
        <fgColor theme="5" tint="0.59987182226020086"/>
        <bgColor rgb="FFFCD5B5"/>
      </patternFill>
    </fill>
    <fill>
      <patternFill patternType="solid">
        <fgColor rgb="FFFFF2CC"/>
        <bgColor rgb="FFFFFFFF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7F7F7F"/>
      </left>
      <right style="double">
        <color rgb="FF7F7F7F"/>
      </right>
      <top style="double">
        <color rgb="FF7F7F7F"/>
      </top>
      <bottom style="double">
        <color rgb="FF7F7F7F"/>
      </bottom>
      <diagonal/>
    </border>
    <border>
      <left style="thin">
        <color rgb="FF3F3F76"/>
      </left>
      <right style="thin">
        <color rgb="FF3F3F76"/>
      </right>
      <top style="thin">
        <color rgb="FF3F3F76"/>
      </top>
      <bottom style="thin">
        <color rgb="FF3F3F76"/>
      </bottom>
      <diagonal/>
    </border>
    <border>
      <left/>
      <right/>
      <top/>
      <bottom style="medium">
        <color rgb="FF3F3F3F"/>
      </bottom>
      <diagonal/>
    </border>
    <border>
      <left/>
      <right/>
      <top style="thin">
        <color rgb="FF3F3F76"/>
      </top>
      <bottom/>
      <diagonal/>
    </border>
    <border>
      <left style="thin">
        <color rgb="FF3F3F76"/>
      </left>
      <right/>
      <top/>
      <bottom/>
      <diagonal/>
    </border>
    <border>
      <left/>
      <right style="thin">
        <color rgb="FF3F3F76"/>
      </right>
      <top style="thin">
        <color rgb="FF3F3F76"/>
      </top>
      <bottom/>
      <diagonal/>
    </border>
    <border>
      <left/>
      <right style="thin">
        <color rgb="FF3F3F76"/>
      </right>
      <top/>
      <bottom/>
      <diagonal/>
    </border>
    <border>
      <left style="thin">
        <color rgb="FF3F3F76"/>
      </left>
      <right/>
      <top/>
      <bottom style="thin">
        <color rgb="FF3F3F76"/>
      </bottom>
      <diagonal/>
    </border>
    <border>
      <left/>
      <right/>
      <top/>
      <bottom style="thin">
        <color rgb="FF3F3F76"/>
      </bottom>
      <diagonal/>
    </border>
    <border>
      <left/>
      <right style="thin">
        <color rgb="FF3F3F76"/>
      </right>
      <top/>
      <bottom style="thin">
        <color rgb="FF3F3F76"/>
      </bottom>
      <diagonal/>
    </border>
  </borders>
  <cellStyleXfs count="3">
    <xf numFmtId="0" fontId="0" fillId="0" borderId="0"/>
    <xf numFmtId="0" fontId="1" fillId="2" borderId="1">
      <protection locked="0"/>
    </xf>
    <xf numFmtId="0" fontId="2" fillId="3" borderId="2">
      <protection locked="0"/>
    </xf>
  </cellStyleXfs>
  <cellXfs count="33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Protection="1">
      <protection locked="0"/>
    </xf>
    <xf numFmtId="0" fontId="4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/>
    <xf numFmtId="0" fontId="5" fillId="0" borderId="0" xfId="0" applyFont="1"/>
    <xf numFmtId="0" fontId="7" fillId="0" borderId="0" xfId="0" applyFont="1"/>
    <xf numFmtId="0" fontId="8" fillId="0" borderId="0" xfId="0" applyFont="1"/>
    <xf numFmtId="0" fontId="4" fillId="0" borderId="4" xfId="0" applyFont="1" applyBorder="1"/>
    <xf numFmtId="0" fontId="9" fillId="0" borderId="0" xfId="0" applyFont="1"/>
    <xf numFmtId="164" fontId="9" fillId="0" borderId="0" xfId="0" applyNumberFormat="1" applyFont="1"/>
    <xf numFmtId="165" fontId="0" fillId="0" borderId="0" xfId="0" applyNumberFormat="1"/>
    <xf numFmtId="9" fontId="1" fillId="2" borderId="1" xfId="0" applyNumberFormat="1" applyFont="1" applyFill="1" applyBorder="1" applyProtection="1">
      <protection locked="0"/>
    </xf>
    <xf numFmtId="9" fontId="0" fillId="0" borderId="0" xfId="0" applyNumberFormat="1"/>
    <xf numFmtId="166" fontId="0" fillId="0" borderId="0" xfId="0" applyNumberFormat="1"/>
    <xf numFmtId="0" fontId="4" fillId="0" borderId="1" xfId="0" applyFont="1" applyBorder="1" applyAlignment="1">
      <alignment horizontal="center"/>
    </xf>
    <xf numFmtId="0" fontId="10" fillId="0" borderId="0" xfId="0" applyFont="1"/>
    <xf numFmtId="0" fontId="12" fillId="0" borderId="0" xfId="0" applyFont="1"/>
    <xf numFmtId="1" fontId="0" fillId="0" borderId="0" xfId="0" applyNumberFormat="1"/>
    <xf numFmtId="0" fontId="6" fillId="4" borderId="3" xfId="0" applyFont="1" applyFill="1" applyBorder="1" applyAlignment="1">
      <alignment vertical="top" wrapText="1"/>
    </xf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1" fillId="4" borderId="3" xfId="0" applyFont="1" applyFill="1" applyBorder="1" applyAlignment="1">
      <alignment vertical="top" wrapText="1"/>
    </xf>
    <xf numFmtId="0" fontId="0" fillId="0" borderId="6" xfId="0" applyBorder="1"/>
    <xf numFmtId="0" fontId="0" fillId="0" borderId="0" xfId="0"/>
    <xf numFmtId="0" fontId="0" fillId="0" borderId="8" xfId="0" applyBorder="1"/>
  </cellXfs>
  <cellStyles count="3">
    <cellStyle name="DecisionInput" xfId="1" xr:uid="{00000000-0005-0000-0000-000006000000}"/>
    <cellStyle name="Normal" xfId="0" builtinId="0"/>
    <cellStyle name="RandomInput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_Restock" displayName="tab_Restock" ref="D5:H12" totalsRowShown="0">
  <autoFilter ref="D5:H12" xr:uid="{00000000-0009-0000-0100-000001000000}"/>
  <tableColumns count="5">
    <tableColumn id="1" xr3:uid="{00000000-0010-0000-0000-000001000000}" name="SKU"/>
    <tableColumn id="2" xr3:uid="{00000000-0010-0000-0000-000002000000}" name="Product"/>
    <tableColumn id="3" xr3:uid="{00000000-0010-0000-0000-000003000000}" name="Reorder at"/>
    <tableColumn id="4" xr3:uid="{00000000-0010-0000-0000-000004000000}" name="On hand"/>
    <tableColumn id="5" xr3:uid="{00000000-0010-0000-0000-000005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2"/>
  <sheetViews>
    <sheetView showGridLines="0" topLeftCell="A24" zoomScaleNormal="100" workbookViewId="0">
      <selection activeCell="J17" sqref="J17"/>
    </sheetView>
  </sheetViews>
  <sheetFormatPr defaultColWidth="8.81640625" defaultRowHeight="14.5" x14ac:dyDescent="0.35"/>
  <cols>
    <col min="1" max="1" width="2.453125" customWidth="1"/>
    <col min="2" max="2" width="39.1796875" customWidth="1"/>
    <col min="3" max="3" width="14" customWidth="1"/>
    <col min="4" max="4" width="12" customWidth="1"/>
    <col min="5" max="5" width="2" customWidth="1"/>
    <col min="8" max="8" width="16" customWidth="1"/>
    <col min="9" max="12" width="15.36328125" customWidth="1"/>
  </cols>
  <sheetData>
    <row r="2" spans="2:11" ht="18.75" customHeight="1" x14ac:dyDescent="0.45">
      <c r="B2" s="1" t="s">
        <v>0</v>
      </c>
    </row>
    <row r="4" spans="2:11" ht="15" customHeight="1" x14ac:dyDescent="0.35">
      <c r="B4" s="2" t="s">
        <v>1</v>
      </c>
      <c r="H4" s="2" t="s">
        <v>2</v>
      </c>
    </row>
    <row r="5" spans="2:11" ht="15" customHeight="1" x14ac:dyDescent="0.35">
      <c r="B5" t="s">
        <v>3</v>
      </c>
      <c r="C5" s="3">
        <v>60</v>
      </c>
      <c r="H5" s="4" t="s">
        <v>4</v>
      </c>
      <c r="I5" s="4" t="s">
        <v>5</v>
      </c>
    </row>
    <row r="6" spans="2:11" ht="15" customHeight="1" x14ac:dyDescent="0.35">
      <c r="H6" s="5">
        <v>1</v>
      </c>
      <c r="I6" s="6">
        <v>9.6</v>
      </c>
    </row>
    <row r="7" spans="2:11" ht="15" customHeight="1" x14ac:dyDescent="0.35">
      <c r="B7" s="2" t="s">
        <v>6</v>
      </c>
      <c r="H7" s="5">
        <v>25</v>
      </c>
      <c r="I7" s="6">
        <v>8.4</v>
      </c>
    </row>
    <row r="8" spans="2:11" ht="15" customHeight="1" x14ac:dyDescent="0.35">
      <c r="B8" t="s">
        <v>7</v>
      </c>
      <c r="C8" s="7">
        <f>VLOOKUP(OrderQty,TierTable,2,TRUE())</f>
        <v>7.35</v>
      </c>
      <c r="H8" s="5">
        <v>50</v>
      </c>
      <c r="I8" s="6">
        <v>7.35</v>
      </c>
    </row>
    <row r="9" spans="2:11" ht="15" customHeight="1" x14ac:dyDescent="0.35">
      <c r="B9" t="s">
        <v>8</v>
      </c>
      <c r="C9" s="7">
        <f>IF(OrderQty&gt;=H10,I10,IF(OrderQty&gt;=H9,I9,IF(OrderQty&gt;=H8,I8,IF(OrderQty&gt;=H7,I7,I6))))</f>
        <v>7.35</v>
      </c>
      <c r="H9" s="5">
        <v>100</v>
      </c>
      <c r="I9" s="6">
        <v>6.3</v>
      </c>
    </row>
    <row r="10" spans="2:11" ht="15" customHeight="1" x14ac:dyDescent="0.35">
      <c r="H10" s="5">
        <v>250</v>
      </c>
      <c r="I10" s="6">
        <v>5.4</v>
      </c>
    </row>
    <row r="11" spans="2:11" ht="15" customHeight="1" x14ac:dyDescent="0.35">
      <c r="B11" s="2" t="s">
        <v>9</v>
      </c>
    </row>
    <row r="12" spans="2:11" ht="15" customHeight="1" x14ac:dyDescent="0.35">
      <c r="B12" t="s">
        <v>10</v>
      </c>
      <c r="C12" s="7">
        <f>OrderQty*UnitPrice_Lookup</f>
        <v>441</v>
      </c>
      <c r="H12" s="2" t="s">
        <v>11</v>
      </c>
    </row>
    <row r="13" spans="2:11" ht="15" customHeight="1" x14ac:dyDescent="0.35">
      <c r="H13" s="4" t="s">
        <v>12</v>
      </c>
      <c r="I13" s="4" t="s">
        <v>13</v>
      </c>
      <c r="J13" s="4" t="s">
        <v>14</v>
      </c>
      <c r="K13" s="4" t="s">
        <v>15</v>
      </c>
    </row>
    <row r="14" spans="2:11" ht="15" customHeight="1" x14ac:dyDescent="0.35">
      <c r="B14" s="2" t="s">
        <v>16</v>
      </c>
      <c r="H14" s="8" t="s">
        <v>17</v>
      </c>
      <c r="I14" s="8" t="s">
        <v>18</v>
      </c>
      <c r="J14" s="6">
        <v>5.9</v>
      </c>
      <c r="K14" s="6">
        <v>9.6</v>
      </c>
    </row>
    <row r="15" spans="2:11" ht="15" customHeight="1" x14ac:dyDescent="0.35">
      <c r="B15" t="s">
        <v>19</v>
      </c>
      <c r="C15" s="3" t="s">
        <v>20</v>
      </c>
      <c r="H15" s="8" t="s">
        <v>20</v>
      </c>
      <c r="I15" s="8" t="s">
        <v>21</v>
      </c>
      <c r="J15" s="6">
        <v>4.0999999999999996</v>
      </c>
      <c r="K15" s="6">
        <v>6.8</v>
      </c>
    </row>
    <row r="16" spans="2:11" ht="15" customHeight="1" x14ac:dyDescent="0.35">
      <c r="B16" t="s">
        <v>22</v>
      </c>
      <c r="C16" t="str">
        <f>VLOOKUP(SkuToLookup,CatalogFull,2,FALSE())</f>
        <v>Ceramic Mug</v>
      </c>
      <c r="H16" s="8" t="s">
        <v>23</v>
      </c>
      <c r="I16" s="8" t="s">
        <v>24</v>
      </c>
      <c r="J16" s="6">
        <v>1.6</v>
      </c>
      <c r="K16" s="6">
        <v>2.9</v>
      </c>
    </row>
    <row r="17" spans="2:12" ht="15" customHeight="1" x14ac:dyDescent="0.35">
      <c r="B17" t="s">
        <v>15</v>
      </c>
      <c r="C17" s="7">
        <f>VLOOKUP(SkuToLookup,CatalogFull,4,FALSE())</f>
        <v>6.8</v>
      </c>
      <c r="H17" s="8" t="s">
        <v>25</v>
      </c>
      <c r="I17" s="8" t="s">
        <v>26</v>
      </c>
      <c r="J17" s="6">
        <v>12.4</v>
      </c>
      <c r="K17" s="6">
        <v>19.5</v>
      </c>
    </row>
    <row r="18" spans="2:12" ht="15" customHeight="1" x14ac:dyDescent="0.35">
      <c r="H18" s="8" t="s">
        <v>27</v>
      </c>
      <c r="I18" s="8" t="s">
        <v>28</v>
      </c>
      <c r="J18" s="6">
        <v>17.5</v>
      </c>
      <c r="K18" s="6">
        <v>26</v>
      </c>
    </row>
    <row r="19" spans="2:12" ht="15" customHeight="1" x14ac:dyDescent="0.35">
      <c r="B19" s="2" t="s">
        <v>29</v>
      </c>
      <c r="H19" s="8" t="s">
        <v>30</v>
      </c>
      <c r="I19" s="8" t="s">
        <v>31</v>
      </c>
      <c r="J19" s="6">
        <v>2.7</v>
      </c>
      <c r="K19" s="6">
        <v>4.5999999999999996</v>
      </c>
    </row>
    <row r="20" spans="2:12" ht="15" customHeight="1" x14ac:dyDescent="0.35">
      <c r="B20" t="s">
        <v>22</v>
      </c>
      <c r="C20" s="3" t="s">
        <v>26</v>
      </c>
      <c r="J20" s="7"/>
      <c r="K20" s="7"/>
    </row>
    <row r="21" spans="2:12" ht="15" customHeight="1" x14ac:dyDescent="0.35">
      <c r="B21" t="s">
        <v>12</v>
      </c>
      <c r="C21" t="str">
        <f>INDEX(CatalogSKU,MATCH(ProductNameIn,CatalogProduct,0))</f>
        <v>BW-FLAG</v>
      </c>
      <c r="H21" s="2" t="s">
        <v>32</v>
      </c>
    </row>
    <row r="22" spans="2:12" ht="15" customHeight="1" x14ac:dyDescent="0.35">
      <c r="H22" s="2" t="s">
        <v>33</v>
      </c>
      <c r="I22" s="4" t="s">
        <v>34</v>
      </c>
      <c r="J22" s="4" t="s">
        <v>35</v>
      </c>
      <c r="K22" s="4" t="s">
        <v>36</v>
      </c>
      <c r="L22" s="4" t="s">
        <v>37</v>
      </c>
    </row>
    <row r="23" spans="2:12" ht="15" customHeight="1" x14ac:dyDescent="0.35">
      <c r="B23" s="2" t="s">
        <v>38</v>
      </c>
      <c r="H23" s="5">
        <v>0</v>
      </c>
      <c r="I23" s="6">
        <v>6.5</v>
      </c>
      <c r="J23" s="6">
        <v>7.25</v>
      </c>
      <c r="K23" s="6">
        <v>8.1</v>
      </c>
      <c r="L23" s="6">
        <v>9</v>
      </c>
    </row>
    <row r="24" spans="2:12" ht="15" customHeight="1" x14ac:dyDescent="0.35">
      <c r="B24" t="s">
        <v>39</v>
      </c>
      <c r="C24" s="3">
        <v>12</v>
      </c>
      <c r="H24" s="5">
        <v>5</v>
      </c>
      <c r="I24" s="6">
        <v>8.9</v>
      </c>
      <c r="J24" s="6">
        <v>9.8000000000000007</v>
      </c>
      <c r="K24" s="6">
        <v>10.9</v>
      </c>
      <c r="L24" s="6">
        <v>12.1</v>
      </c>
    </row>
    <row r="25" spans="2:12" ht="15" customHeight="1" x14ac:dyDescent="0.35">
      <c r="B25" t="s">
        <v>40</v>
      </c>
      <c r="C25" s="3" t="s">
        <v>36</v>
      </c>
      <c r="H25" s="5">
        <v>10</v>
      </c>
      <c r="I25" s="6">
        <v>12.4</v>
      </c>
      <c r="J25" s="6">
        <v>13.7</v>
      </c>
      <c r="K25" s="6">
        <v>15.2</v>
      </c>
      <c r="L25" s="6">
        <v>16.899999999999999</v>
      </c>
    </row>
    <row r="26" spans="2:12" ht="15" customHeight="1" x14ac:dyDescent="0.35">
      <c r="B26" t="s">
        <v>41</v>
      </c>
      <c r="C26" s="7">
        <f>INDEX(ShipTable,MATCH(PackageWeight,ShipWeights,1),MATCH(Zone,ShipZones,0))</f>
        <v>15.2</v>
      </c>
      <c r="H26" s="5">
        <v>20</v>
      </c>
      <c r="I26" s="6">
        <v>18.600000000000001</v>
      </c>
      <c r="J26" s="6">
        <v>20.5</v>
      </c>
      <c r="K26" s="6">
        <v>22.7</v>
      </c>
      <c r="L26" s="6">
        <v>25.1</v>
      </c>
    </row>
    <row r="27" spans="2:12" ht="15" customHeight="1" x14ac:dyDescent="0.35">
      <c r="H27" s="5">
        <v>50</v>
      </c>
      <c r="I27" s="6">
        <v>31</v>
      </c>
      <c r="J27" s="6">
        <v>34.200000000000003</v>
      </c>
      <c r="K27" s="6">
        <v>37.799999999999997</v>
      </c>
      <c r="L27" s="6">
        <v>41.8</v>
      </c>
    </row>
    <row r="28" spans="2:12" ht="15" customHeight="1" x14ac:dyDescent="0.35">
      <c r="B28" s="9" t="s">
        <v>42</v>
      </c>
    </row>
    <row r="29" spans="2:12" ht="15" customHeight="1" x14ac:dyDescent="0.35">
      <c r="B29" s="23" t="s">
        <v>43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2:12" ht="15" customHeight="1" x14ac:dyDescent="0.35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2:12" ht="15" customHeight="1" x14ac:dyDescent="0.35">
      <c r="B31" s="10" t="s">
        <v>44</v>
      </c>
    </row>
    <row r="32" spans="2:12" ht="15" customHeight="1" x14ac:dyDescent="0.35">
      <c r="B32" s="10" t="s">
        <v>45</v>
      </c>
    </row>
  </sheetData>
  <mergeCells count="1">
    <mergeCell ref="B29:L30"/>
  </mergeCells>
  <dataValidations count="5">
    <dataValidation type="decimal" operator="greaterThan" showErrorMessage="1" errorTitle="Invalid quantity" error="Order quantity must be a positive number." sqref="C5" xr:uid="{00000000-0002-0000-0000-000000000000}">
      <formula1>0</formula1>
      <formula2>0</formula2>
    </dataValidation>
    <dataValidation type="list" showErrorMessage="1" errorTitle="Invalid SKU" error="Please choose a SKU that exists in the catalog." sqref="C15" xr:uid="{00000000-0002-0000-0000-000001000000}">
      <formula1>CatalogSKU</formula1>
      <formula2>0</formula2>
    </dataValidation>
    <dataValidation type="list" showErrorMessage="1" errorTitle="Invalid product" error="Please choose a product name that exists in the catalog." sqref="C20" xr:uid="{00000000-0002-0000-0000-000002000000}">
      <formula1>CatalogProduct</formula1>
      <formula2>0</formula2>
    </dataValidation>
    <dataValidation type="list" showErrorMessage="1" errorTitle="Invalid zone" error="Please choose a zone that exists in the shipping table." sqref="C25" xr:uid="{00000000-0002-0000-0000-000003000000}">
      <formula1>ShipZones</formula1>
      <formula2>0</formula2>
    </dataValidation>
    <dataValidation type="decimal" operator="greaterThan" showErrorMessage="1" errorTitle="Invalid weight" error="Weight must be a positive number." sqref="C24" xr:uid="{00000000-0002-0000-00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33"/>
  <sheetViews>
    <sheetView zoomScaleNormal="100" workbookViewId="0"/>
  </sheetViews>
  <sheetFormatPr defaultColWidth="8.81640625" defaultRowHeight="14.5" x14ac:dyDescent="0.35"/>
  <cols>
    <col min="1" max="1" width="2.453125" customWidth="1"/>
    <col min="2" max="2" width="39.1796875" customWidth="1"/>
    <col min="3" max="3" width="14" customWidth="1"/>
    <col min="4" max="4" width="12" customWidth="1"/>
    <col min="5" max="5" width="2" customWidth="1"/>
    <col min="8" max="8" width="16" customWidth="1"/>
    <col min="9" max="12" width="15.36328125" customWidth="1"/>
  </cols>
  <sheetData>
    <row r="2" spans="2:11" ht="18.75" customHeight="1" x14ac:dyDescent="0.45">
      <c r="B2" s="1" t="s">
        <v>46</v>
      </c>
    </row>
    <row r="4" spans="2:11" ht="15" customHeight="1" x14ac:dyDescent="0.35">
      <c r="B4" s="2" t="s">
        <v>1</v>
      </c>
      <c r="H4" s="2" t="s">
        <v>2</v>
      </c>
    </row>
    <row r="5" spans="2:11" ht="15" customHeight="1" x14ac:dyDescent="0.35">
      <c r="B5" t="s">
        <v>3</v>
      </c>
      <c r="C5" s="3">
        <v>60</v>
      </c>
      <c r="H5" s="4" t="s">
        <v>4</v>
      </c>
      <c r="I5" s="4" t="s">
        <v>5</v>
      </c>
    </row>
    <row r="6" spans="2:11" ht="15" customHeight="1" x14ac:dyDescent="0.35">
      <c r="H6" s="5">
        <v>1</v>
      </c>
      <c r="I6" s="6">
        <v>9.6</v>
      </c>
    </row>
    <row r="7" spans="2:11" ht="15" customHeight="1" x14ac:dyDescent="0.35">
      <c r="B7" s="2" t="s">
        <v>6</v>
      </c>
      <c r="H7" s="5">
        <v>25</v>
      </c>
      <c r="I7" s="6">
        <v>8.4</v>
      </c>
    </row>
    <row r="8" spans="2:11" ht="15" customHeight="1" x14ac:dyDescent="0.35">
      <c r="B8" t="s">
        <v>7</v>
      </c>
      <c r="C8" s="7">
        <f>_xlfn.XLOOKUP(OrderQty,TierMinQty,TierUnitPrice,,-1)</f>
        <v>7.35</v>
      </c>
      <c r="H8" s="5">
        <v>50</v>
      </c>
      <c r="I8" s="6">
        <v>7.35</v>
      </c>
    </row>
    <row r="9" spans="2:11" ht="15" customHeight="1" x14ac:dyDescent="0.35">
      <c r="B9" t="s">
        <v>8</v>
      </c>
      <c r="C9" s="7">
        <f>_xlfn.IFS(OrderQty&gt;=H10,I10,OrderQty&gt;=H9,I9,OrderQty&gt;=H8,I8,OrderQty&gt;=H7,I7,TRUE(),I6)</f>
        <v>7.35</v>
      </c>
      <c r="H9" s="5">
        <v>100</v>
      </c>
      <c r="I9" s="6">
        <v>6.3</v>
      </c>
    </row>
    <row r="10" spans="2:11" ht="15" customHeight="1" x14ac:dyDescent="0.35">
      <c r="H10" s="5">
        <v>250</v>
      </c>
      <c r="I10" s="6">
        <v>5.4</v>
      </c>
    </row>
    <row r="11" spans="2:11" ht="15" customHeight="1" x14ac:dyDescent="0.35">
      <c r="B11" s="2" t="s">
        <v>9</v>
      </c>
    </row>
    <row r="12" spans="2:11" ht="15" customHeight="1" x14ac:dyDescent="0.35">
      <c r="B12" t="s">
        <v>10</v>
      </c>
      <c r="C12" s="7">
        <f>OrderQty*UnitPrice_Lookup</f>
        <v>441</v>
      </c>
      <c r="H12" s="2" t="s">
        <v>11</v>
      </c>
    </row>
    <row r="13" spans="2:11" ht="15" customHeight="1" x14ac:dyDescent="0.35">
      <c r="H13" s="4" t="s">
        <v>12</v>
      </c>
      <c r="I13" s="4" t="s">
        <v>13</v>
      </c>
      <c r="J13" s="4" t="s">
        <v>14</v>
      </c>
      <c r="K13" s="4" t="s">
        <v>15</v>
      </c>
    </row>
    <row r="14" spans="2:11" ht="15" customHeight="1" x14ac:dyDescent="0.35">
      <c r="B14" s="2" t="s">
        <v>16</v>
      </c>
      <c r="H14" s="8" t="s">
        <v>17</v>
      </c>
      <c r="I14" s="8" t="s">
        <v>18</v>
      </c>
      <c r="J14" s="6">
        <v>5.9</v>
      </c>
      <c r="K14" s="6">
        <v>9.6</v>
      </c>
    </row>
    <row r="15" spans="2:11" ht="15" customHeight="1" x14ac:dyDescent="0.35">
      <c r="B15" t="s">
        <v>19</v>
      </c>
      <c r="C15" s="3" t="s">
        <v>20</v>
      </c>
      <c r="H15" s="8" t="s">
        <v>20</v>
      </c>
      <c r="I15" s="8" t="s">
        <v>21</v>
      </c>
      <c r="J15" s="6">
        <v>4.0999999999999996</v>
      </c>
      <c r="K15" s="6">
        <v>6.8</v>
      </c>
    </row>
    <row r="16" spans="2:11" ht="15" customHeight="1" x14ac:dyDescent="0.35">
      <c r="B16" t="s">
        <v>22</v>
      </c>
      <c r="C16" t="str">
        <f>_xlfn.XLOOKUP(SkuToLookup,CatalogSKU,CatalogProduct)</f>
        <v>Ceramic Mug</v>
      </c>
      <c r="H16" s="8" t="s">
        <v>23</v>
      </c>
      <c r="I16" s="8" t="s">
        <v>24</v>
      </c>
      <c r="J16" s="6">
        <v>1.6</v>
      </c>
      <c r="K16" s="6">
        <v>2.9</v>
      </c>
    </row>
    <row r="17" spans="2:12" ht="15" customHeight="1" x14ac:dyDescent="0.35">
      <c r="B17" t="s">
        <v>15</v>
      </c>
      <c r="C17" s="7">
        <f>_xlfn.XLOOKUP(SkuToLookup,CatalogSKU,CatalogListPrice)</f>
        <v>6.8</v>
      </c>
      <c r="H17" s="8" t="s">
        <v>25</v>
      </c>
      <c r="I17" s="8" t="s">
        <v>26</v>
      </c>
      <c r="J17" s="6">
        <v>12.4</v>
      </c>
      <c r="K17" s="6">
        <v>19.5</v>
      </c>
    </row>
    <row r="18" spans="2:12" ht="15" customHeight="1" x14ac:dyDescent="0.35">
      <c r="H18" s="8" t="s">
        <v>27</v>
      </c>
      <c r="I18" s="8" t="s">
        <v>28</v>
      </c>
      <c r="J18" s="6">
        <v>17.5</v>
      </c>
      <c r="K18" s="6">
        <v>26</v>
      </c>
    </row>
    <row r="19" spans="2:12" ht="15" customHeight="1" x14ac:dyDescent="0.35">
      <c r="B19" s="2" t="s">
        <v>29</v>
      </c>
      <c r="H19" s="8" t="s">
        <v>30</v>
      </c>
      <c r="I19" s="8" t="s">
        <v>31</v>
      </c>
      <c r="J19" s="6">
        <v>2.7</v>
      </c>
      <c r="K19" s="6">
        <v>4.5999999999999996</v>
      </c>
    </row>
    <row r="20" spans="2:12" ht="15" customHeight="1" x14ac:dyDescent="0.35">
      <c r="B20" t="s">
        <v>22</v>
      </c>
      <c r="C20" s="3" t="s">
        <v>26</v>
      </c>
      <c r="J20" s="7"/>
      <c r="K20" s="7"/>
    </row>
    <row r="21" spans="2:12" ht="15" customHeight="1" x14ac:dyDescent="0.35">
      <c r="B21" t="s">
        <v>12</v>
      </c>
      <c r="C21" t="str">
        <f>_xlfn.XLOOKUP(ProductNameIn,CatalogProduct,CatalogSKU)</f>
        <v>BW-FLAG</v>
      </c>
      <c r="H21" s="2" t="s">
        <v>32</v>
      </c>
    </row>
    <row r="22" spans="2:12" ht="15" customHeight="1" x14ac:dyDescent="0.35">
      <c r="H22" s="2" t="s">
        <v>33</v>
      </c>
      <c r="I22" s="4" t="s">
        <v>34</v>
      </c>
      <c r="J22" s="4" t="s">
        <v>35</v>
      </c>
      <c r="K22" s="4" t="s">
        <v>36</v>
      </c>
      <c r="L22" s="4" t="s">
        <v>37</v>
      </c>
    </row>
    <row r="23" spans="2:12" ht="15" customHeight="1" x14ac:dyDescent="0.35">
      <c r="B23" s="2" t="s">
        <v>38</v>
      </c>
      <c r="H23" s="5">
        <v>0</v>
      </c>
      <c r="I23" s="6">
        <v>6.5</v>
      </c>
      <c r="J23" s="6">
        <v>7.25</v>
      </c>
      <c r="K23" s="6">
        <v>8.1</v>
      </c>
      <c r="L23" s="6">
        <v>9</v>
      </c>
    </row>
    <row r="24" spans="2:12" ht="15" customHeight="1" x14ac:dyDescent="0.35">
      <c r="B24" t="s">
        <v>39</v>
      </c>
      <c r="C24" s="3">
        <v>12</v>
      </c>
      <c r="H24" s="5">
        <v>5</v>
      </c>
      <c r="I24" s="6">
        <v>8.9</v>
      </c>
      <c r="J24" s="6">
        <v>9.8000000000000007</v>
      </c>
      <c r="K24" s="6">
        <v>10.9</v>
      </c>
      <c r="L24" s="6">
        <v>12.1</v>
      </c>
    </row>
    <row r="25" spans="2:12" ht="15" customHeight="1" x14ac:dyDescent="0.35">
      <c r="B25" t="s">
        <v>40</v>
      </c>
      <c r="C25" s="3" t="s">
        <v>36</v>
      </c>
      <c r="H25" s="5">
        <v>10</v>
      </c>
      <c r="I25" s="6">
        <v>12.4</v>
      </c>
      <c r="J25" s="6">
        <v>13.7</v>
      </c>
      <c r="K25" s="6">
        <v>15.2</v>
      </c>
      <c r="L25" s="6">
        <v>16.899999999999999</v>
      </c>
    </row>
    <row r="26" spans="2:12" ht="15" customHeight="1" x14ac:dyDescent="0.35">
      <c r="B26" t="s">
        <v>41</v>
      </c>
      <c r="C26" s="7">
        <f>_xlfn.XLOOKUP(Zone,ShipZones,_xlfn.XLOOKUP(PackageWeight,ShipWeights,ShipTable,,-1))</f>
        <v>15.2</v>
      </c>
      <c r="H26" s="5">
        <v>20</v>
      </c>
      <c r="I26" s="6">
        <v>18.600000000000001</v>
      </c>
      <c r="J26" s="6">
        <v>20.5</v>
      </c>
      <c r="K26" s="6">
        <v>22.7</v>
      </c>
      <c r="L26" s="6">
        <v>25.1</v>
      </c>
    </row>
    <row r="27" spans="2:12" ht="15" customHeight="1" x14ac:dyDescent="0.35">
      <c r="H27" s="5">
        <v>50</v>
      </c>
      <c r="I27" s="6">
        <v>31</v>
      </c>
      <c r="J27" s="6">
        <v>34.200000000000003</v>
      </c>
      <c r="K27" s="6">
        <v>37.799999999999997</v>
      </c>
      <c r="L27" s="6">
        <v>41.8</v>
      </c>
    </row>
    <row r="28" spans="2:12" ht="15" customHeight="1" x14ac:dyDescent="0.35">
      <c r="B28" s="9" t="s">
        <v>47</v>
      </c>
    </row>
    <row r="29" spans="2:12" ht="15" customHeight="1" x14ac:dyDescent="0.35">
      <c r="B29" s="23" t="s">
        <v>43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2:12" ht="15" customHeight="1" x14ac:dyDescent="0.35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2:12" ht="15" customHeight="1" x14ac:dyDescent="0.35">
      <c r="B31" s="10" t="s">
        <v>44</v>
      </c>
    </row>
    <row r="32" spans="2:12" ht="15" customHeight="1" x14ac:dyDescent="0.35">
      <c r="B32" s="10" t="s">
        <v>45</v>
      </c>
    </row>
    <row r="33" spans="2:3" ht="15" customHeight="1" x14ac:dyDescent="0.35">
      <c r="B33" s="11" t="s">
        <v>48</v>
      </c>
      <c r="C33">
        <f>OrderTotal+ShippingRate</f>
        <v>456.2</v>
      </c>
    </row>
  </sheetData>
  <mergeCells count="1">
    <mergeCell ref="B29:L30"/>
  </mergeCells>
  <dataValidations count="5">
    <dataValidation type="decimal" operator="greaterThan" showErrorMessage="1" errorTitle="Invalid quantity" error="Order quantity must be a positive number." sqref="C5" xr:uid="{00000000-0002-0000-0100-000000000000}">
      <formula1>0</formula1>
      <formula2>0</formula2>
    </dataValidation>
    <dataValidation type="decimal" operator="greaterThan" showErrorMessage="1" errorTitle="Invalid weight" error="Weight must be a positive number." sqref="C24" xr:uid="{00000000-0002-0000-0100-000001000000}">
      <formula1>0</formula1>
      <formula2>0</formula2>
    </dataValidation>
    <dataValidation type="list" showErrorMessage="1" errorTitle="Invalid SKU" error="Please choose a SKU that exists in the catalog." sqref="C15" xr:uid="{00000000-0002-0000-0100-000002000000}">
      <formula1>CatalogSKU</formula1>
      <formula2>0</formula2>
    </dataValidation>
    <dataValidation type="list" showErrorMessage="1" errorTitle="Invalid product" error="Please choose a product name that exists in the catalog." sqref="C20" xr:uid="{00000000-0002-0000-0100-000003000000}">
      <formula1>CatalogProduct</formula1>
      <formula2>0</formula2>
    </dataValidation>
    <dataValidation type="list" showErrorMessage="1" errorTitle="Invalid zone" error="Please choose a zone that exists in the shipping table." sqref="C25" xr:uid="{00000000-0002-0000-0100-000004000000}">
      <formula1>ShipZones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52"/>
  <sheetViews>
    <sheetView showGridLines="0" zoomScaleNormal="100" workbookViewId="0"/>
  </sheetViews>
  <sheetFormatPr defaultColWidth="8.81640625" defaultRowHeight="14.5" x14ac:dyDescent="0.35"/>
  <cols>
    <col min="1" max="1" width="2.453125" customWidth="1"/>
    <col min="2" max="2" width="8" customWidth="1"/>
    <col min="3" max="3" width="18" customWidth="1"/>
    <col min="4" max="4" width="12" customWidth="1"/>
    <col min="5" max="5" width="13" customWidth="1"/>
    <col min="6" max="6" width="7" customWidth="1"/>
    <col min="7" max="7" width="11" customWidth="1"/>
    <col min="8" max="8" width="10" customWidth="1"/>
    <col min="10" max="10" width="46" customWidth="1"/>
  </cols>
  <sheetData>
    <row r="2" spans="2:10" ht="18.75" customHeight="1" x14ac:dyDescent="0.45">
      <c r="B2" s="1" t="s">
        <v>49</v>
      </c>
    </row>
    <row r="4" spans="2:10" ht="15" customHeight="1" x14ac:dyDescent="0.35">
      <c r="B4" s="12" t="s">
        <v>50</v>
      </c>
      <c r="C4" s="12" t="s">
        <v>51</v>
      </c>
      <c r="D4" s="12" t="s">
        <v>52</v>
      </c>
      <c r="E4" s="12" t="s">
        <v>13</v>
      </c>
      <c r="F4" s="12" t="s">
        <v>53</v>
      </c>
      <c r="G4" s="12" t="s">
        <v>54</v>
      </c>
      <c r="H4" s="12" t="s">
        <v>55</v>
      </c>
      <c r="J4" s="10" t="s">
        <v>56</v>
      </c>
    </row>
    <row r="5" spans="2:10" ht="15" customHeight="1" x14ac:dyDescent="0.35">
      <c r="B5">
        <v>1001</v>
      </c>
      <c r="C5" t="s">
        <v>57</v>
      </c>
      <c r="D5" t="s">
        <v>58</v>
      </c>
      <c r="E5" t="s">
        <v>18</v>
      </c>
      <c r="F5">
        <v>48</v>
      </c>
      <c r="G5" s="7">
        <v>460.8</v>
      </c>
      <c r="H5" t="s">
        <v>59</v>
      </c>
    </row>
    <row r="6" spans="2:10" ht="15" customHeight="1" x14ac:dyDescent="0.35">
      <c r="B6">
        <v>1002</v>
      </c>
      <c r="C6" t="s">
        <v>60</v>
      </c>
      <c r="D6" t="s">
        <v>61</v>
      </c>
      <c r="E6" t="s">
        <v>18</v>
      </c>
      <c r="F6">
        <v>30</v>
      </c>
      <c r="G6" s="7">
        <v>288</v>
      </c>
      <c r="H6" t="s">
        <v>62</v>
      </c>
    </row>
    <row r="7" spans="2:10" ht="15" customHeight="1" x14ac:dyDescent="0.35">
      <c r="B7">
        <v>1003</v>
      </c>
      <c r="C7" t="s">
        <v>63</v>
      </c>
      <c r="D7" t="s">
        <v>64</v>
      </c>
      <c r="E7" t="s">
        <v>24</v>
      </c>
      <c r="F7">
        <v>200</v>
      </c>
      <c r="G7" s="7">
        <v>580</v>
      </c>
      <c r="H7" t="s">
        <v>59</v>
      </c>
    </row>
    <row r="8" spans="2:10" ht="15" customHeight="1" x14ac:dyDescent="0.35">
      <c r="B8">
        <v>1004</v>
      </c>
      <c r="C8" t="s">
        <v>65</v>
      </c>
      <c r="D8" t="s">
        <v>58</v>
      </c>
      <c r="E8" t="s">
        <v>28</v>
      </c>
      <c r="F8">
        <v>24</v>
      </c>
      <c r="G8" s="7">
        <v>624</v>
      </c>
      <c r="H8" t="s">
        <v>59</v>
      </c>
    </row>
    <row r="9" spans="2:10" ht="15" customHeight="1" x14ac:dyDescent="0.35">
      <c r="B9">
        <v>1005</v>
      </c>
      <c r="C9" t="s">
        <v>66</v>
      </c>
      <c r="D9" t="s">
        <v>61</v>
      </c>
      <c r="E9" t="s">
        <v>31</v>
      </c>
      <c r="F9">
        <v>40</v>
      </c>
      <c r="G9" s="7">
        <v>184</v>
      </c>
      <c r="H9" t="s">
        <v>62</v>
      </c>
    </row>
    <row r="10" spans="2:10" ht="15" customHeight="1" x14ac:dyDescent="0.35">
      <c r="B10">
        <v>1006</v>
      </c>
      <c r="C10" t="s">
        <v>67</v>
      </c>
      <c r="D10" t="s">
        <v>68</v>
      </c>
      <c r="E10" t="s">
        <v>26</v>
      </c>
      <c r="F10">
        <v>12</v>
      </c>
      <c r="G10" s="7">
        <v>234</v>
      </c>
      <c r="H10" t="s">
        <v>59</v>
      </c>
    </row>
    <row r="11" spans="2:10" ht="15" customHeight="1" x14ac:dyDescent="0.35">
      <c r="B11">
        <v>1007</v>
      </c>
      <c r="C11" t="s">
        <v>69</v>
      </c>
      <c r="D11" t="s">
        <v>58</v>
      </c>
      <c r="E11" t="s">
        <v>18</v>
      </c>
      <c r="F11">
        <v>60</v>
      </c>
      <c r="G11" s="7">
        <v>576</v>
      </c>
      <c r="H11" t="s">
        <v>59</v>
      </c>
    </row>
    <row r="12" spans="2:10" ht="15" customHeight="1" x14ac:dyDescent="0.35">
      <c r="B12">
        <v>1008</v>
      </c>
      <c r="C12" t="s">
        <v>70</v>
      </c>
      <c r="D12" t="s">
        <v>61</v>
      </c>
      <c r="E12" t="s">
        <v>18</v>
      </c>
      <c r="F12">
        <v>22</v>
      </c>
      <c r="G12" s="7">
        <v>211.2</v>
      </c>
      <c r="H12" t="s">
        <v>62</v>
      </c>
    </row>
    <row r="13" spans="2:10" ht="15" customHeight="1" x14ac:dyDescent="0.35">
      <c r="B13">
        <v>1009</v>
      </c>
      <c r="C13" t="s">
        <v>71</v>
      </c>
      <c r="D13" t="s">
        <v>64</v>
      </c>
      <c r="E13" t="s">
        <v>21</v>
      </c>
      <c r="F13">
        <v>75</v>
      </c>
      <c r="G13" s="7">
        <v>510</v>
      </c>
      <c r="H13" t="s">
        <v>59</v>
      </c>
    </row>
    <row r="14" spans="2:10" ht="15" customHeight="1" x14ac:dyDescent="0.35">
      <c r="B14">
        <v>1010</v>
      </c>
      <c r="C14" t="s">
        <v>72</v>
      </c>
      <c r="D14" t="s">
        <v>58</v>
      </c>
      <c r="E14" t="s">
        <v>26</v>
      </c>
      <c r="F14">
        <v>8</v>
      </c>
      <c r="G14" s="7">
        <v>156</v>
      </c>
      <c r="H14" t="s">
        <v>62</v>
      </c>
    </row>
    <row r="15" spans="2:10" ht="15" customHeight="1" x14ac:dyDescent="0.35">
      <c r="B15">
        <v>1011</v>
      </c>
      <c r="C15" t="s">
        <v>73</v>
      </c>
      <c r="D15" t="s">
        <v>61</v>
      </c>
      <c r="E15" t="s">
        <v>28</v>
      </c>
      <c r="F15">
        <v>35</v>
      </c>
      <c r="G15" s="7">
        <v>910</v>
      </c>
      <c r="H15" t="s">
        <v>62</v>
      </c>
    </row>
    <row r="16" spans="2:10" ht="15" customHeight="1" x14ac:dyDescent="0.35">
      <c r="B16">
        <v>1012</v>
      </c>
      <c r="C16" t="s">
        <v>74</v>
      </c>
      <c r="D16" t="s">
        <v>64</v>
      </c>
      <c r="E16" t="s">
        <v>18</v>
      </c>
      <c r="F16">
        <v>120</v>
      </c>
      <c r="G16" s="7">
        <v>1152</v>
      </c>
      <c r="H16" t="s">
        <v>59</v>
      </c>
    </row>
    <row r="17" spans="2:8" ht="15" customHeight="1" x14ac:dyDescent="0.35">
      <c r="B17">
        <v>1013</v>
      </c>
      <c r="C17" t="s">
        <v>75</v>
      </c>
      <c r="D17" t="s">
        <v>68</v>
      </c>
      <c r="E17" t="s">
        <v>31</v>
      </c>
      <c r="F17">
        <v>90</v>
      </c>
      <c r="G17" s="7">
        <v>414</v>
      </c>
      <c r="H17" t="s">
        <v>59</v>
      </c>
    </row>
    <row r="18" spans="2:8" ht="15" customHeight="1" x14ac:dyDescent="0.35">
      <c r="B18">
        <v>1014</v>
      </c>
      <c r="C18" t="s">
        <v>76</v>
      </c>
      <c r="D18" t="s">
        <v>58</v>
      </c>
      <c r="E18" t="s">
        <v>21</v>
      </c>
      <c r="F18">
        <v>50</v>
      </c>
      <c r="G18" s="7">
        <v>340</v>
      </c>
      <c r="H18" t="s">
        <v>59</v>
      </c>
    </row>
    <row r="19" spans="2:8" ht="15" customHeight="1" x14ac:dyDescent="0.35">
      <c r="B19">
        <v>1015</v>
      </c>
      <c r="C19" t="s">
        <v>77</v>
      </c>
      <c r="D19" t="s">
        <v>61</v>
      </c>
      <c r="E19" t="s">
        <v>18</v>
      </c>
      <c r="F19">
        <v>85</v>
      </c>
      <c r="G19" s="7">
        <v>816</v>
      </c>
      <c r="H19" t="s">
        <v>59</v>
      </c>
    </row>
    <row r="20" spans="2:8" ht="15" customHeight="1" x14ac:dyDescent="0.35">
      <c r="B20">
        <v>1016</v>
      </c>
      <c r="C20" t="s">
        <v>78</v>
      </c>
      <c r="D20" t="s">
        <v>58</v>
      </c>
      <c r="E20" t="s">
        <v>24</v>
      </c>
      <c r="F20">
        <v>150</v>
      </c>
      <c r="G20" s="7">
        <v>435</v>
      </c>
      <c r="H20" t="s">
        <v>62</v>
      </c>
    </row>
    <row r="21" spans="2:8" ht="15" customHeight="1" x14ac:dyDescent="0.35">
      <c r="B21">
        <v>1017</v>
      </c>
      <c r="C21" t="s">
        <v>79</v>
      </c>
      <c r="D21" t="s">
        <v>61</v>
      </c>
      <c r="E21" t="s">
        <v>26</v>
      </c>
      <c r="F21">
        <v>6</v>
      </c>
      <c r="G21" s="7">
        <v>117</v>
      </c>
      <c r="H21" t="s">
        <v>62</v>
      </c>
    </row>
    <row r="22" spans="2:8" ht="15" customHeight="1" x14ac:dyDescent="0.35">
      <c r="B22">
        <v>1018</v>
      </c>
      <c r="C22" t="s">
        <v>80</v>
      </c>
      <c r="D22" t="s">
        <v>64</v>
      </c>
      <c r="E22" t="s">
        <v>24</v>
      </c>
      <c r="F22">
        <v>300</v>
      </c>
      <c r="G22" s="7">
        <v>870</v>
      </c>
      <c r="H22" t="s">
        <v>59</v>
      </c>
    </row>
    <row r="23" spans="2:8" ht="15" customHeight="1" x14ac:dyDescent="0.35">
      <c r="B23">
        <v>1019</v>
      </c>
      <c r="C23" t="s">
        <v>81</v>
      </c>
      <c r="D23" t="s">
        <v>58</v>
      </c>
      <c r="E23" t="s">
        <v>28</v>
      </c>
      <c r="F23">
        <v>18</v>
      </c>
      <c r="G23" s="7">
        <v>468</v>
      </c>
      <c r="H23" t="s">
        <v>59</v>
      </c>
    </row>
    <row r="24" spans="2:8" ht="15" customHeight="1" x14ac:dyDescent="0.35">
      <c r="B24">
        <v>1020</v>
      </c>
      <c r="C24" t="s">
        <v>82</v>
      </c>
      <c r="D24" t="s">
        <v>61</v>
      </c>
      <c r="E24" t="s">
        <v>18</v>
      </c>
      <c r="F24">
        <v>45</v>
      </c>
      <c r="G24" s="7">
        <v>432</v>
      </c>
      <c r="H24" t="s">
        <v>62</v>
      </c>
    </row>
    <row r="25" spans="2:8" ht="15" customHeight="1" x14ac:dyDescent="0.35">
      <c r="B25">
        <v>1021</v>
      </c>
      <c r="C25" t="s">
        <v>83</v>
      </c>
      <c r="D25" t="s">
        <v>68</v>
      </c>
      <c r="E25" t="s">
        <v>21</v>
      </c>
      <c r="F25">
        <v>36</v>
      </c>
      <c r="G25" s="7">
        <v>244.8</v>
      </c>
      <c r="H25" t="s">
        <v>62</v>
      </c>
    </row>
    <row r="26" spans="2:8" ht="15" customHeight="1" x14ac:dyDescent="0.35">
      <c r="B26">
        <v>1022</v>
      </c>
      <c r="C26" t="s">
        <v>84</v>
      </c>
      <c r="D26" t="s">
        <v>58</v>
      </c>
      <c r="E26" t="s">
        <v>18</v>
      </c>
      <c r="F26">
        <v>28</v>
      </c>
      <c r="G26" s="7">
        <v>268.8</v>
      </c>
      <c r="H26" t="s">
        <v>59</v>
      </c>
    </row>
    <row r="27" spans="2:8" ht="15" customHeight="1" x14ac:dyDescent="0.35">
      <c r="B27">
        <v>1023</v>
      </c>
      <c r="C27" t="s">
        <v>85</v>
      </c>
      <c r="D27" t="s">
        <v>61</v>
      </c>
      <c r="E27" t="s">
        <v>31</v>
      </c>
      <c r="F27">
        <v>55</v>
      </c>
      <c r="G27" s="7">
        <v>253</v>
      </c>
      <c r="H27" t="s">
        <v>62</v>
      </c>
    </row>
    <row r="28" spans="2:8" ht="15" customHeight="1" x14ac:dyDescent="0.35">
      <c r="B28">
        <v>1024</v>
      </c>
      <c r="C28" t="s">
        <v>86</v>
      </c>
      <c r="D28" t="s">
        <v>64</v>
      </c>
      <c r="E28" t="s">
        <v>26</v>
      </c>
      <c r="F28">
        <v>20</v>
      </c>
      <c r="G28" s="7">
        <v>390</v>
      </c>
      <c r="H28" t="s">
        <v>59</v>
      </c>
    </row>
    <row r="29" spans="2:8" ht="15" customHeight="1" x14ac:dyDescent="0.35">
      <c r="B29">
        <v>1025</v>
      </c>
      <c r="C29" t="s">
        <v>87</v>
      </c>
      <c r="D29" t="s">
        <v>58</v>
      </c>
      <c r="E29" t="s">
        <v>31</v>
      </c>
      <c r="F29">
        <v>60</v>
      </c>
      <c r="G29" s="7">
        <v>276</v>
      </c>
      <c r="H29" t="s">
        <v>62</v>
      </c>
    </row>
    <row r="30" spans="2:8" ht="15" customHeight="1" x14ac:dyDescent="0.35">
      <c r="B30">
        <v>1026</v>
      </c>
      <c r="C30" t="s">
        <v>88</v>
      </c>
      <c r="D30" t="s">
        <v>61</v>
      </c>
      <c r="E30" t="s">
        <v>21</v>
      </c>
      <c r="F30">
        <v>15</v>
      </c>
      <c r="G30" s="7">
        <v>102</v>
      </c>
      <c r="H30" t="s">
        <v>62</v>
      </c>
    </row>
    <row r="31" spans="2:8" ht="15" customHeight="1" x14ac:dyDescent="0.35">
      <c r="B31">
        <v>1027</v>
      </c>
      <c r="C31" t="s">
        <v>89</v>
      </c>
      <c r="D31" t="s">
        <v>68</v>
      </c>
      <c r="E31" t="s">
        <v>28</v>
      </c>
      <c r="F31">
        <v>10</v>
      </c>
      <c r="G31" s="7">
        <v>260</v>
      </c>
      <c r="H31" t="s">
        <v>59</v>
      </c>
    </row>
    <row r="32" spans="2:8" ht="15" customHeight="1" x14ac:dyDescent="0.35">
      <c r="B32">
        <v>1028</v>
      </c>
      <c r="C32" t="s">
        <v>90</v>
      </c>
      <c r="D32" t="s">
        <v>58</v>
      </c>
      <c r="E32" t="s">
        <v>18</v>
      </c>
      <c r="F32">
        <v>95</v>
      </c>
      <c r="G32" s="7">
        <v>912</v>
      </c>
      <c r="H32" t="s">
        <v>59</v>
      </c>
    </row>
    <row r="36" spans="2:6" ht="15" customHeight="1" x14ac:dyDescent="0.35">
      <c r="B36" s="11" t="s">
        <v>91</v>
      </c>
      <c r="F36" s="13">
        <f>COUNTIFS(Ord_OrgType,"Club",Ord_Product,"Custom Tee")</f>
        <v>4</v>
      </c>
    </row>
    <row r="38" spans="2:6" ht="15" customHeight="1" x14ac:dyDescent="0.35">
      <c r="B38" s="11" t="s">
        <v>92</v>
      </c>
      <c r="F38" s="14">
        <f>SUMIFS(Ord_Revenue,Ord_OrgType,"Greek")</f>
        <v>4516.6000000000004</v>
      </c>
    </row>
    <row r="40" spans="2:6" ht="15" customHeight="1" x14ac:dyDescent="0.35">
      <c r="B40" s="11" t="s">
        <v>93</v>
      </c>
      <c r="F40" s="14">
        <f>SUMIFS(Ord_Revenue,Ord_Product,"3x5 Flag",Ord_Payment,"Invoice")</f>
        <v>624</v>
      </c>
    </row>
    <row r="42" spans="2:6" ht="15" customHeight="1" x14ac:dyDescent="0.35">
      <c r="B42" s="11" t="s">
        <v>94</v>
      </c>
    </row>
    <row r="43" spans="2:6" ht="15" customHeight="1" x14ac:dyDescent="0.35">
      <c r="B43" t="s">
        <v>95</v>
      </c>
      <c r="C43" s="3">
        <v>25</v>
      </c>
      <c r="F43" s="15">
        <f>AVERAGEIFS(Ord_Qty,Ord_Product,"Custom Tee",Ord_Qty,"&gt;="&amp;QtyThreshold)</f>
        <v>63.875</v>
      </c>
    </row>
    <row r="45" spans="2:6" ht="15" customHeight="1" x14ac:dyDescent="0.35">
      <c r="B45" s="11" t="s">
        <v>96</v>
      </c>
      <c r="F45">
        <f>COUNTIFS(Ord_OrgType,"Greek",Ord_Payment,"Invoice")</f>
        <v>7</v>
      </c>
    </row>
    <row r="48" spans="2:6" ht="15" customHeight="1" x14ac:dyDescent="0.35">
      <c r="B48" s="11" t="s">
        <v>97</v>
      </c>
    </row>
    <row r="49" spans="2:6" ht="15" customHeight="1" x14ac:dyDescent="0.35">
      <c r="B49" t="s">
        <v>98</v>
      </c>
      <c r="C49" s="3">
        <v>60</v>
      </c>
      <c r="D49" s="3">
        <v>90</v>
      </c>
      <c r="E49" s="3">
        <v>120</v>
      </c>
    </row>
    <row r="50" spans="2:6" ht="15" customHeight="1" x14ac:dyDescent="0.35">
      <c r="B50" t="s">
        <v>99</v>
      </c>
      <c r="C50" s="16">
        <v>0.25</v>
      </c>
      <c r="D50" s="16">
        <v>0.45</v>
      </c>
      <c r="E50" s="16">
        <v>0.3</v>
      </c>
    </row>
    <row r="51" spans="2:6" ht="15" customHeight="1" x14ac:dyDescent="0.35">
      <c r="B51" t="s">
        <v>100</v>
      </c>
      <c r="F51" s="17">
        <f>SUM(C50:E50)</f>
        <v>1</v>
      </c>
    </row>
    <row r="52" spans="2:6" ht="15" customHeight="1" x14ac:dyDescent="0.35">
      <c r="B52" t="s">
        <v>101</v>
      </c>
      <c r="F52" s="18">
        <f>SUMPRODUCT(C49:E49,C50:E50)</f>
        <v>91.5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9"/>
  <sheetViews>
    <sheetView showGridLines="0" zoomScaleNormal="100" workbookViewId="0"/>
  </sheetViews>
  <sheetFormatPr defaultColWidth="8.81640625" defaultRowHeight="14.5" x14ac:dyDescent="0.35"/>
  <cols>
    <col min="1" max="1" width="2.453125" customWidth="1"/>
    <col min="2" max="2" width="34" customWidth="1"/>
    <col min="3" max="3" width="16" customWidth="1"/>
    <col min="4" max="5" width="14" customWidth="1"/>
    <col min="6" max="6" width="11" customWidth="1"/>
  </cols>
  <sheetData>
    <row r="2" spans="2:8" ht="18.75" customHeight="1" x14ac:dyDescent="0.45">
      <c r="B2" s="1" t="s">
        <v>102</v>
      </c>
    </row>
    <row r="5" spans="2:8" ht="15" customHeight="1" x14ac:dyDescent="0.35">
      <c r="D5" s="19" t="s">
        <v>12</v>
      </c>
      <c r="E5" s="19" t="s">
        <v>13</v>
      </c>
      <c r="F5" s="19" t="s">
        <v>103</v>
      </c>
      <c r="G5" t="s">
        <v>104</v>
      </c>
      <c r="H5" t="s">
        <v>105</v>
      </c>
    </row>
    <row r="6" spans="2:8" ht="15" customHeight="1" x14ac:dyDescent="0.35">
      <c r="D6" s="8" t="s">
        <v>17</v>
      </c>
      <c r="E6" s="8" t="s">
        <v>18</v>
      </c>
      <c r="F6" s="5">
        <v>20</v>
      </c>
      <c r="G6">
        <v>34</v>
      </c>
    </row>
    <row r="7" spans="2:8" ht="15" customHeight="1" x14ac:dyDescent="0.35">
      <c r="D7" s="8" t="s">
        <v>20</v>
      </c>
      <c r="E7" s="8" t="s">
        <v>21</v>
      </c>
      <c r="F7" s="5">
        <v>15</v>
      </c>
      <c r="G7">
        <v>18</v>
      </c>
    </row>
    <row r="8" spans="2:8" ht="15" customHeight="1" x14ac:dyDescent="0.35">
      <c r="D8" s="8" t="s">
        <v>23</v>
      </c>
      <c r="E8" s="8" t="s">
        <v>24</v>
      </c>
      <c r="F8" s="5">
        <v>40</v>
      </c>
      <c r="G8">
        <v>60</v>
      </c>
    </row>
    <row r="9" spans="2:8" ht="15" customHeight="1" x14ac:dyDescent="0.35">
      <c r="D9" s="8" t="s">
        <v>25</v>
      </c>
      <c r="E9" s="8" t="s">
        <v>26</v>
      </c>
      <c r="F9" s="5">
        <v>10</v>
      </c>
      <c r="G9">
        <v>7</v>
      </c>
    </row>
    <row r="10" spans="2:8" ht="15" customHeight="1" x14ac:dyDescent="0.35">
      <c r="D10" s="8" t="s">
        <v>27</v>
      </c>
      <c r="E10" s="8" t="s">
        <v>28</v>
      </c>
      <c r="F10" s="5">
        <v>10</v>
      </c>
      <c r="G10">
        <v>12</v>
      </c>
    </row>
    <row r="11" spans="2:8" ht="15" customHeight="1" x14ac:dyDescent="0.35">
      <c r="D11" s="8" t="s">
        <v>30</v>
      </c>
      <c r="E11" s="8" t="s">
        <v>31</v>
      </c>
      <c r="F11" s="5">
        <v>20</v>
      </c>
      <c r="G11">
        <v>25</v>
      </c>
    </row>
    <row r="12" spans="2:8" ht="15" customHeight="1" x14ac:dyDescent="0.35">
      <c r="D12" t="s">
        <v>106</v>
      </c>
      <c r="E12" t="s">
        <v>107</v>
      </c>
      <c r="F12">
        <v>12</v>
      </c>
      <c r="G12">
        <v>15</v>
      </c>
    </row>
    <row r="14" spans="2:8" ht="15" customHeight="1" x14ac:dyDescent="0.35">
      <c r="B14" s="2" t="s">
        <v>108</v>
      </c>
    </row>
    <row r="15" spans="2:8" ht="15" customHeight="1" x14ac:dyDescent="0.35">
      <c r="B15" t="s">
        <v>19</v>
      </c>
      <c r="C15" s="3" t="s">
        <v>25</v>
      </c>
    </row>
    <row r="16" spans="2:8" ht="15" customHeight="1" x14ac:dyDescent="0.35">
      <c r="B16" t="s">
        <v>109</v>
      </c>
      <c r="C16">
        <f>VLOOKUP($C$15,tab_Restock[#All],3,FALSE())</f>
        <v>10</v>
      </c>
    </row>
    <row r="17" spans="2:8" ht="15" customHeight="1" x14ac:dyDescent="0.35">
      <c r="B17" t="s">
        <v>110</v>
      </c>
      <c r="C17">
        <f>_xlfn.XLOOKUP($C$15,tab_Restock[SKU],tab_Restock[On hand])</f>
        <v>7</v>
      </c>
    </row>
    <row r="18" spans="2:8" ht="15" customHeight="1" x14ac:dyDescent="0.35">
      <c r="B18" t="s">
        <v>111</v>
      </c>
      <c r="C18">
        <f>VLOOKUP($C$15,$D$6:$G$11,3,FALSE())</f>
        <v>10</v>
      </c>
    </row>
    <row r="20" spans="2:8" ht="15" customHeight="1" x14ac:dyDescent="0.35">
      <c r="B20" s="10" t="s">
        <v>112</v>
      </c>
    </row>
    <row r="21" spans="2:8" ht="15" customHeight="1" x14ac:dyDescent="0.35">
      <c r="B21" s="10" t="s">
        <v>113</v>
      </c>
    </row>
    <row r="23" spans="2:8" ht="15" customHeight="1" x14ac:dyDescent="0.35">
      <c r="B23" s="20" t="s">
        <v>114</v>
      </c>
    </row>
    <row r="24" spans="2:8" ht="15" customHeight="1" x14ac:dyDescent="0.35">
      <c r="B24" s="29" t="s">
        <v>115</v>
      </c>
      <c r="C24" s="24"/>
      <c r="D24" s="24"/>
      <c r="E24" s="24"/>
      <c r="F24" s="24"/>
      <c r="G24" s="24"/>
      <c r="H24" s="25"/>
    </row>
    <row r="25" spans="2:8" ht="15" customHeight="1" x14ac:dyDescent="0.35">
      <c r="B25" s="26"/>
      <c r="C25" s="27"/>
      <c r="D25" s="27"/>
      <c r="E25" s="27"/>
      <c r="F25" s="27"/>
      <c r="G25" s="27"/>
      <c r="H25" s="28"/>
    </row>
    <row r="26" spans="2:8" ht="15" customHeight="1" x14ac:dyDescent="0.35">
      <c r="B26" s="20" t="s">
        <v>116</v>
      </c>
    </row>
    <row r="27" spans="2:8" ht="15" customHeight="1" x14ac:dyDescent="0.35">
      <c r="B27" s="29" t="s">
        <v>117</v>
      </c>
      <c r="C27" s="24"/>
      <c r="D27" s="24"/>
      <c r="E27" s="24"/>
      <c r="F27" s="24"/>
      <c r="G27" s="24"/>
      <c r="H27" s="25"/>
    </row>
    <row r="28" spans="2:8" ht="15" customHeight="1" x14ac:dyDescent="0.35">
      <c r="B28" s="30"/>
      <c r="C28" s="31"/>
      <c r="D28" s="31"/>
      <c r="E28" s="31"/>
      <c r="F28" s="31"/>
      <c r="G28" s="31"/>
      <c r="H28" s="32"/>
    </row>
    <row r="29" spans="2:8" ht="15" customHeight="1" x14ac:dyDescent="0.35">
      <c r="B29" s="26"/>
      <c r="C29" s="27"/>
      <c r="D29" s="27"/>
      <c r="E29" s="27"/>
      <c r="F29" s="27"/>
      <c r="G29" s="27"/>
      <c r="H29" s="28"/>
    </row>
  </sheetData>
  <mergeCells count="2">
    <mergeCell ref="B24:H25"/>
    <mergeCell ref="B27:H29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tabSelected="1" zoomScaleNormal="100" workbookViewId="0">
      <selection activeCell="R12" sqref="R12"/>
    </sheetView>
  </sheetViews>
  <sheetFormatPr defaultColWidth="8.6328125" defaultRowHeight="14.5" x14ac:dyDescent="0.35"/>
  <cols>
    <col min="1" max="1" width="2" customWidth="1"/>
    <col min="2" max="2" width="18" customWidth="1"/>
    <col min="3" max="3" width="8" customWidth="1"/>
    <col min="4" max="4" width="11" customWidth="1"/>
    <col min="5" max="5" width="12" customWidth="1"/>
    <col min="6" max="6" width="2" customWidth="1"/>
    <col min="8" max="8" width="10" customWidth="1"/>
    <col min="9" max="9" width="11" customWidth="1"/>
    <col min="10" max="10" width="2" customWidth="1"/>
    <col min="11" max="11" width="10" customWidth="1"/>
    <col min="12" max="12" width="11" customWidth="1"/>
  </cols>
  <sheetData>
    <row r="1" spans="2:18" ht="16.149999999999999" customHeight="1" x14ac:dyDescent="0.4">
      <c r="B1" s="21" t="s">
        <v>118</v>
      </c>
    </row>
    <row r="3" spans="2:18" ht="15" customHeight="1" x14ac:dyDescent="0.35">
      <c r="B3" s="2" t="s">
        <v>119</v>
      </c>
      <c r="H3" s="2" t="s">
        <v>120</v>
      </c>
      <c r="K3" s="2" t="s">
        <v>121</v>
      </c>
    </row>
    <row r="4" spans="2:18" ht="15" customHeight="1" x14ac:dyDescent="0.35">
      <c r="B4" s="2" t="s">
        <v>51</v>
      </c>
      <c r="C4" s="2" t="s">
        <v>53</v>
      </c>
      <c r="D4" s="2" t="s">
        <v>122</v>
      </c>
      <c r="E4" s="2" t="s">
        <v>123</v>
      </c>
      <c r="H4" s="2" t="s">
        <v>4</v>
      </c>
      <c r="I4" s="2" t="s">
        <v>5</v>
      </c>
      <c r="K4" s="2" t="s">
        <v>4</v>
      </c>
      <c r="L4" s="2" t="s">
        <v>5</v>
      </c>
    </row>
    <row r="5" spans="2:18" ht="15" customHeight="1" x14ac:dyDescent="0.35">
      <c r="B5" t="s">
        <v>57</v>
      </c>
      <c r="C5" s="22">
        <v>48</v>
      </c>
      <c r="D5" s="7">
        <f t="shared" ref="D5:D12" si="0">VLOOKUP(C5,$H$5:$I$9,2,TRUE())</f>
        <v>8.4</v>
      </c>
      <c r="E5" s="7">
        <f t="shared" ref="E5:E12" si="1">C5*D5</f>
        <v>403.20000000000005</v>
      </c>
      <c r="H5" s="22">
        <v>1</v>
      </c>
      <c r="I5" s="7">
        <v>9.6</v>
      </c>
      <c r="K5" s="22">
        <v>1</v>
      </c>
      <c r="L5" s="7">
        <v>9.6</v>
      </c>
    </row>
    <row r="6" spans="2:18" ht="15" customHeight="1" x14ac:dyDescent="0.35">
      <c r="B6" t="s">
        <v>60</v>
      </c>
      <c r="C6" s="22">
        <v>30</v>
      </c>
      <c r="D6" s="7">
        <f t="shared" si="0"/>
        <v>8.4</v>
      </c>
      <c r="E6" s="7">
        <f t="shared" si="1"/>
        <v>252</v>
      </c>
      <c r="H6" s="22">
        <v>25</v>
      </c>
      <c r="I6" s="7">
        <v>8.4</v>
      </c>
      <c r="K6" s="22">
        <v>25</v>
      </c>
      <c r="L6" s="7">
        <v>8.4</v>
      </c>
    </row>
    <row r="7" spans="2:18" ht="15" customHeight="1" x14ac:dyDescent="0.35">
      <c r="B7" t="s">
        <v>65</v>
      </c>
      <c r="C7" s="22">
        <v>140</v>
      </c>
      <c r="D7" s="7">
        <f t="shared" si="0"/>
        <v>6.3</v>
      </c>
      <c r="E7" s="7">
        <f t="shared" si="1"/>
        <v>882</v>
      </c>
      <c r="H7" s="22">
        <v>50</v>
      </c>
      <c r="I7" s="7">
        <v>7.35</v>
      </c>
      <c r="K7" s="22">
        <v>50</v>
      </c>
      <c r="L7" s="7">
        <v>7.35</v>
      </c>
    </row>
    <row r="8" spans="2:18" ht="15" customHeight="1" x14ac:dyDescent="0.35">
      <c r="B8" t="s">
        <v>66</v>
      </c>
      <c r="C8" s="22">
        <v>20</v>
      </c>
      <c r="D8" s="7">
        <f t="shared" si="0"/>
        <v>9.6</v>
      </c>
      <c r="E8" s="7">
        <f t="shared" si="1"/>
        <v>192</v>
      </c>
      <c r="H8" s="22">
        <v>100</v>
      </c>
      <c r="I8" s="7">
        <v>6.3</v>
      </c>
      <c r="K8" s="22">
        <v>100</v>
      </c>
      <c r="L8" s="7">
        <v>6.3</v>
      </c>
    </row>
    <row r="9" spans="2:18" ht="15" customHeight="1" x14ac:dyDescent="0.35">
      <c r="B9" t="s">
        <v>69</v>
      </c>
      <c r="C9" s="22">
        <v>60</v>
      </c>
      <c r="D9" s="7">
        <f t="shared" si="0"/>
        <v>7.35</v>
      </c>
      <c r="E9" s="7">
        <f t="shared" si="1"/>
        <v>441</v>
      </c>
      <c r="H9" s="22">
        <v>250</v>
      </c>
      <c r="I9" s="7">
        <v>5.4</v>
      </c>
      <c r="K9" s="22">
        <v>250</v>
      </c>
      <c r="L9" s="7">
        <v>5.4</v>
      </c>
    </row>
    <row r="10" spans="2:18" ht="15" customHeight="1" x14ac:dyDescent="0.35">
      <c r="B10" t="s">
        <v>73</v>
      </c>
      <c r="C10" s="22">
        <v>260</v>
      </c>
      <c r="D10" s="7">
        <f t="shared" si="0"/>
        <v>5.4</v>
      </c>
      <c r="E10" s="7">
        <f t="shared" si="1"/>
        <v>1404</v>
      </c>
    </row>
    <row r="11" spans="2:18" ht="15" customHeight="1" x14ac:dyDescent="0.35">
      <c r="B11" t="s">
        <v>82</v>
      </c>
      <c r="C11" s="22">
        <v>45</v>
      </c>
      <c r="D11" s="7">
        <f t="shared" si="0"/>
        <v>8.4</v>
      </c>
      <c r="E11" s="7">
        <f t="shared" si="1"/>
        <v>378</v>
      </c>
    </row>
    <row r="12" spans="2:18" ht="15" customHeight="1" x14ac:dyDescent="0.35">
      <c r="B12" t="s">
        <v>90</v>
      </c>
      <c r="C12" s="22">
        <v>95</v>
      </c>
      <c r="D12" s="7">
        <f t="shared" si="0"/>
        <v>7.35</v>
      </c>
      <c r="E12" s="7">
        <f t="shared" si="1"/>
        <v>698.25</v>
      </c>
      <c r="R12" t="s">
        <v>136</v>
      </c>
    </row>
    <row r="13" spans="2:18" ht="15" customHeight="1" x14ac:dyDescent="0.35">
      <c r="B13" s="2" t="s">
        <v>124</v>
      </c>
      <c r="E13" s="7">
        <f>SUM(E5:E12)</f>
        <v>4650.45</v>
      </c>
    </row>
    <row r="16" spans="2:18" ht="15" customHeight="1" x14ac:dyDescent="0.35">
      <c r="B16" s="2" t="s">
        <v>125</v>
      </c>
      <c r="G16" s="2" t="s">
        <v>11</v>
      </c>
    </row>
    <row r="17" spans="2:12" ht="15" customHeight="1" x14ac:dyDescent="0.35">
      <c r="B17" s="2" t="s">
        <v>12</v>
      </c>
      <c r="C17" s="2" t="s">
        <v>126</v>
      </c>
      <c r="G17" s="2" t="s">
        <v>12</v>
      </c>
      <c r="H17" s="2" t="s">
        <v>13</v>
      </c>
      <c r="I17" s="2" t="s">
        <v>14</v>
      </c>
      <c r="J17" s="2" t="s">
        <v>15</v>
      </c>
    </row>
    <row r="18" spans="2:12" ht="15" customHeight="1" x14ac:dyDescent="0.35">
      <c r="B18" t="s">
        <v>20</v>
      </c>
      <c r="C18" s="7">
        <f>VLOOKUP(B18,$G$18:$J$23,4,FALSE())</f>
        <v>6.8</v>
      </c>
      <c r="G18" t="s">
        <v>17</v>
      </c>
      <c r="H18" t="s">
        <v>18</v>
      </c>
      <c r="I18" s="7">
        <v>5.9</v>
      </c>
      <c r="J18" s="7">
        <v>9.6</v>
      </c>
    </row>
    <row r="19" spans="2:12" ht="15" customHeight="1" x14ac:dyDescent="0.35">
      <c r="B19" t="s">
        <v>25</v>
      </c>
      <c r="C19" s="7">
        <f>VLOOKUP(B19,$G$18:$J$23,4,FALSE())</f>
        <v>19.5</v>
      </c>
      <c r="G19" t="s">
        <v>20</v>
      </c>
      <c r="H19" t="s">
        <v>21</v>
      </c>
      <c r="I19" s="7">
        <v>4.0999999999999996</v>
      </c>
      <c r="J19" s="7">
        <v>6.8</v>
      </c>
    </row>
    <row r="20" spans="2:12" ht="15" customHeight="1" x14ac:dyDescent="0.35">
      <c r="B20" t="s">
        <v>27</v>
      </c>
      <c r="C20" s="7">
        <f>VLOOKUP(B20,$G$18:$J$23,4,FALSE())</f>
        <v>26</v>
      </c>
      <c r="G20" t="s">
        <v>23</v>
      </c>
      <c r="H20" t="s">
        <v>24</v>
      </c>
      <c r="I20" s="7">
        <v>1.6</v>
      </c>
      <c r="J20" s="7">
        <v>2.9</v>
      </c>
    </row>
    <row r="21" spans="2:12" ht="15" customHeight="1" x14ac:dyDescent="0.35">
      <c r="G21" t="s">
        <v>25</v>
      </c>
      <c r="H21" t="s">
        <v>26</v>
      </c>
      <c r="I21" s="7">
        <v>12.4</v>
      </c>
      <c r="J21" s="7">
        <v>19.5</v>
      </c>
    </row>
    <row r="22" spans="2:12" ht="15" customHeight="1" x14ac:dyDescent="0.35">
      <c r="G22" t="s">
        <v>27</v>
      </c>
      <c r="H22" t="s">
        <v>28</v>
      </c>
      <c r="I22" s="7">
        <v>17.5</v>
      </c>
      <c r="J22" s="7">
        <v>26</v>
      </c>
    </row>
    <row r="23" spans="2:12" ht="15" customHeight="1" x14ac:dyDescent="0.35">
      <c r="B23" s="2" t="s">
        <v>127</v>
      </c>
      <c r="G23" t="s">
        <v>30</v>
      </c>
      <c r="H23" t="s">
        <v>31</v>
      </c>
      <c r="I23" s="7">
        <v>2.7</v>
      </c>
      <c r="J23" s="7">
        <v>4.5999999999999996</v>
      </c>
    </row>
    <row r="24" spans="2:12" ht="15" customHeight="1" x14ac:dyDescent="0.35">
      <c r="B24" t="s">
        <v>53</v>
      </c>
      <c r="C24" s="22">
        <v>140</v>
      </c>
    </row>
    <row r="25" spans="2:12" ht="15" customHeight="1" x14ac:dyDescent="0.35">
      <c r="B25" t="s">
        <v>5</v>
      </c>
      <c r="C25" s="7">
        <f>VLOOKUP(C24,$K$5:$L$9,2,TRUE())</f>
        <v>6.3</v>
      </c>
    </row>
    <row r="26" spans="2:12" ht="15" customHeight="1" x14ac:dyDescent="0.35">
      <c r="B26" s="20" t="s">
        <v>128</v>
      </c>
    </row>
    <row r="27" spans="2:12" ht="15" customHeight="1" x14ac:dyDescent="0.35">
      <c r="B27" s="29" t="s">
        <v>129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2:12" ht="15" customHeight="1" x14ac:dyDescent="0.3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2:12" ht="15" customHeight="1" x14ac:dyDescent="0.35"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2:12" ht="15" customHeight="1" x14ac:dyDescent="0.35">
      <c r="B30" s="20" t="s">
        <v>130</v>
      </c>
    </row>
    <row r="31" spans="2:12" ht="15" customHeight="1" x14ac:dyDescent="0.35">
      <c r="B31" s="29" t="s">
        <v>131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2:12" ht="15" customHeight="1" x14ac:dyDescent="0.35"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2:12" ht="15" customHeight="1" x14ac:dyDescent="0.35"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2:12" ht="15" customHeight="1" x14ac:dyDescent="0.35">
      <c r="B34" s="20" t="s">
        <v>132</v>
      </c>
    </row>
    <row r="35" spans="2:12" ht="15" customHeight="1" x14ac:dyDescent="0.35">
      <c r="B35" s="29" t="s">
        <v>133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2:12" ht="15" customHeight="1" x14ac:dyDescent="0.35"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2:12" ht="15" customHeight="1" x14ac:dyDescent="0.35"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2:12" ht="15" customHeight="1" x14ac:dyDescent="0.35">
      <c r="B38" s="20" t="s">
        <v>134</v>
      </c>
    </row>
    <row r="39" spans="2:12" ht="15" customHeight="1" x14ac:dyDescent="0.35">
      <c r="B39" s="29" t="s">
        <v>135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2:12" ht="15" customHeight="1" x14ac:dyDescent="0.35"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2:12" ht="15" customHeight="1" x14ac:dyDescent="0.35"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8"/>
    </row>
  </sheetData>
  <mergeCells count="4">
    <mergeCell ref="B31:L33"/>
    <mergeCell ref="B39:L41"/>
    <mergeCell ref="B27:L29"/>
    <mergeCell ref="B35:L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Part I</vt:lpstr>
      <vt:lpstr>Part II</vt:lpstr>
      <vt:lpstr>Part III Data</vt:lpstr>
      <vt:lpstr>Part IV</vt:lpstr>
      <vt:lpstr>Part V</vt:lpstr>
      <vt:lpstr>CatalogFull</vt:lpstr>
      <vt:lpstr>CatalogListPrice</vt:lpstr>
      <vt:lpstr>CatalogProduct</vt:lpstr>
      <vt:lpstr>CatalogSKU</vt:lpstr>
      <vt:lpstr>ListPriceOut</vt:lpstr>
      <vt:lpstr>Ord_OrgType</vt:lpstr>
      <vt:lpstr>Ord_Payment</vt:lpstr>
      <vt:lpstr>Ord_Product</vt:lpstr>
      <vt:lpstr>Ord_Qty</vt:lpstr>
      <vt:lpstr>Ord_Revenue</vt:lpstr>
      <vt:lpstr>OrderQty</vt:lpstr>
      <vt:lpstr>OrderTotal</vt:lpstr>
      <vt:lpstr>PackageWeight</vt:lpstr>
      <vt:lpstr>ProductNameIn</vt:lpstr>
      <vt:lpstr>ProductNameOut</vt:lpstr>
      <vt:lpstr>QtyThreshold</vt:lpstr>
      <vt:lpstr>ShippingRate</vt:lpstr>
      <vt:lpstr>ShipTable</vt:lpstr>
      <vt:lpstr>ShipWeights</vt:lpstr>
      <vt:lpstr>ShipZones</vt:lpstr>
      <vt:lpstr>SkuOut</vt:lpstr>
      <vt:lpstr>SkuToLookup</vt:lpstr>
      <vt:lpstr>TierMinQty</vt:lpstr>
      <vt:lpstr>TierTable</vt:lpstr>
      <vt:lpstr>TierUnitPrice</vt:lpstr>
      <vt:lpstr>UnitPrice_Check</vt:lpstr>
      <vt:lpstr>UnitPrice_Lookup</vt:lpstr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2026-09-09T21:47:46Z</dcterms:created>
  <dcterms:modified xsi:type="dcterms:W3CDTF">2026-10-23T17:11:21Z</dcterms:modified>
  <dc:language>en-US</dc:language>
</cp:coreProperties>
</file>