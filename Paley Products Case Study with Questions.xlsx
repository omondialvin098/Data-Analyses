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A3B46878-7F86-41DA-A7B0-BF35BF6A1E72}" xr6:coauthVersionLast="47" xr6:coauthVersionMax="47" xr10:uidLastSave="{00000000-0000-0000-0000-000000000000}"/>
  <bookViews>
    <workbookView xWindow="-110" yWindow="-110" windowWidth="19420" windowHeight="11020" firstSheet="3" activeTab="4" xr2:uid="{00000000-000D-0000-FFFF-FFFF00000000}"/>
  </bookViews>
  <sheets>
    <sheet name="Income Statement" sheetId="1" r:id="rId1"/>
    <sheet name="Balance Sheet" sheetId="2" r:id="rId2"/>
    <sheet name="Statement of Cash Flows" sheetId="3" r:id="rId3"/>
    <sheet name="Ratio Comparisons &amp; Analysis" sheetId="4" r:id="rId4"/>
    <sheet name="Questions &amp; Analysis Commen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4" l="1"/>
  <c r="E16" i="4"/>
  <c r="F12" i="4"/>
  <c r="E12" i="4"/>
  <c r="F11" i="4"/>
  <c r="E11" i="4"/>
  <c r="F10" i="4"/>
  <c r="E10" i="4"/>
  <c r="D10" i="4"/>
  <c r="C10" i="4"/>
  <c r="D9" i="4"/>
  <c r="C9" i="4"/>
  <c r="D8" i="4"/>
  <c r="C8" i="4"/>
  <c r="C9" i="3"/>
  <c r="D9" i="3" s="1"/>
  <c r="B9" i="3"/>
  <c r="D8" i="3"/>
  <c r="C5" i="3"/>
  <c r="B5" i="3"/>
  <c r="B6" i="3" s="1"/>
  <c r="B11" i="3" s="1"/>
  <c r="B13" i="3" s="1"/>
  <c r="C12" i="3" s="1"/>
  <c r="D12" i="3" s="1"/>
  <c r="D4" i="3"/>
  <c r="C29" i="2"/>
  <c r="D29" i="2" s="1"/>
  <c r="B29" i="2"/>
  <c r="D28" i="2"/>
  <c r="D27" i="2"/>
  <c r="D21" i="2"/>
  <c r="C20" i="2"/>
  <c r="B20" i="2"/>
  <c r="B22" i="2" s="1"/>
  <c r="D19" i="2"/>
  <c r="D18" i="2"/>
  <c r="D17" i="2"/>
  <c r="C11" i="2"/>
  <c r="D11" i="2" s="1"/>
  <c r="B11" i="2"/>
  <c r="D10" i="2"/>
  <c r="D9" i="2"/>
  <c r="C8" i="2"/>
  <c r="B8" i="2"/>
  <c r="D7" i="2"/>
  <c r="D6" i="2"/>
  <c r="D5" i="2"/>
  <c r="C7" i="1"/>
  <c r="D7" i="1" s="1"/>
  <c r="B7" i="1"/>
  <c r="C6" i="1"/>
  <c r="B6" i="1"/>
  <c r="D5" i="1"/>
  <c r="D4" i="1"/>
  <c r="C6" i="3" l="1"/>
  <c r="D5" i="3"/>
  <c r="D20" i="2"/>
  <c r="C22" i="2"/>
  <c r="B30" i="2"/>
  <c r="D16" i="4"/>
  <c r="C6" i="4"/>
  <c r="C12" i="2"/>
  <c r="C7" i="4"/>
  <c r="D8" i="2"/>
  <c r="D6" i="4"/>
  <c r="B12" i="2"/>
  <c r="D15" i="4" s="1"/>
  <c r="D7" i="4"/>
  <c r="C11" i="4"/>
  <c r="C8" i="1"/>
  <c r="D6" i="1"/>
  <c r="D11" i="4"/>
  <c r="B8" i="1"/>
  <c r="D6" i="3" l="1"/>
  <c r="C11" i="3"/>
  <c r="C15" i="4"/>
  <c r="C30" i="2"/>
  <c r="D30" i="2" s="1"/>
  <c r="C16" i="4"/>
  <c r="D22" i="2"/>
  <c r="D8" i="1"/>
  <c r="C12" i="4"/>
  <c r="C13" i="4"/>
  <c r="C14" i="4"/>
  <c r="D13" i="4"/>
  <c r="D14" i="4"/>
  <c r="D12" i="4"/>
  <c r="D12" i="2"/>
  <c r="C13" i="3" l="1"/>
  <c r="D13" i="3" s="1"/>
  <c r="D11" i="3"/>
</calcChain>
</file>

<file path=xl/sharedStrings.xml><?xml version="1.0" encoding="utf-8"?>
<sst xmlns="http://schemas.openxmlformats.org/spreadsheetml/2006/main" count="88" uniqueCount="77">
  <si>
    <t>Actual 2016</t>
  </si>
  <si>
    <t>Forecast 2017</t>
  </si>
  <si>
    <t>YOY $ Variance</t>
  </si>
  <si>
    <t>Sales</t>
  </si>
  <si>
    <t>Less: Cost of Goods Sold</t>
  </si>
  <si>
    <t>Gross Margin</t>
  </si>
  <si>
    <t>Less: SG&amp;A Expenses</t>
  </si>
  <si>
    <t>Net Income</t>
  </si>
  <si>
    <t>Assets:</t>
  </si>
  <si>
    <t>Cash</t>
  </si>
  <si>
    <t>AR</t>
  </si>
  <si>
    <t>Inventory</t>
  </si>
  <si>
    <t xml:space="preserve">  Current Assets</t>
  </si>
  <si>
    <t>Gross Book Value - Fixed Assets</t>
  </si>
  <si>
    <t>Accumulated Depreciation</t>
  </si>
  <si>
    <t xml:space="preserve">  Net Book Value - Fixed Assets</t>
  </si>
  <si>
    <t xml:space="preserve">     Total Assets</t>
  </si>
  <si>
    <t>Liabilities:</t>
  </si>
  <si>
    <t>Notes Payable</t>
  </si>
  <si>
    <t>Accounts Payable</t>
  </si>
  <si>
    <t>Accruals</t>
  </si>
  <si>
    <t xml:space="preserve">  Current Liabilities</t>
  </si>
  <si>
    <t>Mortgage - LT</t>
  </si>
  <si>
    <t xml:space="preserve">  Total Liabilities</t>
  </si>
  <si>
    <t>Stockholders' Equity:</t>
  </si>
  <si>
    <t>Common Stock</t>
  </si>
  <si>
    <t>Retained Earnings</t>
  </si>
  <si>
    <t xml:space="preserve">  Total Stockholders' Equity</t>
  </si>
  <si>
    <t xml:space="preserve">     Total Liabilities &amp; Stockholders' Equity</t>
  </si>
  <si>
    <t xml:space="preserve">Net Income </t>
  </si>
  <si>
    <t>Add:  Sources of Funds (list individually)</t>
  </si>
  <si>
    <t xml:space="preserve">  Total Sources of Funds</t>
  </si>
  <si>
    <t>Less:  Uses of Funds (list individually)</t>
  </si>
  <si>
    <t xml:space="preserve">   Total Uses of Funds</t>
  </si>
  <si>
    <t xml:space="preserve"> Net Increase/(Decrease) in Cash</t>
  </si>
  <si>
    <t xml:space="preserve"> Plus: Beginning Cash Balance</t>
  </si>
  <si>
    <t xml:space="preserve"> Ending Cash Balance</t>
  </si>
  <si>
    <t>Paley Products</t>
  </si>
  <si>
    <t>Ratio Analysis</t>
  </si>
  <si>
    <t>Industry</t>
  </si>
  <si>
    <t>Ratio</t>
  </si>
  <si>
    <t>Average</t>
  </si>
  <si>
    <t>Analysis Comments</t>
  </si>
  <si>
    <t>Current Ratio = Current Assets/Current Liabilities</t>
  </si>
  <si>
    <t>Paley has experienced a significant decline in their current ratio YOY. Currently, they do not have enough current assets to cover their current liabilities. In comparison to their industry, they are lagging and this raises concerns about their liquidity.The forecast shows significant improvement if they can achieve it.</t>
  </si>
  <si>
    <t xml:space="preserve">Quick Ratio = </t>
  </si>
  <si>
    <t>Paley's quick ratio is forecast to rebound to 1.2 in 2017 from a low of 0.6 in 2016, moving back above the industry average of 1.0 for the first time since 2015. This means the company would once again have enough cash and receivables alone (without relying on inventory) to cover its current liabilities, which should ease the bank's liquidity concerns if the plan is achieved. Until then, the 2016 result (0.6) shows Paley was significantly short of liquid assets relative to peers.</t>
  </si>
  <si>
    <t>Inventory Turnover =</t>
  </si>
  <si>
    <t>Inventory turnover is projected to improve to 4.0x in 2017, up from a low of 2.8x in 2016, but it remains far below the industry average of 7.0x and below Paley's own 2014 level of 6.9x. Even with the planned improvement, Paley is still turning inventory roughly half as often as its competitors, meaning cash continues to sit in inventory longer than it should and working capital is being used inefficiently.</t>
  </si>
  <si>
    <t>DSO =</t>
  </si>
  <si>
    <t>Days sales outstanding is forecast to improve to 40 days in 2017 from 50 days in 2016, but this is still well above the industry average of 32 days and above Paley's 2014 level of 34 days. Slower collections tie up cash that could otherwise be used to pay down debt or fund operations, and the gap versus the industry suggests Paley's credit and collections practices remain looser than its peers'.</t>
  </si>
  <si>
    <t>DPO =</t>
  </si>
  <si>
    <t>NA</t>
  </si>
  <si>
    <t>DPO has risen sharply, from about 17 days in 2014 to 49 days in 2016, as Paley increasingly stretched payments to suppliers to help fund its growing inventory and receivables; the 2017 forecast of 47 days keeps DPO near this elevated level. No industry figure is available for comparison, but a DPO this much higher than DSO (40 days) signals reliance on supplier financing that could strain vendor relationships or cause Paley to lose early-payment discounts if it isn't managed carefully.</t>
  </si>
  <si>
    <t>Gross Profit Margin =</t>
  </si>
  <si>
    <t>Gross profit margin has held essentially flat at 20.0% every year from 2014 through the 2017 forecast, showing Paley has maintained its markup on goods sold despite rising input and labor costs. Because this ratio has not declined, it indicates that Paley's shrinking profitability over the years is coming from expenses below the gross profit line (G&amp;A, depreciation, and miscellaneous costs), not from pricing or production cost pressure itself.</t>
  </si>
  <si>
    <t>Net Profit Margin =</t>
  </si>
  <si>
    <t>Net profit margin is forecast to recover to about 2.2% in 2017 from a low of 1.8% in 2016, but it remains far below the roughly 4.5% margin management should be targeting to match industry norms (per the case's industry profit-margin benchmark) and well under Paley's own 5.0% margin in 2014. Operating expenses have grown faster than sales for several years, and even the improvement plan only partially closes that gap.</t>
  </si>
  <si>
    <t>Return on Assets =</t>
  </si>
  <si>
    <t>Return on assets is expected to improve to about 5.2% in 2017 from 3.6% in 2016, but this is still less than half the industry average of 11.7% and far below Paley's 2014 return of 15.8%. Total assets have roughly doubled since 2014 while profitability has not kept pace, meaning each dollar invested in the business is generating substantially less profit than it used to, or than a typical industry competitor.</t>
  </si>
  <si>
    <t>Return on Equity =</t>
  </si>
  <si>
    <t>Return on equity is forecast to rise to about 7.8% in 2017 from 7.0% in 2016, an improvement but still well short of the 23.4% industry average and Paley's own 20.0% return in 2014. Shareholders are earning a much lower return on their investment than industry peers, which could make it harder for Paley to attract additional equity capital if it needs it in the future.</t>
  </si>
  <si>
    <t>Debt Ratio =</t>
  </si>
  <si>
    <t>The debt ratio is projected to fall to about 33.8% in 2017 as bank debt is paid off, a sizable improvement from 48% in 2016 and back below the 50% industry average. This directly reflects the plan to use improved cash flow to retire the bank line of credit and would materially reduce Paley's financial risk if achieved.</t>
  </si>
  <si>
    <t>Debt/Equity Ratio =</t>
  </si>
  <si>
    <t>Debt-to-equity climbed steadily from about 0.3 in 2014 to 0.9 in 2016 as bank borrowing increased to fund growth, but is forecast to reverse to roughly 0.5 in 2017 if the bank debt is paid off as planned. This would bring leverage back closer to 2015 levels; achieving it, however, depends entirely on hitting the working-capital targets (DSO and inventory turnover) built into the improvement plan.</t>
  </si>
  <si>
    <t>Questions</t>
  </si>
  <si>
    <t>Comments/Analysis</t>
  </si>
  <si>
    <t>Will the company be able to pay off their debt?</t>
  </si>
  <si>
    <t>Yes, if Paley executes its 2017 improvement plan. The forecast shows enough cash generated from operations — mainly by shrinking inventory and accounts receivable rather than from profit growth alone — to fully retire the $286,000 in bank notes payable, fund $100,000 of capital expenditures, and still end the year with about $124,000 in cash (up from roughly $20,000). This outcome is not guaranteed, though: it requires Paley to simultaneously grow sales 3%, hold expenses flat, and reverse several years of deteriorating working capital performance (getting inventory turnover from 2.8x to 4.0x and DSO from 50 to 40 days) all in a single year.</t>
  </si>
  <si>
    <t>Is the company facing any problems or issues?</t>
  </si>
  <si>
    <t>Yes. The underlying issue is that working capital efficiency has steadily worsened since 2014 — inventory and receivables have grown much faster than sales — while operating expenses (G&amp;A, depreciation, and miscellaneous costs) have also outpaced revenue growth. Gross margin has stayed flat at 20%, so the profit decline is coming entirely from below the gross-profit line. This combination has forced Paley to rely on increasing amounts of bank debt and stretched payables to fund operations, which is what pushed the current ratio below the bank's 2.0 covenant and triggered the loan review.</t>
  </si>
  <si>
    <t>How does the company compare to their peers in their industry?</t>
  </si>
  <si>
    <t>Paley trails the computer component manufacturing industry on nearly every ratio in 2016: its current ratio (1.8) and quick ratio (0.6) are both well below the industry's 2.7 and 1.0; inventory turnover (2.8x) is less than half the industry's 7.0x; collections take longer (50 days vs. 32); and profitability is a fraction of peers' (ROA 3.6% vs. 11.7%; ROE 7.0% vs. 23.4%). The one exception is the debt ratio, where Paley (48%) is actually slightly below the industry average (50%), though this is a smaller consolation given how weak the liquidity and profitability metrics are by comparison. Even under the 2017 forecast, Paley closes some of the gap (current ratio near 2.7, gross margin at 20%) but likely still lags peers on turnover and profitability.</t>
  </si>
  <si>
    <t>Do you see any trends or areas of concern from your analysis of the company’s financials?</t>
  </si>
  <si>
    <t>The clear trend is steady deterioration across almost every category from 2014 to 2016: current ratio fell from 4.2 to 1.8, inventory turnover dropped from 6.9x to 2.8x, DSO rose from 34 to 50 days, and ROA fell from 15.8% to 3.6%, even as total assets and revenue grew. This pattern shows growth being funded by increasingly inefficient use of working capital (rising inventory and receivables) and by mounting bank debt rather than by improved profitability — exactly the dynamic that caused the loan covenant violation. The 2017 forecast shows meaningful improvement is achievable, but because it reverses several years of neglect in one year, it should be treated as an aggressive target that needs close monitoring rather than an assured outcome.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</si>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</sst>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0.0%"/>
  </numFmts>
  <fonts count="8" x14ac:knownFonts="1">
    <font>
      <sz val="11"/>
      <color theme="1"/>
      <name val="Calibri"/>
      <family val="2"/>
      <scheme val="minor"/>
    </font>
    <font>
      <sz val="14"/>
      <color theme="1"/>
      <name val="Arial"/>
      <family val="2"/>
    </font>
    <font>
      <b/>
      <sz val="14"/>
      <color theme="1"/>
      <name val="Arial"/>
      <family val="2"/>
    </font>
    <font>
      <sz val="12"/>
      <color theme="1"/>
      <name val="Arial"/>
      <family val="2"/>
    </font>
    <font>
      <b/>
      <sz val="12"/>
      <color theme="1"/>
      <name val="Arial"/>
      <family val="2"/>
    </font>
    <font>
      <sz val="11"/>
      <color theme="1"/>
      <name val="Arial"/>
      <family val="2"/>
    </font>
    <font>
      <b/>
      <sz val="11"/>
      <color theme="1"/>
      <name val="Arial"/>
      <family val="2"/>
    </font>
    <font>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top style="thin">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double">
        <color indexed="64"/>
      </bottom>
      <diagonal/>
    </border>
  </borders>
  <cellStyleXfs count="4">
    <xf numFmtId="0" fontId="0" fillId="0" borderId="0"/>
    <xf numFmtId="43" fontId="7" fillId="0" borderId="0"/>
    <xf numFmtId="44" fontId="7" fillId="0" borderId="0"/>
    <xf numFmtId="9" fontId="7" fillId="0" borderId="0"/>
  </cellStyleXfs>
  <cellXfs count="68">
    <xf numFmtId="0" fontId="0" fillId="0" borderId="0" xfId="0"/>
    <xf numFmtId="0" fontId="5" fillId="0" borderId="0" xfId="0" applyFont="1"/>
    <xf numFmtId="0" fontId="6" fillId="0" borderId="0" xfId="0" applyFont="1"/>
    <xf numFmtId="0" fontId="3" fillId="0" borderId="0" xfId="0" applyFont="1"/>
    <xf numFmtId="0" fontId="1" fillId="2" borderId="2" xfId="0" applyFont="1" applyFill="1" applyBorder="1"/>
    <xf numFmtId="0" fontId="2" fillId="2" borderId="5" xfId="0" applyFont="1" applyFill="1" applyBorder="1" applyAlignment="1">
      <alignment horizontal="center"/>
    </xf>
    <xf numFmtId="0" fontId="5" fillId="2" borderId="5" xfId="0" applyFont="1" applyFill="1" applyBorder="1"/>
    <xf numFmtId="0" fontId="5" fillId="0" borderId="10" xfId="0" applyFont="1" applyBorder="1"/>
    <xf numFmtId="0" fontId="5" fillId="0" borderId="11" xfId="0" applyFont="1" applyBorder="1"/>
    <xf numFmtId="0" fontId="5" fillId="0" borderId="3" xfId="0" applyFont="1" applyBorder="1"/>
    <xf numFmtId="0" fontId="5" fillId="0" borderId="4" xfId="0" applyFont="1" applyBorder="1"/>
    <xf numFmtId="0" fontId="5" fillId="0" borderId="6" xfId="0" applyFont="1" applyBorder="1"/>
    <xf numFmtId="0" fontId="5" fillId="2" borderId="8" xfId="0" applyFont="1" applyFill="1" applyBorder="1"/>
    <xf numFmtId="0" fontId="6" fillId="2" borderId="1" xfId="0" applyFont="1" applyFill="1" applyBorder="1" applyAlignment="1">
      <alignment horizontal="center"/>
    </xf>
    <xf numFmtId="0" fontId="6" fillId="2" borderId="9" xfId="0" applyFont="1" applyFill="1" applyBorder="1" applyAlignment="1">
      <alignment horizontal="center"/>
    </xf>
    <xf numFmtId="164" fontId="5" fillId="0" borderId="7" xfId="1" applyNumberFormat="1" applyFont="1" applyBorder="1"/>
    <xf numFmtId="164" fontId="5" fillId="0" borderId="14" xfId="1" applyNumberFormat="1" applyFont="1" applyBorder="1"/>
    <xf numFmtId="165" fontId="5" fillId="0" borderId="7" xfId="2" applyNumberFormat="1" applyFont="1" applyBorder="1"/>
    <xf numFmtId="165" fontId="5" fillId="0" borderId="15" xfId="2" applyNumberFormat="1" applyFont="1" applyBorder="1"/>
    <xf numFmtId="164" fontId="5" fillId="0" borderId="16" xfId="1" applyNumberFormat="1" applyFont="1" applyBorder="1"/>
    <xf numFmtId="164" fontId="5" fillId="0" borderId="0" xfId="1" applyNumberFormat="1" applyFont="1"/>
    <xf numFmtId="164" fontId="6" fillId="2" borderId="8" xfId="1" applyNumberFormat="1" applyFont="1" applyFill="1" applyBorder="1" applyAlignment="1">
      <alignment horizontal="center"/>
    </xf>
    <xf numFmtId="164" fontId="5" fillId="0" borderId="18" xfId="1" applyNumberFormat="1" applyFont="1" applyBorder="1"/>
    <xf numFmtId="165" fontId="5" fillId="0" borderId="0" xfId="2" applyNumberFormat="1" applyFont="1"/>
    <xf numFmtId="165" fontId="5" fillId="0" borderId="19" xfId="2" applyNumberFormat="1" applyFont="1" applyBorder="1"/>
    <xf numFmtId="164" fontId="5" fillId="0" borderId="0" xfId="0" applyNumberFormat="1" applyFont="1"/>
    <xf numFmtId="0" fontId="2" fillId="2" borderId="2" xfId="0" applyFont="1" applyFill="1" applyBorder="1" applyAlignment="1">
      <alignment horizontal="center"/>
    </xf>
    <xf numFmtId="165" fontId="5" fillId="3" borderId="11" xfId="0" applyNumberFormat="1" applyFont="1" applyFill="1" applyBorder="1"/>
    <xf numFmtId="164" fontId="5" fillId="3" borderId="12" xfId="0" applyNumberFormat="1" applyFont="1" applyFill="1" applyBorder="1"/>
    <xf numFmtId="164" fontId="5" fillId="3" borderId="11" xfId="0" applyNumberFormat="1" applyFont="1" applyFill="1" applyBorder="1"/>
    <xf numFmtId="164" fontId="5" fillId="3" borderId="17" xfId="0" applyNumberFormat="1" applyFont="1" applyFill="1" applyBorder="1"/>
    <xf numFmtId="165" fontId="5" fillId="3" borderId="13" xfId="0" applyNumberFormat="1" applyFont="1" applyFill="1" applyBorder="1"/>
    <xf numFmtId="165" fontId="5" fillId="3" borderId="0" xfId="0" applyNumberFormat="1" applyFont="1" applyFill="1"/>
    <xf numFmtId="164" fontId="5" fillId="3" borderId="0" xfId="0" applyNumberFormat="1" applyFont="1" applyFill="1"/>
    <xf numFmtId="164" fontId="5" fillId="3" borderId="18" xfId="1" applyNumberFormat="1" applyFont="1" applyFill="1" applyBorder="1"/>
    <xf numFmtId="164" fontId="5" fillId="3" borderId="0" xfId="1" applyNumberFormat="1" applyFont="1" applyFill="1"/>
    <xf numFmtId="165" fontId="5" fillId="3" borderId="19" xfId="2" applyNumberFormat="1" applyFont="1" applyFill="1" applyBorder="1"/>
    <xf numFmtId="165" fontId="5" fillId="3" borderId="0" xfId="2" applyNumberFormat="1" applyFont="1" applyFill="1"/>
    <xf numFmtId="0" fontId="4" fillId="2" borderId="5" xfId="0" applyFont="1" applyFill="1" applyBorder="1" applyAlignment="1">
      <alignment horizontal="center"/>
    </xf>
    <xf numFmtId="0" fontId="3" fillId="0" borderId="22" xfId="0" applyFont="1" applyBorder="1" applyAlignment="1">
      <alignment vertical="center"/>
    </xf>
    <xf numFmtId="0" fontId="3" fillId="3" borderId="22" xfId="0" applyFont="1" applyFill="1" applyBorder="1" applyAlignment="1">
      <alignment wrapText="1"/>
    </xf>
    <xf numFmtId="0" fontId="2" fillId="2" borderId="10" xfId="0" applyFont="1" applyFill="1" applyBorder="1" applyAlignment="1">
      <alignment horizontal="center"/>
    </xf>
    <xf numFmtId="0" fontId="2" fillId="2" borderId="7" xfId="0" applyFont="1" applyFill="1" applyBorder="1" applyAlignment="1">
      <alignment horizontal="center"/>
    </xf>
    <xf numFmtId="0" fontId="2" fillId="0" borderId="22" xfId="0" applyFont="1" applyBorder="1"/>
    <xf numFmtId="166" fontId="1" fillId="0" borderId="22" xfId="0" applyNumberFormat="1" applyFont="1" applyBorder="1" applyAlignment="1">
      <alignment horizontal="center"/>
    </xf>
    <xf numFmtId="166" fontId="1" fillId="3" borderId="22" xfId="0" applyNumberFormat="1" applyFont="1" applyFill="1" applyBorder="1" applyAlignment="1">
      <alignment horizontal="center"/>
    </xf>
    <xf numFmtId="0" fontId="1" fillId="0" borderId="22" xfId="0" applyFont="1" applyBorder="1" applyAlignment="1">
      <alignment wrapText="1"/>
    </xf>
    <xf numFmtId="0" fontId="1" fillId="3" borderId="22" xfId="0" applyFont="1" applyFill="1" applyBorder="1" applyAlignment="1">
      <alignment wrapText="1"/>
    </xf>
    <xf numFmtId="0" fontId="1" fillId="0" borderId="22" xfId="0" applyFont="1" applyBorder="1" applyAlignment="1">
      <alignment horizontal="center"/>
    </xf>
    <xf numFmtId="1" fontId="1" fillId="3" borderId="22" xfId="0" applyNumberFormat="1" applyFont="1" applyFill="1" applyBorder="1" applyAlignment="1">
      <alignment horizontal="center"/>
    </xf>
    <xf numFmtId="1" fontId="1" fillId="0" borderId="22" xfId="0" applyNumberFormat="1" applyFont="1" applyBorder="1" applyAlignment="1">
      <alignment horizontal="center"/>
    </xf>
    <xf numFmtId="167" fontId="1" fillId="3" borderId="22" xfId="3" applyNumberFormat="1" applyFont="1" applyFill="1" applyBorder="1" applyAlignment="1">
      <alignment horizontal="center"/>
    </xf>
    <xf numFmtId="167" fontId="1" fillId="0" borderId="22" xfId="3" applyNumberFormat="1" applyFont="1" applyBorder="1" applyAlignment="1">
      <alignment horizontal="center"/>
    </xf>
    <xf numFmtId="167" fontId="1" fillId="0" borderId="22" xfId="0" applyNumberFormat="1" applyFont="1" applyBorder="1" applyAlignment="1">
      <alignment horizontal="center"/>
    </xf>
    <xf numFmtId="164" fontId="5" fillId="0" borderId="23" xfId="1" applyNumberFormat="1" applyFont="1" applyBorder="1"/>
    <xf numFmtId="0" fontId="6" fillId="2" borderId="8" xfId="0" applyFont="1" applyFill="1" applyBorder="1" applyAlignment="1">
      <alignment horizontal="center"/>
    </xf>
    <xf numFmtId="165" fontId="5" fillId="0" borderId="10" xfId="2" applyNumberFormat="1" applyFont="1" applyBorder="1"/>
    <xf numFmtId="164" fontId="5" fillId="0" borderId="10" xfId="1" applyNumberFormat="1" applyFont="1" applyBorder="1"/>
    <xf numFmtId="164" fontId="5" fillId="0" borderId="24" xfId="1" applyNumberFormat="1" applyFont="1" applyBorder="1"/>
    <xf numFmtId="165" fontId="5" fillId="0" borderId="25" xfId="2" applyNumberFormat="1" applyFont="1" applyBorder="1"/>
    <xf numFmtId="165" fontId="5" fillId="3" borderId="7" xfId="0" applyNumberFormat="1" applyFont="1" applyFill="1" applyBorder="1"/>
    <xf numFmtId="164" fontId="5" fillId="3" borderId="7" xfId="0" applyNumberFormat="1" applyFont="1" applyFill="1" applyBorder="1"/>
    <xf numFmtId="165" fontId="5" fillId="3" borderId="15" xfId="0" applyNumberFormat="1" applyFont="1" applyFill="1" applyBorder="1"/>
    <xf numFmtId="0" fontId="2" fillId="2" borderId="5" xfId="0" applyFont="1" applyFill="1" applyBorder="1" applyAlignment="1">
      <alignment horizontal="center"/>
    </xf>
    <xf numFmtId="0" fontId="0" fillId="0" borderId="20" xfId="0" applyBorder="1"/>
    <xf numFmtId="0" fontId="0" fillId="0" borderId="21" xfId="0" applyBorder="1"/>
    <xf numFmtId="0" fontId="2" fillId="0" borderId="0" xfId="0" applyFont="1" applyAlignment="1">
      <alignment horizontal="center"/>
    </xf>
    <xf numFmtId="0" fontId="5" fillId="0" borderId="0" xfId="0" applyFo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D8" sqref="D8"/>
    </sheetView>
  </sheetViews>
  <sheetFormatPr defaultColWidth="8.7265625" defaultRowHeight="14" x14ac:dyDescent="0.3"/>
  <cols>
    <col min="1" max="1" width="24" style="1" bestFit="1" customWidth="1"/>
    <col min="2" max="2" width="15.7265625" style="1" customWidth="1"/>
    <col min="3" max="4" width="17.453125" style="1" customWidth="1"/>
    <col min="5" max="5" width="8.7265625" style="1" customWidth="1"/>
    <col min="6" max="16384" width="8.7265625" style="1"/>
  </cols>
  <sheetData>
    <row r="1" spans="1:4" x14ac:dyDescent="0.3">
      <c r="A1" s="2"/>
    </row>
    <row r="2" spans="1:4" ht="14.5" customHeight="1" thickBot="1" x14ac:dyDescent="0.35">
      <c r="A2" s="2"/>
    </row>
    <row r="3" spans="1:4" ht="14.5" customHeight="1" thickBot="1" x14ac:dyDescent="0.35">
      <c r="A3" s="12"/>
      <c r="B3" s="13" t="s">
        <v>0</v>
      </c>
      <c r="C3" s="55" t="s">
        <v>1</v>
      </c>
      <c r="D3" s="13" t="s">
        <v>2</v>
      </c>
    </row>
    <row r="4" spans="1:4" x14ac:dyDescent="0.3">
      <c r="A4" s="7" t="s">
        <v>3</v>
      </c>
      <c r="B4" s="17">
        <v>2856000</v>
      </c>
      <c r="C4" s="56">
        <v>2941680</v>
      </c>
      <c r="D4" s="60">
        <f>C4-B4</f>
        <v>85680</v>
      </c>
    </row>
    <row r="5" spans="1:4" x14ac:dyDescent="0.3">
      <c r="A5" s="7" t="s">
        <v>4</v>
      </c>
      <c r="B5" s="16">
        <v>2284800</v>
      </c>
      <c r="C5" s="54">
        <v>2353344</v>
      </c>
      <c r="D5" s="30">
        <f>C5-B5</f>
        <v>68544</v>
      </c>
    </row>
    <row r="6" spans="1:4" x14ac:dyDescent="0.3">
      <c r="A6" s="7" t="s">
        <v>5</v>
      </c>
      <c r="B6" s="15">
        <f>B4-B5</f>
        <v>571200</v>
      </c>
      <c r="C6" s="57">
        <f>C4-C5</f>
        <v>588336</v>
      </c>
      <c r="D6" s="61">
        <f>C6-B6</f>
        <v>17136</v>
      </c>
    </row>
    <row r="7" spans="1:4" x14ac:dyDescent="0.3">
      <c r="A7" s="7" t="s">
        <v>6</v>
      </c>
      <c r="B7" s="19">
        <f>244800+122400+122400+28560</f>
        <v>518160</v>
      </c>
      <c r="C7" s="58">
        <f>244800+122400+122400+34558</f>
        <v>524158</v>
      </c>
      <c r="D7" s="30">
        <f>C7-B7</f>
        <v>5998</v>
      </c>
    </row>
    <row r="8" spans="1:4" ht="14.5" customHeight="1" thickBot="1" x14ac:dyDescent="0.35">
      <c r="A8" s="7" t="s">
        <v>7</v>
      </c>
      <c r="B8" s="18">
        <f>B6-B7</f>
        <v>53040</v>
      </c>
      <c r="C8" s="59">
        <f>C6-C7</f>
        <v>64178</v>
      </c>
      <c r="D8" s="62">
        <f>C8-B8</f>
        <v>11138</v>
      </c>
    </row>
    <row r="9" spans="1:4" ht="15" customHeight="1" thickTop="1" thickBot="1" x14ac:dyDescent="0.35">
      <c r="A9" s="9"/>
      <c r="B9" s="11"/>
      <c r="C9" s="9"/>
      <c r="D9"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topLeftCell="B19" workbookViewId="0">
      <selection activeCell="D22" sqref="D22"/>
    </sheetView>
  </sheetViews>
  <sheetFormatPr defaultColWidth="8.7265625" defaultRowHeight="14" x14ac:dyDescent="0.3"/>
  <cols>
    <col min="1" max="1" width="52.26953125" style="1" bestFit="1" customWidth="1"/>
    <col min="2" max="2" width="16.1796875" style="20" customWidth="1"/>
    <col min="3" max="3" width="19.453125" style="1" customWidth="1"/>
    <col min="4" max="4" width="18.54296875" style="1" customWidth="1"/>
    <col min="5" max="5" width="8.7265625" style="1" customWidth="1"/>
    <col min="6" max="16384" width="8.7265625" style="1"/>
  </cols>
  <sheetData>
    <row r="1" spans="1:4" x14ac:dyDescent="0.3">
      <c r="A1" s="2"/>
    </row>
    <row r="2" spans="1:4" x14ac:dyDescent="0.3">
      <c r="A2" s="2"/>
    </row>
    <row r="3" spans="1:4" ht="14.5" customHeight="1" thickBot="1" x14ac:dyDescent="0.35">
      <c r="A3" s="2"/>
    </row>
    <row r="4" spans="1:4" ht="14.5" customHeight="1" thickBot="1" x14ac:dyDescent="0.35">
      <c r="A4" s="2" t="s">
        <v>8</v>
      </c>
      <c r="B4" s="21" t="s">
        <v>0</v>
      </c>
      <c r="C4" s="13" t="s">
        <v>1</v>
      </c>
      <c r="D4" s="14" t="s">
        <v>2</v>
      </c>
    </row>
    <row r="5" spans="1:4" x14ac:dyDescent="0.3">
      <c r="A5" s="2" t="s">
        <v>9</v>
      </c>
      <c r="B5" s="23">
        <v>20400</v>
      </c>
      <c r="C5" s="23">
        <v>124466</v>
      </c>
      <c r="D5" s="32">
        <f t="shared" ref="D5:D12" si="0">C5-B5</f>
        <v>104066</v>
      </c>
    </row>
    <row r="6" spans="1:4" x14ac:dyDescent="0.3">
      <c r="A6" s="2" t="s">
        <v>10</v>
      </c>
      <c r="B6" s="20">
        <v>388000</v>
      </c>
      <c r="C6" s="20">
        <v>322376</v>
      </c>
      <c r="D6" s="33">
        <f t="shared" si="0"/>
        <v>-65624</v>
      </c>
    </row>
    <row r="7" spans="1:4" x14ac:dyDescent="0.3">
      <c r="A7" s="2" t="s">
        <v>11</v>
      </c>
      <c r="B7" s="22">
        <v>826200</v>
      </c>
      <c r="C7" s="22">
        <v>588336</v>
      </c>
      <c r="D7" s="34">
        <f t="shared" si="0"/>
        <v>-237864</v>
      </c>
    </row>
    <row r="8" spans="1:4" x14ac:dyDescent="0.3">
      <c r="A8" s="2" t="s">
        <v>12</v>
      </c>
      <c r="B8" s="20">
        <f>SUM(B5:B7)</f>
        <v>1234600</v>
      </c>
      <c r="C8" s="20">
        <f>SUM(C5:C7)</f>
        <v>1035178</v>
      </c>
      <c r="D8" s="35">
        <f t="shared" si="0"/>
        <v>-199422</v>
      </c>
    </row>
    <row r="9" spans="1:4" x14ac:dyDescent="0.3">
      <c r="A9" s="2" t="s">
        <v>13</v>
      </c>
      <c r="B9" s="20">
        <v>826300</v>
      </c>
      <c r="C9" s="20">
        <v>926300</v>
      </c>
      <c r="D9" s="35">
        <f t="shared" si="0"/>
        <v>100000</v>
      </c>
    </row>
    <row r="10" spans="1:4" x14ac:dyDescent="0.3">
      <c r="A10" s="2" t="s">
        <v>14</v>
      </c>
      <c r="B10" s="22">
        <v>-595800</v>
      </c>
      <c r="C10" s="22">
        <v>-718200</v>
      </c>
      <c r="D10" s="34">
        <f t="shared" si="0"/>
        <v>-122400</v>
      </c>
    </row>
    <row r="11" spans="1:4" x14ac:dyDescent="0.3">
      <c r="A11" s="2" t="s">
        <v>15</v>
      </c>
      <c r="B11" s="20">
        <f>B9+B10</f>
        <v>230500</v>
      </c>
      <c r="C11" s="20">
        <f>C9+C10</f>
        <v>208100</v>
      </c>
      <c r="D11" s="35">
        <f t="shared" si="0"/>
        <v>-22400</v>
      </c>
    </row>
    <row r="12" spans="1:4" ht="14.5" customHeight="1" thickBot="1" x14ac:dyDescent="0.35">
      <c r="A12" s="2" t="s">
        <v>16</v>
      </c>
      <c r="B12" s="24">
        <f>B8+B11</f>
        <v>1465100</v>
      </c>
      <c r="C12" s="24">
        <f>C8+C11</f>
        <v>1243278</v>
      </c>
      <c r="D12" s="36">
        <f t="shared" si="0"/>
        <v>-221822</v>
      </c>
    </row>
    <row r="13" spans="1:4" ht="14.5" customHeight="1" thickTop="1" x14ac:dyDescent="0.3">
      <c r="A13" s="2"/>
      <c r="C13" s="20"/>
      <c r="D13" s="25"/>
    </row>
    <row r="14" spans="1:4" x14ac:dyDescent="0.3">
      <c r="A14" s="2"/>
      <c r="C14" s="20"/>
      <c r="D14" s="25"/>
    </row>
    <row r="15" spans="1:4" x14ac:dyDescent="0.3">
      <c r="A15" s="2"/>
      <c r="C15" s="20"/>
      <c r="D15" s="25"/>
    </row>
    <row r="16" spans="1:4" x14ac:dyDescent="0.3">
      <c r="A16" s="2" t="s">
        <v>17</v>
      </c>
      <c r="C16" s="20"/>
      <c r="D16" s="25"/>
    </row>
    <row r="17" spans="1:4" x14ac:dyDescent="0.3">
      <c r="A17" s="2" t="s">
        <v>18</v>
      </c>
      <c r="B17" s="23">
        <v>286000</v>
      </c>
      <c r="C17" s="23">
        <v>0</v>
      </c>
      <c r="D17" s="37">
        <f t="shared" ref="D17:D22" si="1">C17-B17</f>
        <v>-286000</v>
      </c>
    </row>
    <row r="18" spans="1:4" x14ac:dyDescent="0.3">
      <c r="A18" s="2" t="s">
        <v>19</v>
      </c>
      <c r="B18" s="20">
        <v>306000</v>
      </c>
      <c r="C18" s="20">
        <v>306000</v>
      </c>
      <c r="D18" s="35">
        <f t="shared" si="1"/>
        <v>0</v>
      </c>
    </row>
    <row r="19" spans="1:4" x14ac:dyDescent="0.3">
      <c r="A19" s="2" t="s">
        <v>20</v>
      </c>
      <c r="B19" s="22">
        <v>77500</v>
      </c>
      <c r="C19" s="22">
        <v>77500</v>
      </c>
      <c r="D19" s="34">
        <f t="shared" si="1"/>
        <v>0</v>
      </c>
    </row>
    <row r="20" spans="1:4" x14ac:dyDescent="0.3">
      <c r="A20" s="2" t="s">
        <v>21</v>
      </c>
      <c r="B20" s="20">
        <f>SUM(B17:B19)</f>
        <v>669500</v>
      </c>
      <c r="C20" s="20">
        <f>SUM(C17:C19)</f>
        <v>383500</v>
      </c>
      <c r="D20" s="35">
        <f t="shared" si="1"/>
        <v>-286000</v>
      </c>
    </row>
    <row r="21" spans="1:4" x14ac:dyDescent="0.3">
      <c r="A21" s="2" t="s">
        <v>22</v>
      </c>
      <c r="B21" s="22">
        <v>36700</v>
      </c>
      <c r="C21" s="22">
        <v>36700</v>
      </c>
      <c r="D21" s="34">
        <f t="shared" si="1"/>
        <v>0</v>
      </c>
    </row>
    <row r="22" spans="1:4" x14ac:dyDescent="0.3">
      <c r="A22" s="2" t="s">
        <v>23</v>
      </c>
      <c r="B22" s="20">
        <f>B20+B21</f>
        <v>706200</v>
      </c>
      <c r="C22" s="20">
        <f>C20+C21</f>
        <v>420200</v>
      </c>
      <c r="D22" s="35">
        <f t="shared" si="1"/>
        <v>-286000</v>
      </c>
    </row>
    <row r="23" spans="1:4" x14ac:dyDescent="0.3">
      <c r="A23" s="2"/>
      <c r="C23" s="20"/>
      <c r="D23" s="25"/>
    </row>
    <row r="24" spans="1:4" x14ac:dyDescent="0.3">
      <c r="A24" s="2"/>
      <c r="C24" s="20"/>
      <c r="D24" s="25"/>
    </row>
    <row r="25" spans="1:4" x14ac:dyDescent="0.3">
      <c r="A25" s="2"/>
      <c r="C25" s="20"/>
      <c r="D25" s="25"/>
    </row>
    <row r="26" spans="1:4" x14ac:dyDescent="0.3">
      <c r="A26" s="2" t="s">
        <v>24</v>
      </c>
      <c r="C26" s="20"/>
      <c r="D26" s="25"/>
    </row>
    <row r="27" spans="1:4" x14ac:dyDescent="0.3">
      <c r="A27" s="2" t="s">
        <v>25</v>
      </c>
      <c r="B27" s="20">
        <v>365000</v>
      </c>
      <c r="C27" s="20">
        <v>365000</v>
      </c>
      <c r="D27" s="20">
        <f>C27-B27</f>
        <v>0</v>
      </c>
    </row>
    <row r="28" spans="1:4" x14ac:dyDescent="0.3">
      <c r="A28" s="2" t="s">
        <v>26</v>
      </c>
      <c r="B28" s="20">
        <v>393900</v>
      </c>
      <c r="C28" s="20">
        <v>458078</v>
      </c>
      <c r="D28" s="20">
        <f>C28-B28</f>
        <v>64178</v>
      </c>
    </row>
    <row r="29" spans="1:4" x14ac:dyDescent="0.3">
      <c r="A29" s="2" t="s">
        <v>27</v>
      </c>
      <c r="B29" s="20">
        <f>B27+B28</f>
        <v>758900</v>
      </c>
      <c r="C29" s="20">
        <f>C27+C28</f>
        <v>823078</v>
      </c>
      <c r="D29" s="20">
        <f>C29-B29</f>
        <v>64178</v>
      </c>
    </row>
    <row r="30" spans="1:4" ht="14.5" customHeight="1" thickBot="1" x14ac:dyDescent="0.35">
      <c r="A30" s="2" t="s">
        <v>28</v>
      </c>
      <c r="B30" s="24">
        <f>B22+B29</f>
        <v>1465100</v>
      </c>
      <c r="C30" s="24">
        <f>C22+C29</f>
        <v>1243278</v>
      </c>
      <c r="D30" s="24">
        <f>C30-B30</f>
        <v>-221822</v>
      </c>
    </row>
    <row r="31" spans="1:4" ht="14.5" customHeight="1" thickTop="1" x14ac:dyDescent="0.3">
      <c r="A31" s="2"/>
    </row>
    <row r="32" spans="1:4" x14ac:dyDescent="0.3">
      <c r="A32" s="2"/>
    </row>
    <row r="33" spans="1:1" x14ac:dyDescent="0.3">
      <c r="A3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topLeftCell="B1" workbookViewId="0">
      <selection activeCell="D14" sqref="D14"/>
    </sheetView>
  </sheetViews>
  <sheetFormatPr defaultColWidth="8.7265625" defaultRowHeight="14" x14ac:dyDescent="0.3"/>
  <cols>
    <col min="1" max="1" width="36.1796875" style="1" bestFit="1" customWidth="1"/>
    <col min="2" max="2" width="17.81640625" style="1" customWidth="1"/>
    <col min="3" max="3" width="19.1796875" style="1" customWidth="1"/>
    <col min="4" max="4" width="17.54296875" style="1" customWidth="1"/>
    <col min="5" max="5" width="8.7265625" style="1" customWidth="1"/>
    <col min="6" max="16384" width="8.7265625" style="1"/>
  </cols>
  <sheetData>
    <row r="1" spans="1:4" x14ac:dyDescent="0.3">
      <c r="A1" s="2"/>
    </row>
    <row r="2" spans="1:4" ht="14.5" customHeight="1" thickBot="1" x14ac:dyDescent="0.35">
      <c r="A2" s="2"/>
    </row>
    <row r="3" spans="1:4" ht="14.5" customHeight="1" thickBot="1" x14ac:dyDescent="0.35">
      <c r="A3" s="12"/>
      <c r="B3" s="13" t="s">
        <v>0</v>
      </c>
      <c r="C3" s="13" t="s">
        <v>1</v>
      </c>
      <c r="D3" s="14" t="s">
        <v>2</v>
      </c>
    </row>
    <row r="4" spans="1:4" x14ac:dyDescent="0.3">
      <c r="A4" s="7" t="s">
        <v>29</v>
      </c>
      <c r="B4" s="17">
        <v>53040</v>
      </c>
      <c r="C4" s="17">
        <v>64178</v>
      </c>
      <c r="D4" s="27">
        <f>C4-B4</f>
        <v>11138</v>
      </c>
    </row>
    <row r="5" spans="1:4" x14ac:dyDescent="0.3">
      <c r="A5" s="7" t="s">
        <v>30</v>
      </c>
      <c r="B5" s="16">
        <f>530940-53040</f>
        <v>477900</v>
      </c>
      <c r="C5" s="16">
        <f>490066-C4</f>
        <v>425888</v>
      </c>
      <c r="D5" s="29">
        <f>C5-B5</f>
        <v>-52012</v>
      </c>
    </row>
    <row r="6" spans="1:4" ht="14.5" customHeight="1" thickBot="1" x14ac:dyDescent="0.35">
      <c r="A6" s="7" t="s">
        <v>31</v>
      </c>
      <c r="B6" s="18">
        <f>B4+B5</f>
        <v>530940</v>
      </c>
      <c r="C6" s="18">
        <f>C4+C5</f>
        <v>490066</v>
      </c>
      <c r="D6" s="31">
        <f>C6-B6</f>
        <v>-40874</v>
      </c>
    </row>
    <row r="7" spans="1:4" ht="14.5" customHeight="1" thickTop="1" x14ac:dyDescent="0.3">
      <c r="A7" s="7"/>
      <c r="B7" s="15"/>
      <c r="C7" s="15"/>
      <c r="D7" s="8"/>
    </row>
    <row r="8" spans="1:4" x14ac:dyDescent="0.3">
      <c r="A8" s="7" t="s">
        <v>32</v>
      </c>
      <c r="B8" s="16">
        <v>-539140</v>
      </c>
      <c r="C8" s="16">
        <v>-386000</v>
      </c>
      <c r="D8" s="28">
        <f>C8-B8</f>
        <v>153140</v>
      </c>
    </row>
    <row r="9" spans="1:4" ht="14.5" customHeight="1" thickBot="1" x14ac:dyDescent="0.35">
      <c r="A9" s="7" t="s">
        <v>33</v>
      </c>
      <c r="B9" s="18">
        <f>B8</f>
        <v>-539140</v>
      </c>
      <c r="C9" s="18">
        <f>C8</f>
        <v>-386000</v>
      </c>
      <c r="D9" s="31">
        <f>C9-B9</f>
        <v>153140</v>
      </c>
    </row>
    <row r="10" spans="1:4" ht="14.5" customHeight="1" thickTop="1" x14ac:dyDescent="0.3">
      <c r="A10" s="7"/>
      <c r="B10" s="15"/>
      <c r="C10" s="15"/>
      <c r="D10" s="8"/>
    </row>
    <row r="11" spans="1:4" x14ac:dyDescent="0.3">
      <c r="A11" s="7" t="s">
        <v>34</v>
      </c>
      <c r="B11" s="17">
        <f>B6+B9</f>
        <v>-8200</v>
      </c>
      <c r="C11" s="17">
        <f>C6+C9</f>
        <v>104066</v>
      </c>
      <c r="D11" s="27">
        <f>C11-B11</f>
        <v>112266</v>
      </c>
    </row>
    <row r="12" spans="1:4" x14ac:dyDescent="0.3">
      <c r="A12" s="7" t="s">
        <v>35</v>
      </c>
      <c r="B12" s="15">
        <v>28600</v>
      </c>
      <c r="C12" s="15">
        <f>B13</f>
        <v>20400</v>
      </c>
      <c r="D12" s="29">
        <f>C12-B12</f>
        <v>-8200</v>
      </c>
    </row>
    <row r="13" spans="1:4" ht="14.5" customHeight="1" thickBot="1" x14ac:dyDescent="0.35">
      <c r="A13" s="7" t="s">
        <v>36</v>
      </c>
      <c r="B13" s="18">
        <f>B11+B12</f>
        <v>20400</v>
      </c>
      <c r="C13" s="18">
        <f>C11+C12</f>
        <v>124466</v>
      </c>
      <c r="D13" s="31">
        <f>C13-B13</f>
        <v>104066</v>
      </c>
    </row>
    <row r="14" spans="1:4" ht="15" customHeight="1" thickTop="1" thickBot="1" x14ac:dyDescent="0.35">
      <c r="A14" s="9"/>
      <c r="B14" s="11"/>
      <c r="C14" s="11"/>
      <c r="D14"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topLeftCell="B16" zoomScale="89" workbookViewId="0">
      <selection activeCell="G30" sqref="G30"/>
    </sheetView>
  </sheetViews>
  <sheetFormatPr defaultColWidth="8.7265625" defaultRowHeight="14" x14ac:dyDescent="0.3"/>
  <cols>
    <col min="1" max="1" width="62.1796875" style="1" bestFit="1" customWidth="1"/>
    <col min="2" max="2" width="15" style="1" bestFit="1" customWidth="1"/>
    <col min="3" max="3" width="9.453125" style="1" customWidth="1"/>
    <col min="4" max="4" width="9.7265625" style="1" bestFit="1" customWidth="1"/>
    <col min="5" max="5" width="9.81640625" style="1" bestFit="1" customWidth="1"/>
    <col min="6" max="6" width="8.7265625" style="1" customWidth="1"/>
    <col min="7" max="7" width="111.90625" style="1" customWidth="1"/>
    <col min="8" max="8" width="8.7265625" style="1" customWidth="1"/>
    <col min="9" max="16384" width="8.7265625" style="1"/>
  </cols>
  <sheetData>
    <row r="1" spans="1:7" ht="18" customHeight="1" x14ac:dyDescent="0.4">
      <c r="A1" s="66" t="s">
        <v>37</v>
      </c>
      <c r="B1" s="67"/>
      <c r="C1" s="67"/>
      <c r="D1" s="67"/>
      <c r="E1" s="67"/>
      <c r="F1" s="67"/>
      <c r="G1" s="67"/>
    </row>
    <row r="2" spans="1:7" ht="18" customHeight="1" x14ac:dyDescent="0.4">
      <c r="A2" s="66" t="s">
        <v>38</v>
      </c>
      <c r="B2" s="67"/>
      <c r="C2" s="67"/>
      <c r="D2" s="67"/>
      <c r="E2" s="67"/>
      <c r="F2" s="67"/>
      <c r="G2" s="67"/>
    </row>
    <row r="3" spans="1:7" ht="14.5" customHeight="1" thickBot="1" x14ac:dyDescent="0.35"/>
    <row r="4" spans="1:7" ht="18.5" customHeight="1" thickBot="1" x14ac:dyDescent="0.45">
      <c r="A4" s="4"/>
      <c r="B4" s="5" t="s">
        <v>39</v>
      </c>
      <c r="C4" s="63" t="s">
        <v>37</v>
      </c>
      <c r="D4" s="64"/>
      <c r="E4" s="64"/>
      <c r="F4" s="65"/>
      <c r="G4" s="6"/>
    </row>
    <row r="5" spans="1:7" ht="18" customHeight="1" x14ac:dyDescent="0.4">
      <c r="A5" s="41" t="s">
        <v>40</v>
      </c>
      <c r="B5" s="42" t="s">
        <v>41</v>
      </c>
      <c r="C5" s="26">
        <v>2017</v>
      </c>
      <c r="D5" s="5">
        <v>2016</v>
      </c>
      <c r="E5" s="5">
        <v>2015</v>
      </c>
      <c r="F5" s="5">
        <v>2014</v>
      </c>
      <c r="G5" s="42" t="s">
        <v>42</v>
      </c>
    </row>
    <row r="6" spans="1:7" ht="88" customHeight="1" x14ac:dyDescent="0.4">
      <c r="A6" s="43" t="s">
        <v>43</v>
      </c>
      <c r="B6" s="44">
        <v>2.7</v>
      </c>
      <c r="C6" s="45">
        <f>'Balance Sheet'!C8/'Balance Sheet'!C20</f>
        <v>2.6992907431551498</v>
      </c>
      <c r="D6" s="44">
        <f>'Balance Sheet'!B8/'Balance Sheet'!B20</f>
        <v>1.8440627333831217</v>
      </c>
      <c r="E6" s="44">
        <v>2.6</v>
      </c>
      <c r="F6" s="44">
        <v>4.2</v>
      </c>
      <c r="G6" s="46" t="s">
        <v>44</v>
      </c>
    </row>
    <row r="7" spans="1:7" ht="88" x14ac:dyDescent="0.4">
      <c r="A7" s="43" t="s">
        <v>45</v>
      </c>
      <c r="B7" s="44">
        <v>1</v>
      </c>
      <c r="C7" s="45">
        <f>('Balance Sheet'!C8-'Balance Sheet'!C7)/'Balance Sheet'!C20</f>
        <v>1.1651681877444588</v>
      </c>
      <c r="D7" s="44">
        <f>('Balance Sheet'!B8-'Balance Sheet'!B7)/'Balance Sheet'!B20</f>
        <v>0.61000746825989549</v>
      </c>
      <c r="E7" s="44">
        <v>1</v>
      </c>
      <c r="F7" s="44">
        <v>2.1</v>
      </c>
      <c r="G7" s="47" t="s">
        <v>46</v>
      </c>
    </row>
    <row r="8" spans="1:7" ht="88" x14ac:dyDescent="0.4">
      <c r="A8" s="43" t="s">
        <v>47</v>
      </c>
      <c r="B8" s="44">
        <v>7</v>
      </c>
      <c r="C8" s="45">
        <f>'Income Statement'!C5/'Balance Sheet'!C7</f>
        <v>4</v>
      </c>
      <c r="D8" s="44">
        <f>'Income Statement'!B5/'Balance Sheet'!B7</f>
        <v>2.7654320987654319</v>
      </c>
      <c r="E8" s="44">
        <v>4.3</v>
      </c>
      <c r="F8" s="44">
        <v>6.9</v>
      </c>
      <c r="G8" s="47" t="s">
        <v>48</v>
      </c>
    </row>
    <row r="9" spans="1:7" ht="88" x14ac:dyDescent="0.4">
      <c r="A9" s="43" t="s">
        <v>49</v>
      </c>
      <c r="B9" s="48">
        <v>32</v>
      </c>
      <c r="C9" s="49">
        <f>('Balance Sheet'!C6)/'Income Statement'!C4*365</f>
        <v>40.00001359767208</v>
      </c>
      <c r="D9" s="50">
        <f>('Balance Sheet'!B6)/'Income Statement'!B4*365</f>
        <v>49.586834733893554</v>
      </c>
      <c r="E9" s="50">
        <v>37</v>
      </c>
      <c r="F9" s="50">
        <v>34</v>
      </c>
      <c r="G9" s="47" t="s">
        <v>50</v>
      </c>
    </row>
    <row r="10" spans="1:7" ht="105.5" x14ac:dyDescent="0.4">
      <c r="A10" s="43" t="s">
        <v>51</v>
      </c>
      <c r="B10" s="48" t="s">
        <v>52</v>
      </c>
      <c r="C10" s="49">
        <f>('Balance Sheet'!C18)/'Income Statement'!C5*365</f>
        <v>47.460124826629681</v>
      </c>
      <c r="D10" s="50">
        <f>('Balance Sheet'!B18)/'Income Statement'!B5*365</f>
        <v>48.883928571428569</v>
      </c>
      <c r="E10" s="50">
        <f>155000/2203200*365</f>
        <v>25.678558460421208</v>
      </c>
      <c r="F10" s="50">
        <f>98000/2121600*365</f>
        <v>16.859917043740573</v>
      </c>
      <c r="G10" s="47" t="s">
        <v>53</v>
      </c>
    </row>
    <row r="11" spans="1:7" ht="88" x14ac:dyDescent="0.4">
      <c r="A11" s="43" t="s">
        <v>54</v>
      </c>
      <c r="B11" s="48" t="s">
        <v>52</v>
      </c>
      <c r="C11" s="51">
        <f>'Income Statement'!C6/'Income Statement'!C4</f>
        <v>0.2</v>
      </c>
      <c r="D11" s="52">
        <f>'Income Statement'!B6/'Income Statement'!B4</f>
        <v>0.2</v>
      </c>
      <c r="E11" s="52">
        <f>550800/2754000</f>
        <v>0.2</v>
      </c>
      <c r="F11" s="52">
        <f>530400/2652000</f>
        <v>0.2</v>
      </c>
      <c r="G11" s="47" t="s">
        <v>55</v>
      </c>
    </row>
    <row r="12" spans="1:7" ht="88" x14ac:dyDescent="0.4">
      <c r="A12" s="43" t="s">
        <v>56</v>
      </c>
      <c r="B12" s="48" t="s">
        <v>52</v>
      </c>
      <c r="C12" s="51">
        <f>'Income Statement'!C8/'Income Statement'!C4</f>
        <v>2.181678496641375E-2</v>
      </c>
      <c r="D12" s="52">
        <f>'Income Statement'!B8/'Income Statement'!B4</f>
        <v>1.8571428571428572E-2</v>
      </c>
      <c r="E12" s="52">
        <f>90155/2754000</f>
        <v>3.2736020334059548E-2</v>
      </c>
      <c r="F12" s="52">
        <f>132600/2652000</f>
        <v>0.05</v>
      </c>
      <c r="G12" s="47" t="s">
        <v>57</v>
      </c>
    </row>
    <row r="13" spans="1:7" ht="88" x14ac:dyDescent="0.4">
      <c r="A13" s="43" t="s">
        <v>58</v>
      </c>
      <c r="B13" s="53">
        <v>0.11700000000000001</v>
      </c>
      <c r="C13" s="51">
        <f>'Income Statement'!C8/'Balance Sheet'!C12</f>
        <v>5.1619991667189481E-2</v>
      </c>
      <c r="D13" s="52">
        <f>'Income Statement'!B8/'Balance Sheet'!B12</f>
        <v>3.6202307009760425E-2</v>
      </c>
      <c r="E13" s="52">
        <v>8.4000000000000005E-2</v>
      </c>
      <c r="F13" s="52">
        <v>0.158</v>
      </c>
      <c r="G13" s="47" t="s">
        <v>59</v>
      </c>
    </row>
    <row r="14" spans="1:7" ht="70.5" x14ac:dyDescent="0.4">
      <c r="A14" s="43" t="s">
        <v>60</v>
      </c>
      <c r="B14" s="53">
        <v>0.23400000000000001</v>
      </c>
      <c r="C14" s="51">
        <f>'Income Statement'!C8/'Balance Sheet'!C29</f>
        <v>7.7973169007068591E-2</v>
      </c>
      <c r="D14" s="52">
        <f>'Income Statement'!B8/'Balance Sheet'!B29</f>
        <v>6.9890631176703119E-2</v>
      </c>
      <c r="E14" s="52">
        <v>0.12</v>
      </c>
      <c r="F14" s="52">
        <v>0.2</v>
      </c>
      <c r="G14" s="47" t="s">
        <v>61</v>
      </c>
    </row>
    <row r="15" spans="1:7" ht="70.5" x14ac:dyDescent="0.4">
      <c r="A15" s="43" t="s">
        <v>62</v>
      </c>
      <c r="B15" s="53">
        <v>0.5</v>
      </c>
      <c r="C15" s="51">
        <f>'Balance Sheet'!C22/'Balance Sheet'!C12</f>
        <v>0.33797750784619368</v>
      </c>
      <c r="D15" s="52">
        <f>'Balance Sheet'!B22/'Balance Sheet'!B12</f>
        <v>0.4820148795304075</v>
      </c>
      <c r="E15" s="52">
        <v>0.33</v>
      </c>
      <c r="F15" s="52">
        <v>0.22</v>
      </c>
      <c r="G15" s="47" t="s">
        <v>63</v>
      </c>
    </row>
    <row r="16" spans="1:7" ht="88" x14ac:dyDescent="0.4">
      <c r="A16" s="43" t="s">
        <v>64</v>
      </c>
      <c r="B16" s="48" t="s">
        <v>52</v>
      </c>
      <c r="C16" s="45">
        <f>'Balance Sheet'!C22/'Balance Sheet'!C29</f>
        <v>0.51052269651235971</v>
      </c>
      <c r="D16" s="44">
        <f>'Balance Sheet'!B22/'Balance Sheet'!B29</f>
        <v>0.93055738568981416</v>
      </c>
      <c r="E16" s="44">
        <f>(314000+40800)/(365000+353300)</f>
        <v>0.49394403452596408</v>
      </c>
      <c r="F16" s="44">
        <f>(147000+45000)/(365000+283600)</f>
        <v>0.29602220166512488</v>
      </c>
      <c r="G16" s="47" t="s">
        <v>65</v>
      </c>
    </row>
  </sheetData>
  <mergeCells count="3">
    <mergeCell ref="C4:F4"/>
    <mergeCell ref="A2:G2"/>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tabSelected="1" topLeftCell="B4" workbookViewId="0">
      <selection activeCell="B9" sqref="B9"/>
    </sheetView>
  </sheetViews>
  <sheetFormatPr defaultColWidth="8.7265625" defaultRowHeight="15.5" x14ac:dyDescent="0.35"/>
  <cols>
    <col min="1" max="1" width="77.36328125" style="3" customWidth="1"/>
    <col min="2" max="2" width="123.26953125" style="3" customWidth="1"/>
    <col min="3" max="3" width="8.7265625" style="3" customWidth="1"/>
    <col min="4" max="16384" width="8.7265625" style="3"/>
  </cols>
  <sheetData>
    <row r="1" spans="1:2" x14ac:dyDescent="0.35">
      <c r="A1" s="38" t="s">
        <v>66</v>
      </c>
      <c r="B1" s="38" t="s">
        <v>67</v>
      </c>
    </row>
    <row r="2" spans="1:2" ht="94" customHeight="1" x14ac:dyDescent="0.35">
      <c r="A2" s="39" t="s">
        <v>68</v>
      </c>
      <c r="B2" s="40" t="s">
        <v>69</v>
      </c>
    </row>
    <row r="3" spans="1:2" ht="77.5" x14ac:dyDescent="0.35">
      <c r="A3" s="39" t="s">
        <v>70</v>
      </c>
      <c r="B3" s="40" t="s">
        <v>71</v>
      </c>
    </row>
    <row r="4" spans="1:2" ht="108.5" x14ac:dyDescent="0.35">
      <c r="A4" s="39" t="s">
        <v>72</v>
      </c>
      <c r="B4" s="40" t="s">
        <v>73</v>
      </c>
    </row>
    <row r="5" spans="1:2" ht="108.5" x14ac:dyDescent="0.35">
      <c r="A5" s="39" t="s">
        <v>74</v>
      </c>
      <c r="B5" s="40" t="s">
        <v>75</v>
      </c>
    </row>
    <row r="8" spans="1:2" x14ac:dyDescent="0.35">
      <c r="A8" s="3" t="s">
        <v>76</v>
      </c>
    </row>
    <row r="9" spans="1:2" x14ac:dyDescent="0.35">
      <c r="A9" s="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Income Statement</vt:lpstr>
      <vt:lpstr>Balance Sheet</vt:lpstr>
      <vt:lpstr>Statement of Cash Flows</vt:lpstr>
      <vt:lpstr>Ratio Comparisons &amp; Analysis</vt:lpstr>
      <vt:lpstr>Questions &amp; Analysis 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2026-08-04T20:54:41Z</dcterms:created>
  <dcterms:modified xsi:type="dcterms:W3CDTF">2026-10-23T17:26:51Z</dcterms:modified>
</cp:coreProperties>
</file>