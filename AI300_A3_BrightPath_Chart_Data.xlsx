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05EA160-5148-4082-8B79-1BE64659E620}" xr6:coauthVersionLast="47" xr6:coauthVersionMax="47" xr10:uidLastSave="{00000000-0000-0000-0000-000000000000}"/>
  <bookViews>
    <workbookView xWindow="-110" yWindow="-110" windowWidth="19420" windowHeight="11020" tabRatio="500" firstSheet="1" activeTab="5" xr2:uid="{00000000-000D-0000-FFFF-FFFF00000000}"/>
  </bookViews>
  <sheets>
    <sheet name="README" sheetId="1" r:id="rId1"/>
    <sheet name="Raw_Data" sheetId="2" r:id="rId2"/>
    <sheet name="Clean_Data" sheetId="3" r:id="rId3"/>
    <sheet name="Chart_Data" sheetId="4" r:id="rId4"/>
    <sheet name="Summary" sheetId="5" r:id="rId5"/>
    <sheet name="Chart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5" l="1"/>
  <c r="B4" i="5"/>
  <c r="M23" i="3"/>
  <c r="L23" i="3"/>
  <c r="K23" i="3"/>
  <c r="J23" i="3"/>
  <c r="I23" i="3"/>
  <c r="P23" i="3" s="1"/>
  <c r="H23" i="3"/>
  <c r="N23" i="3" s="1"/>
  <c r="Q23" i="3" s="1"/>
  <c r="G23" i="3"/>
  <c r="F23" i="3"/>
  <c r="R23" i="3" s="1"/>
  <c r="E23" i="3"/>
  <c r="D23" i="3"/>
  <c r="B23" i="3"/>
  <c r="C23" i="3" s="1"/>
  <c r="A23" i="3"/>
  <c r="M22" i="3"/>
  <c r="L22" i="3"/>
  <c r="K22" i="3"/>
  <c r="J22" i="3"/>
  <c r="I22" i="3"/>
  <c r="H22" i="3"/>
  <c r="N22" i="3" s="1"/>
  <c r="G22" i="3"/>
  <c r="O22" i="3" s="1"/>
  <c r="F22" i="3"/>
  <c r="R22" i="3" s="1"/>
  <c r="E22" i="3"/>
  <c r="D22" i="3"/>
  <c r="C22" i="3"/>
  <c r="B22" i="3"/>
  <c r="A22" i="3"/>
  <c r="M21" i="3"/>
  <c r="L21" i="3"/>
  <c r="K21" i="3"/>
  <c r="J21" i="3"/>
  <c r="I21" i="3"/>
  <c r="P21" i="3" s="1"/>
  <c r="H21" i="3"/>
  <c r="G21" i="3"/>
  <c r="N21" i="3" s="1"/>
  <c r="Q21" i="3" s="1"/>
  <c r="F21" i="3"/>
  <c r="R21" i="3" s="1"/>
  <c r="E21" i="3"/>
  <c r="D21" i="3"/>
  <c r="C21" i="3"/>
  <c r="B21" i="3"/>
  <c r="A21" i="3"/>
  <c r="M20" i="3"/>
  <c r="L20" i="3"/>
  <c r="K20" i="3"/>
  <c r="J20" i="3"/>
  <c r="I20" i="3"/>
  <c r="P20" i="3" s="1"/>
  <c r="H20" i="3"/>
  <c r="N20" i="3" s="1"/>
  <c r="Q20" i="3" s="1"/>
  <c r="G20" i="3"/>
  <c r="O20" i="3" s="1"/>
  <c r="F20" i="3"/>
  <c r="R20" i="3" s="1"/>
  <c r="E20" i="3"/>
  <c r="D20" i="3"/>
  <c r="C20" i="3"/>
  <c r="B20" i="3"/>
  <c r="A20" i="3"/>
  <c r="M19" i="3"/>
  <c r="L19" i="3"/>
  <c r="K19" i="3"/>
  <c r="J19" i="3"/>
  <c r="I19" i="3"/>
  <c r="P19" i="3" s="1"/>
  <c r="H19" i="3"/>
  <c r="G19" i="3"/>
  <c r="N19" i="3" s="1"/>
  <c r="Q19" i="3" s="1"/>
  <c r="F19" i="3"/>
  <c r="R19" i="3" s="1"/>
  <c r="E19" i="3"/>
  <c r="D19" i="3"/>
  <c r="C19" i="3"/>
  <c r="B19" i="3"/>
  <c r="A19" i="3"/>
  <c r="M18" i="3"/>
  <c r="L18" i="3"/>
  <c r="K18" i="3"/>
  <c r="J18" i="3"/>
  <c r="I18" i="3"/>
  <c r="P18" i="3" s="1"/>
  <c r="H18" i="3"/>
  <c r="N18" i="3" s="1"/>
  <c r="Q18" i="3" s="1"/>
  <c r="G18" i="3"/>
  <c r="O18" i="3" s="1"/>
  <c r="F18" i="3"/>
  <c r="R18" i="3" s="1"/>
  <c r="E18" i="3"/>
  <c r="D18" i="3"/>
  <c r="C18" i="3"/>
  <c r="B18" i="3"/>
  <c r="A18" i="3"/>
  <c r="M17" i="3"/>
  <c r="L17" i="3"/>
  <c r="K17" i="3"/>
  <c r="J17" i="3"/>
  <c r="I17" i="3"/>
  <c r="P17" i="3" s="1"/>
  <c r="H17" i="3"/>
  <c r="G17" i="3"/>
  <c r="N17" i="3" s="1"/>
  <c r="Q17" i="3" s="1"/>
  <c r="F17" i="3"/>
  <c r="R17" i="3" s="1"/>
  <c r="E17" i="3"/>
  <c r="D17" i="3"/>
  <c r="C17" i="3"/>
  <c r="B17" i="3"/>
  <c r="A17" i="3"/>
  <c r="M16" i="3"/>
  <c r="L16" i="3"/>
  <c r="K16" i="3"/>
  <c r="J16" i="3"/>
  <c r="I16" i="3"/>
  <c r="P16" i="3" s="1"/>
  <c r="H16" i="3"/>
  <c r="N16" i="3" s="1"/>
  <c r="Q16" i="3" s="1"/>
  <c r="G16" i="3"/>
  <c r="O16" i="3" s="1"/>
  <c r="F16" i="3"/>
  <c r="R16" i="3" s="1"/>
  <c r="E16" i="3"/>
  <c r="D16" i="3"/>
  <c r="C16" i="3"/>
  <c r="B16" i="3"/>
  <c r="A16" i="3"/>
  <c r="M15" i="3"/>
  <c r="L15" i="3"/>
  <c r="K15" i="3"/>
  <c r="J15" i="3"/>
  <c r="I15" i="3"/>
  <c r="P15" i="3" s="1"/>
  <c r="H15" i="3"/>
  <c r="G15" i="3"/>
  <c r="N15" i="3" s="1"/>
  <c r="Q15" i="3" s="1"/>
  <c r="F15" i="3"/>
  <c r="R15" i="3" s="1"/>
  <c r="E15" i="3"/>
  <c r="D15" i="3"/>
  <c r="C15" i="3"/>
  <c r="B15" i="3"/>
  <c r="A15" i="3"/>
  <c r="M14" i="3"/>
  <c r="L14" i="3"/>
  <c r="K14" i="3"/>
  <c r="J14" i="3"/>
  <c r="I14" i="3"/>
  <c r="P14" i="3" s="1"/>
  <c r="H14" i="3"/>
  <c r="N14" i="3" s="1"/>
  <c r="Q14" i="3" s="1"/>
  <c r="G14" i="3"/>
  <c r="O14" i="3" s="1"/>
  <c r="F14" i="3"/>
  <c r="R14" i="3" s="1"/>
  <c r="E14" i="3"/>
  <c r="D14" i="3"/>
  <c r="C14" i="3"/>
  <c r="B14" i="3"/>
  <c r="A14" i="3"/>
  <c r="M13" i="3"/>
  <c r="L13" i="3"/>
  <c r="K13" i="3"/>
  <c r="J13" i="3"/>
  <c r="I13" i="3"/>
  <c r="P13" i="3" s="1"/>
  <c r="H13" i="3"/>
  <c r="G13" i="3"/>
  <c r="N13" i="3" s="1"/>
  <c r="Q13" i="3" s="1"/>
  <c r="F13" i="3"/>
  <c r="R13" i="3" s="1"/>
  <c r="E13" i="3"/>
  <c r="D13" i="3"/>
  <c r="C13" i="3"/>
  <c r="B13" i="3"/>
  <c r="A13" i="3"/>
  <c r="M12" i="3"/>
  <c r="L12" i="3"/>
  <c r="K12" i="3"/>
  <c r="J12" i="3"/>
  <c r="I12" i="3"/>
  <c r="P12" i="3" s="1"/>
  <c r="H12" i="3"/>
  <c r="N12" i="3" s="1"/>
  <c r="Q12" i="3" s="1"/>
  <c r="G12" i="3"/>
  <c r="O12" i="3" s="1"/>
  <c r="F12" i="3"/>
  <c r="R12" i="3" s="1"/>
  <c r="E12" i="3"/>
  <c r="D12" i="3"/>
  <c r="C12" i="3"/>
  <c r="B12" i="3"/>
  <c r="A12" i="3"/>
  <c r="M11" i="3"/>
  <c r="L11" i="3"/>
  <c r="K11" i="3"/>
  <c r="J11" i="3"/>
  <c r="I11" i="3"/>
  <c r="P11" i="3" s="1"/>
  <c r="H11" i="3"/>
  <c r="G11" i="3"/>
  <c r="N11" i="3" s="1"/>
  <c r="Q11" i="3" s="1"/>
  <c r="F11" i="3"/>
  <c r="R11" i="3" s="1"/>
  <c r="E11" i="3"/>
  <c r="D11" i="3"/>
  <c r="C11" i="3"/>
  <c r="B11" i="3"/>
  <c r="A11" i="3"/>
  <c r="M10" i="3"/>
  <c r="L10" i="3"/>
  <c r="K10" i="3"/>
  <c r="J10" i="3"/>
  <c r="I10" i="3"/>
  <c r="P10" i="3" s="1"/>
  <c r="H10" i="3"/>
  <c r="N10" i="3" s="1"/>
  <c r="Q10" i="3" s="1"/>
  <c r="G10" i="3"/>
  <c r="O10" i="3" s="1"/>
  <c r="F10" i="3"/>
  <c r="R10" i="3" s="1"/>
  <c r="E10" i="3"/>
  <c r="D10" i="3"/>
  <c r="C10" i="3"/>
  <c r="B10" i="3"/>
  <c r="A10" i="3"/>
  <c r="M9" i="3"/>
  <c r="L9" i="3"/>
  <c r="K9" i="3"/>
  <c r="J9" i="3"/>
  <c r="I9" i="3"/>
  <c r="P9" i="3" s="1"/>
  <c r="H9" i="3"/>
  <c r="G9" i="3"/>
  <c r="N9" i="3" s="1"/>
  <c r="Q9" i="3" s="1"/>
  <c r="F9" i="3"/>
  <c r="R9" i="3" s="1"/>
  <c r="E9" i="3"/>
  <c r="D9" i="3"/>
  <c r="C9" i="3"/>
  <c r="B9" i="3"/>
  <c r="A9" i="3"/>
  <c r="M8" i="3"/>
  <c r="L8" i="3"/>
  <c r="K8" i="3"/>
  <c r="J8" i="3"/>
  <c r="I8" i="3"/>
  <c r="P8" i="3" s="1"/>
  <c r="H8" i="3"/>
  <c r="N8" i="3" s="1"/>
  <c r="Q8" i="3" s="1"/>
  <c r="G8" i="3"/>
  <c r="O8" i="3" s="1"/>
  <c r="F8" i="3"/>
  <c r="R8" i="3" s="1"/>
  <c r="E8" i="3"/>
  <c r="D8" i="3"/>
  <c r="C8" i="3"/>
  <c r="B8" i="3"/>
  <c r="A8" i="3"/>
  <c r="M7" i="3"/>
  <c r="L7" i="3"/>
  <c r="K7" i="3"/>
  <c r="J7" i="3"/>
  <c r="I7" i="3"/>
  <c r="P7" i="3" s="1"/>
  <c r="H7" i="3"/>
  <c r="G7" i="3"/>
  <c r="N7" i="3" s="1"/>
  <c r="Q7" i="3" s="1"/>
  <c r="F7" i="3"/>
  <c r="R7" i="3" s="1"/>
  <c r="E7" i="3"/>
  <c r="D7" i="3"/>
  <c r="C7" i="3"/>
  <c r="B7" i="3"/>
  <c r="A7" i="3"/>
  <c r="M6" i="3"/>
  <c r="L6" i="3"/>
  <c r="K6" i="3"/>
  <c r="J6" i="3"/>
  <c r="I6" i="3"/>
  <c r="P6" i="3" s="1"/>
  <c r="H6" i="3"/>
  <c r="N6" i="3" s="1"/>
  <c r="Q6" i="3" s="1"/>
  <c r="G6" i="3"/>
  <c r="O6" i="3" s="1"/>
  <c r="F6" i="3"/>
  <c r="R6" i="3" s="1"/>
  <c r="E6" i="3"/>
  <c r="D6" i="3"/>
  <c r="C6" i="3"/>
  <c r="B6" i="3"/>
  <c r="A6" i="3"/>
  <c r="M5" i="3"/>
  <c r="L5" i="3"/>
  <c r="K5" i="3"/>
  <c r="J5" i="3"/>
  <c r="I5" i="3"/>
  <c r="P5" i="3" s="1"/>
  <c r="H5" i="3"/>
  <c r="G5" i="3"/>
  <c r="N5" i="3" s="1"/>
  <c r="Q5" i="3" s="1"/>
  <c r="F5" i="3"/>
  <c r="R5" i="3" s="1"/>
  <c r="E5" i="3"/>
  <c r="D5" i="3"/>
  <c r="C5" i="3"/>
  <c r="B5" i="3"/>
  <c r="A5" i="3"/>
  <c r="M4" i="3"/>
  <c r="L4" i="3"/>
  <c r="K4" i="3"/>
  <c r="J4" i="3"/>
  <c r="I4" i="3"/>
  <c r="P4" i="3" s="1"/>
  <c r="H4" i="3"/>
  <c r="N4" i="3" s="1"/>
  <c r="Q4" i="3" s="1"/>
  <c r="G4" i="3"/>
  <c r="O4" i="3" s="1"/>
  <c r="F4" i="3"/>
  <c r="R4" i="3" s="1"/>
  <c r="E4" i="3"/>
  <c r="D4" i="3"/>
  <c r="C4" i="3"/>
  <c r="B4" i="3"/>
  <c r="A4" i="3"/>
  <c r="M3" i="3"/>
  <c r="L3" i="3"/>
  <c r="K3" i="3"/>
  <c r="J3" i="3"/>
  <c r="I3" i="3"/>
  <c r="P3" i="3" s="1"/>
  <c r="H3" i="3"/>
  <c r="G3" i="3"/>
  <c r="N3" i="3" s="1"/>
  <c r="Q3" i="3" s="1"/>
  <c r="F3" i="3"/>
  <c r="R3" i="3" s="1"/>
  <c r="E3" i="3"/>
  <c r="D3" i="3"/>
  <c r="C3" i="3"/>
  <c r="B3" i="3"/>
  <c r="A3" i="3"/>
  <c r="M2" i="3"/>
  <c r="L2" i="3"/>
  <c r="K2" i="3"/>
  <c r="J2" i="3"/>
  <c r="B22" i="5" s="1"/>
  <c r="I2" i="3"/>
  <c r="P2" i="3" s="1"/>
  <c r="H2" i="3"/>
  <c r="N2" i="3" s="1"/>
  <c r="G2" i="3"/>
  <c r="B12" i="5" s="1"/>
  <c r="B13" i="5" s="1"/>
  <c r="F2" i="3"/>
  <c r="R2" i="3" s="1"/>
  <c r="E2" i="3"/>
  <c r="D2" i="3"/>
  <c r="C2" i="3"/>
  <c r="B2" i="3"/>
  <c r="A2" i="3"/>
  <c r="B27" i="5" l="1"/>
  <c r="B24" i="5"/>
  <c r="B21" i="5"/>
  <c r="Q2" i="3"/>
  <c r="Q22" i="3"/>
  <c r="O2" i="3"/>
  <c r="P22" i="3"/>
  <c r="B25" i="5" s="1"/>
  <c r="J4" i="4"/>
  <c r="B5" i="4"/>
  <c r="K5" i="4"/>
  <c r="E6" i="4"/>
  <c r="B7" i="4"/>
  <c r="K7" i="4"/>
  <c r="J8" i="4"/>
  <c r="F9" i="4"/>
  <c r="E10" i="4"/>
  <c r="B11" i="4"/>
  <c r="K11" i="4"/>
  <c r="J12" i="4"/>
  <c r="B6" i="5"/>
  <c r="O3" i="3"/>
  <c r="B19" i="5" s="1"/>
  <c r="O5" i="3"/>
  <c r="O7" i="3"/>
  <c r="B20" i="5" s="1"/>
  <c r="O9" i="3"/>
  <c r="O11" i="3"/>
  <c r="O13" i="3"/>
  <c r="O15" i="3"/>
  <c r="O23" i="3"/>
  <c r="B4" i="4"/>
  <c r="K4" i="4"/>
  <c r="E5" i="4"/>
  <c r="F6" i="4"/>
  <c r="E7" i="4"/>
  <c r="B8" i="4"/>
  <c r="K8" i="4"/>
  <c r="J9" i="4"/>
  <c r="F10" i="4"/>
  <c r="E11" i="4"/>
  <c r="B12" i="4"/>
  <c r="K12" i="4"/>
  <c r="B7" i="5"/>
  <c r="B9" i="5" s="1"/>
  <c r="O17" i="3"/>
  <c r="O19" i="3"/>
  <c r="O21" i="3"/>
  <c r="E4" i="4"/>
  <c r="F5" i="4"/>
  <c r="J6" i="4"/>
  <c r="F7" i="4"/>
  <c r="E8" i="4"/>
  <c r="B9" i="4"/>
  <c r="K9" i="4"/>
  <c r="J10" i="4"/>
  <c r="F11" i="4"/>
  <c r="E12" i="4"/>
  <c r="B14" i="5"/>
  <c r="B26" i="5"/>
  <c r="F4" i="4"/>
  <c r="J5" i="4"/>
  <c r="B6" i="4"/>
  <c r="K6" i="4"/>
  <c r="J7" i="4"/>
  <c r="F8" i="4"/>
  <c r="E9" i="4"/>
  <c r="B10" i="4"/>
  <c r="K10" i="4"/>
  <c r="J11" i="4"/>
  <c r="F12" i="4"/>
  <c r="B5" i="5"/>
  <c r="B15" i="5"/>
  <c r="B16" i="5" s="1"/>
  <c r="B23" i="5"/>
  <c r="T4" i="4" l="1"/>
  <c r="B18" i="5"/>
  <c r="T5" i="4"/>
  <c r="Q4" i="4"/>
  <c r="B17" i="5"/>
  <c r="Q5" i="4"/>
</calcChain>
</file>

<file path=xl/sharedStrings.xml><?xml version="1.0" encoding="utf-8"?>
<sst xmlns="http://schemas.openxmlformats.org/spreadsheetml/2006/main" count="263" uniqueCount="170">
  <si>
    <t>AI 300 Assignment 3 | BrightPath chart workbook</t>
  </si>
  <si>
    <t>Fictional classroom example. BrightPath Retail and all figures are course practice data.</t>
  </si>
  <si>
    <t>Purpose: holds the data behind every chart in the packet. Edit a number on Chart_Data (or upstream) and the charts on the Charts sheet update.</t>
  </si>
  <si>
    <t>Sheets</t>
  </si>
  <si>
    <t>Raw_Data: the CSV exactly as supplied (23 rows, 14 columns). Only change: thousands separators removed so numbers are numeric. Includes the duplicate ST-112 row and the unreviewed AI columns.</t>
  </si>
  <si>
    <t>Clean_Data: 22 unique stores linked to Raw_Data by formula, with recalculated measures and a cohort flag. Duplicate row excluded; region label standardised. No source value overwritten.</t>
  </si>
  <si>
    <t>Chart_Data: the exact ranges each chart reads (V1 initial, V2 first revision, V3 final).</t>
  </si>
  <si>
    <t>Summary: reconciliations and the statistics quoted in the packet.</t>
  </si>
  <si>
    <t>Charts: three native Excel charts (V1, V2, V3).</t>
  </si>
  <si>
    <t>Colour legend</t>
  </si>
  <si>
    <t>Blue text = hardcoded input (raw data, thresholds). Green text = link to another sheet. Black text = calculation. Yellow fill = row with a data issue.</t>
  </si>
  <si>
    <t>Notes</t>
  </si>
  <si>
    <t>Productivity = avg_weekly_units / labor_hours_weekly (recalculated; the reported units_per_labor_hour column is derived and can be stale).</t>
  </si>
  <si>
    <t>Mature = open 13+ months (glossary: comparable store). Young = under 13 months.</t>
  </si>
  <si>
    <t>Row order on Chart_Data (alphabetical for V1, sorted for V2, grouped for V3) is fixed; if you change values enough to change the ranking, re-sort the rows.</t>
  </si>
  <si>
    <t>Point labels on the V3 chart are typed text, not linked to cells; retype them if you change values.</t>
  </si>
  <si>
    <t>Source: BrightPath_Store_Performance_Sample.csv and AI300 Business Analytics Reference Materials, Section 4 (course-supplied).</t>
  </si>
  <si>
    <t>store_id</t>
  </si>
  <si>
    <t>region</t>
  </si>
  <si>
    <t>format</t>
  </si>
  <si>
    <t>sq_ft</t>
  </si>
  <si>
    <t>months_open</t>
  </si>
  <si>
    <t>labor_hours_weekly</t>
  </si>
  <si>
    <t>avg_weekly_units</t>
  </si>
  <si>
    <t>avg_weekly_revenue</t>
  </si>
  <si>
    <t>units_per_labor_hour</t>
  </si>
  <si>
    <t>stockout_rate_pct</t>
  </si>
  <si>
    <t>forecast_error_pct_prior_q</t>
  </si>
  <si>
    <t>forecast_error_pct_last_q</t>
  </si>
  <si>
    <t>ai_finding</t>
  </si>
  <si>
    <t>ai_recommendation</t>
  </si>
  <si>
    <t>ST-101</t>
  </si>
  <si>
    <t>Pacific Northwest</t>
  </si>
  <si>
    <t>Full-line</t>
  </si>
  <si>
    <t>Forecast error above chain average</t>
  </si>
  <si>
    <t>Review demand inputs</t>
  </si>
  <si>
    <t>ST-102</t>
  </si>
  <si>
    <t>Compact</t>
  </si>
  <si>
    <t>Stockout rate above target</t>
  </si>
  <si>
    <t>Increase replenishment frequency</t>
  </si>
  <si>
    <t>ST-103</t>
  </si>
  <si>
    <t>Pacific NW</t>
  </si>
  <si>
    <t>Outlet</t>
  </si>
  <si>
    <t>No action</t>
  </si>
  <si>
    <t>ST-104</t>
  </si>
  <si>
    <t>Mountain</t>
  </si>
  <si>
    <t>Productivity above chain average</t>
  </si>
  <si>
    <t>Study and document practice</t>
  </si>
  <si>
    <t>ST-105</t>
  </si>
  <si>
    <t>Compact format underperforms in the Mountain region</t>
  </si>
  <si>
    <t>Convert Mountain Compact stores to Full-line</t>
  </si>
  <si>
    <t>ST-106</t>
  </si>
  <si>
    <t>ST-107</t>
  </si>
  <si>
    <t>ST-108</t>
  </si>
  <si>
    <t>Southwest</t>
  </si>
  <si>
    <t>Service levels at risk</t>
  </si>
  <si>
    <t>Add 40 labour hours a week</t>
  </si>
  <si>
    <t>ST-109</t>
  </si>
  <si>
    <t>ST-110</t>
  </si>
  <si>
    <t>ST-111</t>
  </si>
  <si>
    <t>Midwest</t>
  </si>
  <si>
    <t>ST-112</t>
  </si>
  <si>
    <t>&lt;- duplicate of row 13</t>
  </si>
  <si>
    <t>ST-113</t>
  </si>
  <si>
    <t>ST-114</t>
  </si>
  <si>
    <t>Down 14 percent against the same quarter last year</t>
  </si>
  <si>
    <t>Investigate assortment</t>
  </si>
  <si>
    <t>ST-115</t>
  </si>
  <si>
    <t>Northeast</t>
  </si>
  <si>
    <t>ST-116</t>
  </si>
  <si>
    <t>ST-117</t>
  </si>
  <si>
    <t>Forecast accuracy improved quarter over quarter</t>
  </si>
  <si>
    <t>Extend the current forecast method</t>
  </si>
  <si>
    <t>ST-118</t>
  </si>
  <si>
    <t>ST-119</t>
  </si>
  <si>
    <t>Southeast</t>
  </si>
  <si>
    <t>ST-120</t>
  </si>
  <si>
    <t>Sales per square foot in the bottom decile</t>
  </si>
  <si>
    <t>Review space allocation</t>
  </si>
  <si>
    <t>ST-121</t>
  </si>
  <si>
    <t>Low total revenue relative to the chain</t>
  </si>
  <si>
    <t>Recommend closure at lease end</t>
  </si>
  <si>
    <t>ST-122</t>
  </si>
  <si>
    <t>Untouched copy of the supplied CSV (numeric conversion only). Row 14 repeats ST-112 (exact duplicate).</t>
  </si>
  <si>
    <t>region_raw</t>
  </si>
  <si>
    <t>region_clean</t>
  </si>
  <si>
    <t>reported_units_per_labor_hour</t>
  </si>
  <si>
    <t>forecast_error_prior_q</t>
  </si>
  <si>
    <t>forecast_error_last_q</t>
  </si>
  <si>
    <t>recalc_units_per_labor_hour</t>
  </si>
  <si>
    <t>revenue_per_labor_hour</t>
  </si>
  <si>
    <t>revenue_per_unit</t>
  </si>
  <si>
    <t>reported_minus_recalc</t>
  </si>
  <si>
    <t>cohort</t>
  </si>
  <si>
    <t>data_note</t>
  </si>
  <si>
    <t>Region label "Pacific NW" standardised</t>
  </si>
  <si>
    <t>Reported 6.8 does not match units/hours (3.08)</t>
  </si>
  <si>
    <t>Revenue implies ~$312/unit; not used</t>
  </si>
  <si>
    <t>3 months open; AI "vs same quarter last year" unsupported</t>
  </si>
  <si>
    <t>Error rose 6.2 to 11.4; AI says improved</t>
  </si>
  <si>
    <t>Square footage blank; not used</t>
  </si>
  <si>
    <t>Stockout 104% impossible; not used</t>
  </si>
  <si>
    <t>22 unique stores. Yellow = row with a data issue (see data_note). Values link to Raw_Data; nothing overwritten.</t>
  </si>
  <si>
    <t>Chart data (every chart reads from here)</t>
  </si>
  <si>
    <t>Values are looked up from Clean_Data by store_id. Blue = typed input. Row order is fixed (see README).</t>
  </si>
  <si>
    <t>V1 store_id</t>
  </si>
  <si>
    <t>V1 reported units/labor hr</t>
  </si>
  <si>
    <t>V2 store_id</t>
  </si>
  <si>
    <t>V2 recalculated units/labor hr</t>
  </si>
  <si>
    <t>Region</t>
  </si>
  <si>
    <t>V3 cohort</t>
  </si>
  <si>
    <t>V3 store_id</t>
  </si>
  <si>
    <t>Months open</t>
  </si>
  <si>
    <t>Recalculated units/labor hr</t>
  </si>
  <si>
    <t>Threshold x (months)</t>
  </si>
  <si>
    <t>Threshold y</t>
  </si>
  <si>
    <t>Band low x</t>
  </si>
  <si>
    <t>Band low y (min of mature)</t>
  </si>
  <si>
    <t>Band high x</t>
  </si>
  <si>
    <t>Band high y (max of mature)</t>
  </si>
  <si>
    <t>Young Mountain Compact</t>
  </si>
  <si>
    <t>Mature Compact</t>
  </si>
  <si>
    <t>Threshold = comparable-store definition (open 13+ months), AI300 glossary.</t>
  </si>
  <si>
    <t>Summary statistics and reconciliations</t>
  </si>
  <si>
    <t>Measure</t>
  </si>
  <si>
    <t>Value</t>
  </si>
  <si>
    <t>Note / source</t>
  </si>
  <si>
    <t>Rows in raw file</t>
  </si>
  <si>
    <t>Raw_Data</t>
  </si>
  <si>
    <t>Unique stores after removing duplicate</t>
  </si>
  <si>
    <t>ST-112 repeated</t>
  </si>
  <si>
    <t>Compact stores</t>
  </si>
  <si>
    <t>Units per week, de-duplicated</t>
  </si>
  <si>
    <t>Compare to merchandising report below</t>
  </si>
  <si>
    <t>Units per week per merchandising report</t>
  </si>
  <si>
    <t>Reference Section 4, Extract Facts (input)</t>
  </si>
  <si>
    <t>Units difference</t>
  </si>
  <si>
    <t>0 = reconciles</t>
  </si>
  <si>
    <t>Scheduled hours, all 23 raw rows</t>
  </si>
  <si>
    <t>Scheduled hours per Extract Facts</t>
  </si>
  <si>
    <t>Reference Section 4 (input)</t>
  </si>
  <si>
    <t>Scheduled hours, de-duplicated</t>
  </si>
  <si>
    <t>Hours difference: stated minus de-duplicated</t>
  </si>
  <si>
    <t>185 = ST-112 hours; stated figure includes the duplicate</t>
  </si>
  <si>
    <t>Mature Compact mean units/labor hr (n=6)</t>
  </si>
  <si>
    <t>Unweighted mean of store values</t>
  </si>
  <si>
    <t>Young Mountain Compact mean units/labor hr (n=3)</t>
  </si>
  <si>
    <t>Gap, young vs mature</t>
  </si>
  <si>
    <t>Mature Compact minimum</t>
  </si>
  <si>
    <t>Mature Compact maximum</t>
  </si>
  <si>
    <t>Mature Compact mean revenue per labor hour ($)</t>
  </si>
  <si>
    <t>Cross-check measure</t>
  </si>
  <si>
    <t>Young Mountain Compact mean revenue per labor hour ($)</t>
  </si>
  <si>
    <t>Chain mean units/labor hr, recalculated (unweighted)</t>
  </si>
  <si>
    <t>Chain mean units/labor hr, reported column (unweighted)</t>
  </si>
  <si>
    <t>Inflated by ST-106 stale 6.8</t>
  </si>
  <si>
    <t>ST-110 implied revenue per unit ($)</t>
  </si>
  <si>
    <t>Implausible</t>
  </si>
  <si>
    <t>Other stores: minimum revenue per unit ($)</t>
  </si>
  <si>
    <t>Excludes ST-110 (row 11 of Clean_Data)</t>
  </si>
  <si>
    <t>Other stores: maximum revenue per unit ($)</t>
  </si>
  <si>
    <t>Full-line Mountain store ST-107 units/labor hr</t>
  </si>
  <si>
    <t>Region alone does not explain the gap</t>
  </si>
  <si>
    <t>Young Full-line ST-114 units/labor hr</t>
  </si>
  <si>
    <t>Newness alone does not show a gap</t>
  </si>
  <si>
    <t>Charts (native Excel charts; edit the data on Chart_Data)</t>
  </si>
  <si>
    <t>Fictional classroom example. Q1 2026 store-level averages over 13 weeks (not a time series). 9 Compact stores; duplicate ST-112 row removed. Source: BrightPath_Store_Performance_Sample.csv.</t>
  </si>
  <si>
    <t>V1: initial version (flawed on purpose: reported column, alphabetical, no axis title)</t>
  </si>
  <si>
    <t>V2: first revision (recalculated, sorted, Mountain highlighted)</t>
  </si>
  <si>
    <t>V3: final version (months open vs productivity)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</si>
</sst>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"/>
    <numFmt numFmtId="165" formatCode="0.00;\-0.00;0.00"/>
    <numFmt numFmtId="166" formatCode="0.0"/>
    <numFmt numFmtId="167" formatCode="0.0%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Arial"/>
      <family val="2"/>
    </font>
    <font>
      <i/>
      <sz val="9"/>
      <color rgb="FF555555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wrapText="1"/>
    </xf>
    <xf numFmtId="0" fontId="6" fillId="0" borderId="0" xfId="0" applyFont="1"/>
    <xf numFmtId="3" fontId="6" fillId="0" borderId="0" xfId="0" applyNumberFormat="1" applyFont="1"/>
    <xf numFmtId="0" fontId="6" fillId="3" borderId="0" xfId="0" applyFont="1" applyFill="1"/>
    <xf numFmtId="3" fontId="6" fillId="3" borderId="0" xfId="0" applyNumberFormat="1" applyFont="1" applyFill="1"/>
    <xf numFmtId="0" fontId="2" fillId="0" borderId="0" xfId="0" applyFont="1"/>
    <xf numFmtId="0" fontId="5" fillId="2" borderId="0" xfId="0" applyFont="1" applyFill="1" applyAlignment="1">
      <alignment vertical="top" wrapText="1"/>
    </xf>
    <xf numFmtId="0" fontId="7" fillId="0" borderId="0" xfId="0" applyFont="1"/>
    <xf numFmtId="0" fontId="3" fillId="0" borderId="0" xfId="0" applyFont="1"/>
    <xf numFmtId="3" fontId="7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0" fontId="7" fillId="3" borderId="0" xfId="0" applyFont="1" applyFill="1"/>
    <xf numFmtId="0" fontId="3" fillId="3" borderId="0" xfId="0" applyFont="1" applyFill="1"/>
    <xf numFmtId="3" fontId="7" fillId="3" borderId="0" xfId="0" applyNumberFormat="1" applyFont="1" applyFill="1"/>
    <xf numFmtId="2" fontId="3" fillId="3" borderId="0" xfId="0" applyNumberFormat="1" applyFont="1" applyFill="1"/>
    <xf numFmtId="164" fontId="3" fillId="3" borderId="0" xfId="0" applyNumberFormat="1" applyFont="1" applyFill="1"/>
    <xf numFmtId="165" fontId="3" fillId="3" borderId="0" xfId="0" applyNumberFormat="1" applyFont="1" applyFill="1"/>
    <xf numFmtId="0" fontId="1" fillId="0" borderId="0" xfId="0" applyFont="1"/>
    <xf numFmtId="166" fontId="7" fillId="0" borderId="0" xfId="0" applyNumberFormat="1" applyFont="1"/>
    <xf numFmtId="2" fontId="7" fillId="0" borderId="0" xfId="0" applyNumberFormat="1" applyFont="1"/>
    <xf numFmtId="0" fontId="5" fillId="2" borderId="0" xfId="0" applyFont="1" applyFill="1"/>
    <xf numFmtId="1" fontId="3" fillId="0" borderId="0" xfId="0" applyNumberFormat="1" applyFont="1"/>
    <xf numFmtId="3" fontId="3" fillId="0" borderId="0" xfId="0" applyNumberFormat="1" applyFont="1"/>
    <xf numFmtId="167" fontId="3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>
                <a:solidFill>
                  <a:srgbClr val="222222"/>
                </a:solidFill>
                <a:latin typeface="Calibri"/>
              </a:rPr>
              <a:t>Units per labor hour by store (Compact)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Reported units per labor hour</c:v>
          </c:tx>
          <c:spPr>
            <a:solidFill>
              <a:srgbClr val="1F77B4"/>
            </a:solidFill>
          </c:spPr>
          <c:invertIfNegative val="0"/>
          <c:cat>
            <c:strRef>
              <c:f>Chart_Data!$A$4:$A$12</c:f>
              <c:strCache>
                <c:ptCount val="9"/>
                <c:pt idx="0">
                  <c:v>ST-102</c:v>
                </c:pt>
                <c:pt idx="1">
                  <c:v>ST-104</c:v>
                </c:pt>
                <c:pt idx="2">
                  <c:v>ST-105</c:v>
                </c:pt>
                <c:pt idx="3">
                  <c:v>ST-106</c:v>
                </c:pt>
                <c:pt idx="4">
                  <c:v>ST-109</c:v>
                </c:pt>
                <c:pt idx="5">
                  <c:v>ST-112</c:v>
                </c:pt>
                <c:pt idx="6">
                  <c:v>ST-116</c:v>
                </c:pt>
                <c:pt idx="7">
                  <c:v>ST-118</c:v>
                </c:pt>
                <c:pt idx="8">
                  <c:v>ST-120</c:v>
                </c:pt>
              </c:strCache>
            </c:strRef>
          </c:cat>
          <c:val>
            <c:numRef>
              <c:f>Chart_Data!$B$4:$B$12</c:f>
              <c:numCache>
                <c:formatCode>0.0</c:formatCode>
                <c:ptCount val="9"/>
                <c:pt idx="0">
                  <c:v>3.4</c:v>
                </c:pt>
                <c:pt idx="1">
                  <c:v>2.4</c:v>
                </c:pt>
                <c:pt idx="2">
                  <c:v>3</c:v>
                </c:pt>
                <c:pt idx="3">
                  <c:v>6.8</c:v>
                </c:pt>
                <c:pt idx="4">
                  <c:v>3.6</c:v>
                </c:pt>
                <c:pt idx="5">
                  <c:v>3.7</c:v>
                </c:pt>
                <c:pt idx="6">
                  <c:v>3.8</c:v>
                </c:pt>
                <c:pt idx="7">
                  <c:v>3.8</c:v>
                </c:pt>
                <c:pt idx="8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88-4F2C-B15A-1CDF1DB22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</c:valAx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1100" b="1"/>
            </a:pPr>
            <a:r>
              <a:rPr lang="en-US" sz="1100" b="1">
                <a:solidFill>
                  <a:srgbClr val="222222"/>
                </a:solidFill>
                <a:latin typeface="Calibri"/>
              </a:rPr>
              <a:t>Mountain Compact stores have the lowest productivity of nine Compact stores</a:t>
            </a:r>
          </a:p>
          <a:p>
            <a:pPr>
              <a:defRPr sz="1100" b="1"/>
            </a:pPr>
            <a:r>
              <a:rPr lang="en-US" sz="800" b="0">
                <a:solidFill>
                  <a:srgbClr val="222222"/>
                </a:solidFill>
                <a:latin typeface="Calibri"/>
              </a:rPr>
              <a:t>Orange = Mountain region. Q1 2026 store averages; duplicate ST-112 row removed.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Recalculated units per labor hour</c:v>
          </c:tx>
          <c:spPr>
            <a:solidFill>
              <a:srgbClr val="8A8F98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D55E00"/>
              </a:solidFill>
            </c:spPr>
            <c:extLst>
              <c:ext xmlns:c16="http://schemas.microsoft.com/office/drawing/2014/chart" uri="{C3380CC4-5D6E-409C-BE32-E72D297353CC}">
                <c16:uniqueId val="{00000001-E0A0-4CE3-9092-E91C6E59F9C1}"/>
              </c:ext>
            </c:extLst>
          </c:dPt>
          <c:dPt>
            <c:idx val="1"/>
            <c:invertIfNegative val="0"/>
            <c:bubble3D val="0"/>
            <c:spPr>
              <a:solidFill>
                <a:srgbClr val="D55E00"/>
              </a:solidFill>
            </c:spPr>
            <c:extLst>
              <c:ext xmlns:c16="http://schemas.microsoft.com/office/drawing/2014/chart" uri="{C3380CC4-5D6E-409C-BE32-E72D297353CC}">
                <c16:uniqueId val="{00000003-E0A0-4CE3-9092-E91C6E59F9C1}"/>
              </c:ext>
            </c:extLst>
          </c:dPt>
          <c:dPt>
            <c:idx val="2"/>
            <c:invertIfNegative val="0"/>
            <c:bubble3D val="0"/>
            <c:spPr>
              <a:solidFill>
                <a:srgbClr val="D55E00"/>
              </a:solidFill>
            </c:spPr>
            <c:extLst>
              <c:ext xmlns:c16="http://schemas.microsoft.com/office/drawing/2014/chart" uri="{C3380CC4-5D6E-409C-BE32-E72D297353CC}">
                <c16:uniqueId val="{00000005-E0A0-4CE3-9092-E91C6E59F9C1}"/>
              </c:ext>
            </c:extLst>
          </c:dPt>
          <c:dLbls>
            <c:numFmt formatCode="0.0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333333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Chart_Data!$D$4:$D$12</c:f>
              <c:strCache>
                <c:ptCount val="9"/>
                <c:pt idx="0">
                  <c:v>ST-104</c:v>
                </c:pt>
                <c:pt idx="1">
                  <c:v>ST-105</c:v>
                </c:pt>
                <c:pt idx="2">
                  <c:v>ST-106</c:v>
                </c:pt>
                <c:pt idx="3">
                  <c:v>ST-102</c:v>
                </c:pt>
                <c:pt idx="4">
                  <c:v>ST-120</c:v>
                </c:pt>
                <c:pt idx="5">
                  <c:v>ST-109</c:v>
                </c:pt>
                <c:pt idx="6">
                  <c:v>ST-112</c:v>
                </c:pt>
                <c:pt idx="7">
                  <c:v>ST-116</c:v>
                </c:pt>
                <c:pt idx="8">
                  <c:v>ST-118</c:v>
                </c:pt>
              </c:strCache>
            </c:strRef>
          </c:cat>
          <c:val>
            <c:numRef>
              <c:f>Chart_Data!$E$4:$E$12</c:f>
              <c:numCache>
                <c:formatCode>0.00</c:formatCode>
                <c:ptCount val="9"/>
                <c:pt idx="0">
                  <c:v>2.4398148148148149</c:v>
                </c:pt>
                <c:pt idx="1">
                  <c:v>2.978723404255319</c:v>
                </c:pt>
                <c:pt idx="2">
                  <c:v>3.0782608695652174</c:v>
                </c:pt>
                <c:pt idx="3">
                  <c:v>3.3891402714932126</c:v>
                </c:pt>
                <c:pt idx="4">
                  <c:v>3.5982905982905984</c:v>
                </c:pt>
                <c:pt idx="5">
                  <c:v>3.608040201005025</c:v>
                </c:pt>
                <c:pt idx="6">
                  <c:v>3.6594594594594594</c:v>
                </c:pt>
                <c:pt idx="7">
                  <c:v>3.7485714285714287</c:v>
                </c:pt>
                <c:pt idx="8">
                  <c:v>3.8208092485549132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A0-4CE3-9092-E91C6E59F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001"/>
        <c:axId val="5002"/>
      </c:barChart>
      <c:catAx>
        <c:axId val="5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5002"/>
        <c:crosses val="autoZero"/>
        <c:auto val="1"/>
        <c:lblAlgn val="ctr"/>
        <c:lblOffset val="100"/>
        <c:noMultiLvlLbl val="0"/>
      </c:catAx>
      <c:valAx>
        <c:axId val="5002"/>
        <c:scaling>
          <c:orientation val="minMax"/>
          <c:max val="4.5"/>
          <c:min val="0"/>
        </c:scaling>
        <c:delete val="0"/>
        <c:axPos val="l"/>
        <c:majorGridlines>
          <c:spPr>
            <a:ln w="6350">
              <a:solidFill>
                <a:srgbClr val="E1E4E8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>
                    <a:solidFill>
                      <a:srgbClr val="333333"/>
                    </a:solidFill>
                  </a:rPr>
                  <a:t>Units sold per scheduled labor hour (recalculated: units ÷ hours)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5001"/>
        <c:crosses val="autoZero"/>
        <c:crossBetween val="between"/>
        <c:majorUnit val="0.5"/>
      </c:valAx>
    </c:plotArea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pPr>
              <a:defRPr sz="950" b="1"/>
            </a:pPr>
            <a:r>
              <a:rPr lang="en-US" sz="950" b="1">
                <a:solidFill>
                  <a:srgbClr val="222222"/>
                </a:solidFill>
                <a:latin typeface="Calibri"/>
              </a:rPr>
              <a:t>Mountain's three young Compact stores trail mature Compacts; the youngest trails most</a:t>
            </a:r>
          </a:p>
          <a:p>
            <a:pPr>
              <a:defRPr sz="950" b="1"/>
            </a:pPr>
            <a:r>
              <a:rPr lang="en-US" sz="800" b="0">
                <a:solidFill>
                  <a:srgbClr val="222222"/>
                </a:solidFill>
                <a:latin typeface="Calibri"/>
              </a:rPr>
              <a:t>Q1 2026 store averages, not a time series; 9 Compact stores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Mature Compact (open 13+ months)</c:v>
          </c:tx>
          <c:spPr>
            <a:ln w="19050">
              <a:noFill/>
            </a:ln>
          </c:spPr>
          <c:marker>
            <c:symbol val="circle"/>
            <c:size val="8"/>
            <c:spPr>
              <a:solidFill>
                <a:srgbClr val="8A8F98"/>
              </a:solidFill>
              <a:ln>
                <a:solidFill>
                  <a:srgbClr val="8A8F98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/>
                      <a:t>ST-118 3.82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54EC-48C0-8318-AB875F5932A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sz="800"/>
                      <a:t>ST-120 3.60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54EC-48C0-8318-AB875F5932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/>
                      <a:t>ST-109 3.61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54EC-48C0-8318-AB875F5932A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 sz="800"/>
                      <a:t>ST-116 3.75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4EC-48C0-8318-AB875F5932A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 sz="800"/>
                      <a:t>ST-112 3.66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4EC-48C0-8318-AB875F5932A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 sz="800"/>
                      <a:t>ST-102 3.39</a:t>
                    </a:r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54EC-48C0-8318-AB875F5932A3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333333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Chart_Data!$J$7:$J$12</c:f>
              <c:numCache>
                <c:formatCode>General</c:formatCode>
                <c:ptCount val="6"/>
                <c:pt idx="0">
                  <c:v>47</c:v>
                </c:pt>
                <c:pt idx="1">
                  <c:v>55</c:v>
                </c:pt>
                <c:pt idx="2">
                  <c:v>68</c:v>
                </c:pt>
                <c:pt idx="3">
                  <c:v>84</c:v>
                </c:pt>
                <c:pt idx="4">
                  <c:v>102</c:v>
                </c:pt>
                <c:pt idx="5">
                  <c:v>130</c:v>
                </c:pt>
              </c:numCache>
            </c:numRef>
          </c:xVal>
          <c:yVal>
            <c:numRef>
              <c:f>Chart_Data!$K$7:$K$12</c:f>
              <c:numCache>
                <c:formatCode>0.00</c:formatCode>
                <c:ptCount val="6"/>
                <c:pt idx="0">
                  <c:v>3.8208092485549132</c:v>
                </c:pt>
                <c:pt idx="1">
                  <c:v>3.5982905982905984</c:v>
                </c:pt>
                <c:pt idx="2">
                  <c:v>3.608040201005025</c:v>
                </c:pt>
                <c:pt idx="3">
                  <c:v>3.7485714285714287</c:v>
                </c:pt>
                <c:pt idx="4">
                  <c:v>3.6594594594594594</c:v>
                </c:pt>
                <c:pt idx="5">
                  <c:v>3.3891402714932126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C-48C0-8318-AB875F5932A3}"/>
            </c:ext>
          </c:extLst>
        </c:ser>
        <c:ser>
          <c:idx val="1"/>
          <c:order val="1"/>
          <c:tx>
            <c:v>Mountain Compact (open under 13 months)</c:v>
          </c:tx>
          <c:spPr>
            <a:ln w="19050">
              <a:noFill/>
            </a:ln>
          </c:spPr>
          <c:marker>
            <c:symbol val="diamond"/>
            <c:size val="10"/>
            <c:spPr>
              <a:solidFill>
                <a:srgbClr val="D55E00"/>
              </a:solidFill>
              <a:ln>
                <a:solidFill>
                  <a:srgbClr val="D55E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 sz="800"/>
                      <a:t>ST-104 2.44 (4 mo)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54EC-48C0-8318-AB875F5932A3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4EC-48C0-8318-AB875F5932A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 sz="800"/>
                      <a:t>ST-105 2.98 (7 mo)</a:t>
                    </a:r>
                  </a:p>
                  <a:p>
                    <a:r>
                      <a:rPr lang="en-US" sz="800"/>
                      <a:t>ST-106 3.08 (9 mo)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54EC-48C0-8318-AB875F5932A3}"/>
                </c:ext>
              </c:extLst>
            </c:dLbl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333333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Chart_Data!$J$4:$J$6</c:f>
              <c:numCache>
                <c:formatCode>General</c:formatCode>
                <c:ptCount val="3"/>
                <c:pt idx="0">
                  <c:v>4</c:v>
                </c:pt>
                <c:pt idx="1">
                  <c:v>7</c:v>
                </c:pt>
                <c:pt idx="2">
                  <c:v>9</c:v>
                </c:pt>
              </c:numCache>
            </c:numRef>
          </c:xVal>
          <c:yVal>
            <c:numRef>
              <c:f>Chart_Data!$K$4:$K$6</c:f>
              <c:numCache>
                <c:formatCode>0.00</c:formatCode>
                <c:ptCount val="3"/>
                <c:pt idx="0">
                  <c:v>2.4398148148148149</c:v>
                </c:pt>
                <c:pt idx="1">
                  <c:v>2.978723404255319</c:v>
                </c:pt>
                <c:pt idx="2">
                  <c:v>3.0782608695652174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C-48C0-8318-AB875F5932A3}"/>
            </c:ext>
          </c:extLst>
        </c:ser>
        <c:ser>
          <c:idx val="2"/>
          <c:order val="2"/>
          <c:tx>
            <c:v>13 months: comparable-store threshold</c:v>
          </c:tx>
          <c:spPr>
            <a:ln w="12700">
              <a:solidFill>
                <a:srgbClr val="444444"/>
              </a:solidFill>
              <a:prstDash val="dash"/>
            </a:ln>
          </c:spPr>
          <c:marker>
            <c:symbol val="none"/>
          </c:marker>
          <c:xVal>
            <c:numRef>
              <c:f>Chart_Data!$M$4:$M$5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xVal>
          <c:yVal>
            <c:numRef>
              <c:f>Chart_Data!$N$4:$N$5</c:f>
              <c:numCache>
                <c:formatCode>General</c:formatCode>
                <c:ptCount val="2"/>
                <c:pt idx="0">
                  <c:v>0</c:v>
                </c:pt>
                <c:pt idx="1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C-48C0-8318-AB875F5932A3}"/>
            </c:ext>
          </c:extLst>
        </c:ser>
        <c:ser>
          <c:idx val="3"/>
          <c:order val="3"/>
          <c:tx>
            <c:v>Mature Compact min and max (dotted)</c:v>
          </c:tx>
          <c:spPr>
            <a:ln w="12700">
              <a:solidFill>
                <a:srgbClr val="8A8F98"/>
              </a:solidFill>
              <a:prstDash val="sysDot"/>
            </a:ln>
          </c:spPr>
          <c:marker>
            <c:symbol val="none"/>
          </c:marker>
          <c:xVal>
            <c:numRef>
              <c:f>Chart_Data!$P$4:$P$5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Chart_Data!$Q$4:$Q$5</c:f>
              <c:numCache>
                <c:formatCode>0.00</c:formatCode>
                <c:ptCount val="2"/>
                <c:pt idx="0">
                  <c:v>3.3891402714932126</c:v>
                </c:pt>
                <c:pt idx="1">
                  <c:v>3.3891402714932126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C-48C0-8318-AB875F5932A3}"/>
            </c:ext>
          </c:extLst>
        </c:ser>
        <c:ser>
          <c:idx val="4"/>
          <c:order val="4"/>
          <c:tx>
            <c:v>Mature Compact maximum</c:v>
          </c:tx>
          <c:spPr>
            <a:ln w="12700">
              <a:solidFill>
                <a:srgbClr val="8A8F98"/>
              </a:solidFill>
              <a:prstDash val="sysDot"/>
            </a:ln>
          </c:spPr>
          <c:marker>
            <c:symbol val="none"/>
          </c:marker>
          <c:xVal>
            <c:numRef>
              <c:f>Chart_Data!$S$4:$S$5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150</c:v>
                </c:pt>
              </c:numCache>
            </c:numRef>
          </c:xVal>
          <c:yVal>
            <c:numRef>
              <c:f>Chart_Data!$T$4:$T$5</c:f>
              <c:numCache>
                <c:formatCode>0.00</c:formatCode>
                <c:ptCount val="2"/>
                <c:pt idx="0">
                  <c:v>3.8208092485549132</c:v>
                </c:pt>
                <c:pt idx="1">
                  <c:v>3.8208092485549132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C-48C0-8318-AB875F5932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1"/>
        <c:axId val="6002"/>
      </c:scatterChart>
      <c:valAx>
        <c:axId val="6001"/>
        <c:scaling>
          <c:orientation val="minMax"/>
          <c:max val="1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900" b="0"/>
                </a:pPr>
                <a:r>
                  <a:rPr lang="en-US" sz="900" b="0">
                    <a:solidFill>
                      <a:srgbClr val="333333"/>
                    </a:solidFill>
                  </a:rPr>
                  <a:t>Months open (as of report date)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6002"/>
        <c:crosses val="autoZero"/>
        <c:crossBetween val="midCat"/>
        <c:majorUnit val="25"/>
      </c:valAx>
      <c:valAx>
        <c:axId val="6002"/>
        <c:scaling>
          <c:orientation val="minMax"/>
          <c:max val="4.5"/>
          <c:min val="0"/>
        </c:scaling>
        <c:delete val="0"/>
        <c:axPos val="l"/>
        <c:majorGridlines>
          <c:spPr>
            <a:ln w="6350">
              <a:solidFill>
                <a:srgbClr val="E1E4E8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0"/>
                </a:pPr>
                <a:r>
                  <a:rPr lang="en-US" sz="900" b="0">
                    <a:solidFill>
                      <a:srgbClr val="333333"/>
                    </a:solidFill>
                  </a:rPr>
                  <a:t>Units sold per scheduled labor hour (recalculated: units ÷ hours)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9525">
            <a:solidFill>
              <a:srgbClr val="666666"/>
            </a:solidFill>
          </a:ln>
        </c:spPr>
        <c:txPr>
          <a:bodyPr/>
          <a:lstStyle/>
          <a:p>
            <a:pPr>
              <a:defRPr sz="900" b="0">
                <a:solidFill>
                  <a:srgbClr val="333333"/>
                </a:solidFill>
                <a:latin typeface="Calibri"/>
              </a:defRPr>
            </a:pPr>
            <a:endParaRPr lang="en-US"/>
          </a:p>
        </c:txPr>
        <c:crossAx val="6001"/>
        <c:crosses val="autoZero"/>
        <c:crossBetween val="midCat"/>
        <c:majorUnit val="0.5"/>
      </c:valAx>
    </c:plotArea>
    <c:legend>
      <c:legendPos val="b"/>
      <c:legendEntry>
        <c:idx val="4"/>
        <c:delete val="1"/>
      </c:legendEntry>
      <c:overlay val="0"/>
      <c:txPr>
        <a:bodyPr/>
        <a:lstStyle/>
        <a:p>
          <a:pPr>
            <a:defRPr sz="800" b="0">
              <a:solidFill>
                <a:srgbClr val="333333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>
      <a:noFill/>
    </a:ln>
  </c:spPr>
  <c:txPr>
    <a:bodyPr/>
    <a:lstStyle/>
    <a:p>
      <a:pPr>
        <a:defRPr sz="900" b="0">
          <a:solidFill>
            <a:srgbClr val="333333"/>
          </a:solidFill>
          <a:latin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 V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3" name="Chart V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48</xdr:row>
      <xdr:rowOff>0</xdr:rowOff>
    </xdr:from>
    <xdr:to>
      <xdr:col>13</xdr:col>
      <xdr:colOff>0</xdr:colOff>
      <xdr:row>72</xdr:row>
      <xdr:rowOff>0</xdr:rowOff>
    </xdr:to>
    <xdr:graphicFrame macro="">
      <xdr:nvGraphicFramePr>
        <xdr:cNvPr id="4" name="Chart V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zoomScaleNormal="100" workbookViewId="0"/>
  </sheetViews>
  <sheetFormatPr defaultColWidth="8.6328125" defaultRowHeight="14.5" x14ac:dyDescent="0.35"/>
  <cols>
    <col min="1" max="1" width="120" customWidth="1"/>
  </cols>
  <sheetData>
    <row r="1" spans="1:1" ht="18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/>
    </row>
    <row r="4" spans="1:1" x14ac:dyDescent="0.35">
      <c r="A4" s="3" t="s">
        <v>2</v>
      </c>
    </row>
    <row r="5" spans="1:1" x14ac:dyDescent="0.35">
      <c r="A5" s="4" t="s">
        <v>3</v>
      </c>
    </row>
    <row r="6" spans="1:1" ht="25" x14ac:dyDescent="0.35">
      <c r="A6" s="3" t="s">
        <v>4</v>
      </c>
    </row>
    <row r="7" spans="1:1" ht="25" x14ac:dyDescent="0.35">
      <c r="A7" s="3" t="s">
        <v>5</v>
      </c>
    </row>
    <row r="8" spans="1:1" x14ac:dyDescent="0.35">
      <c r="A8" s="3" t="s">
        <v>6</v>
      </c>
    </row>
    <row r="9" spans="1:1" x14ac:dyDescent="0.35">
      <c r="A9" s="3" t="s">
        <v>7</v>
      </c>
    </row>
    <row r="10" spans="1:1" x14ac:dyDescent="0.35">
      <c r="A10" s="3" t="s">
        <v>8</v>
      </c>
    </row>
    <row r="11" spans="1:1" x14ac:dyDescent="0.35">
      <c r="A11" s="4" t="s">
        <v>9</v>
      </c>
    </row>
    <row r="12" spans="1:1" x14ac:dyDescent="0.35">
      <c r="A12" s="3" t="s">
        <v>10</v>
      </c>
    </row>
    <row r="13" spans="1:1" x14ac:dyDescent="0.35">
      <c r="A13" s="4" t="s">
        <v>11</v>
      </c>
    </row>
    <row r="14" spans="1:1" x14ac:dyDescent="0.35">
      <c r="A14" s="3" t="s">
        <v>12</v>
      </c>
    </row>
    <row r="15" spans="1:1" x14ac:dyDescent="0.35">
      <c r="A15" s="3" t="s">
        <v>13</v>
      </c>
    </row>
    <row r="16" spans="1:1" ht="25" x14ac:dyDescent="0.35">
      <c r="A16" s="3" t="s">
        <v>14</v>
      </c>
    </row>
    <row r="17" spans="1:1" x14ac:dyDescent="0.35">
      <c r="A17" s="3" t="s">
        <v>15</v>
      </c>
    </row>
    <row r="18" spans="1:1" x14ac:dyDescent="0.35">
      <c r="A18" s="3" t="s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zoomScaleNormal="100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N6" sqref="N6"/>
    </sheetView>
  </sheetViews>
  <sheetFormatPr defaultColWidth="8.6328125" defaultRowHeight="14.5" x14ac:dyDescent="0.35"/>
  <cols>
    <col min="1" max="1" width="9" customWidth="1"/>
    <col min="2" max="2" width="18" customWidth="1"/>
    <col min="3" max="3" width="11" customWidth="1"/>
    <col min="4" max="4" width="9" customWidth="1"/>
    <col min="5" max="5" width="8" customWidth="1"/>
    <col min="6" max="7" width="9" customWidth="1"/>
    <col min="8" max="8" width="11" customWidth="1"/>
    <col min="9" max="10" width="9" customWidth="1"/>
    <col min="11" max="12" width="10" customWidth="1"/>
    <col min="13" max="13" width="44" customWidth="1"/>
    <col min="14" max="14" width="40" customWidth="1"/>
  </cols>
  <sheetData>
    <row r="1" spans="1:15" ht="39.5" x14ac:dyDescent="0.3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  <c r="K1" s="5" t="s">
        <v>27</v>
      </c>
      <c r="L1" s="5" t="s">
        <v>28</v>
      </c>
      <c r="M1" s="5" t="s">
        <v>29</v>
      </c>
      <c r="N1" s="5" t="s">
        <v>30</v>
      </c>
    </row>
    <row r="2" spans="1:15" x14ac:dyDescent="0.35">
      <c r="A2" s="6" t="s">
        <v>31</v>
      </c>
      <c r="B2" s="6" t="s">
        <v>32</v>
      </c>
      <c r="C2" s="6" t="s">
        <v>33</v>
      </c>
      <c r="D2" s="7">
        <v>32701</v>
      </c>
      <c r="E2" s="6">
        <v>96</v>
      </c>
      <c r="F2" s="6">
        <v>595</v>
      </c>
      <c r="G2" s="7">
        <v>2434</v>
      </c>
      <c r="H2" s="7">
        <v>83944</v>
      </c>
      <c r="I2" s="6">
        <v>4.0999999999999996</v>
      </c>
      <c r="J2" s="6">
        <v>6.5</v>
      </c>
      <c r="K2" s="6">
        <v>5</v>
      </c>
      <c r="L2" s="6">
        <v>7.7</v>
      </c>
      <c r="M2" s="6" t="s">
        <v>34</v>
      </c>
      <c r="N2" s="6" t="s">
        <v>35</v>
      </c>
    </row>
    <row r="3" spans="1:15" x14ac:dyDescent="0.35">
      <c r="A3" s="6" t="s">
        <v>36</v>
      </c>
      <c r="B3" s="6" t="s">
        <v>32</v>
      </c>
      <c r="C3" s="6" t="s">
        <v>37</v>
      </c>
      <c r="D3" s="7">
        <v>12133</v>
      </c>
      <c r="E3" s="6">
        <v>130</v>
      </c>
      <c r="F3" s="6">
        <v>221</v>
      </c>
      <c r="G3" s="7">
        <v>749</v>
      </c>
      <c r="H3" s="7">
        <v>21902</v>
      </c>
      <c r="I3" s="6">
        <v>3.4</v>
      </c>
      <c r="J3" s="6">
        <v>5.5</v>
      </c>
      <c r="K3" s="6">
        <v>7.1</v>
      </c>
      <c r="L3" s="6">
        <v>6.9</v>
      </c>
      <c r="M3" s="6" t="s">
        <v>38</v>
      </c>
      <c r="N3" s="6" t="s">
        <v>39</v>
      </c>
    </row>
    <row r="4" spans="1:15" x14ac:dyDescent="0.35">
      <c r="A4" s="6" t="s">
        <v>40</v>
      </c>
      <c r="B4" s="6" t="s">
        <v>41</v>
      </c>
      <c r="C4" s="6" t="s">
        <v>42</v>
      </c>
      <c r="D4" s="7">
        <v>17844</v>
      </c>
      <c r="E4" s="6">
        <v>52</v>
      </c>
      <c r="F4" s="6">
        <v>324</v>
      </c>
      <c r="G4" s="7">
        <v>1672</v>
      </c>
      <c r="H4" s="7">
        <v>36193</v>
      </c>
      <c r="I4" s="6">
        <v>5.2</v>
      </c>
      <c r="J4" s="6">
        <v>2.5</v>
      </c>
      <c r="K4" s="6">
        <v>7</v>
      </c>
      <c r="L4" s="6">
        <v>6.9</v>
      </c>
      <c r="M4" s="6"/>
      <c r="N4" s="6" t="s">
        <v>43</v>
      </c>
    </row>
    <row r="5" spans="1:15" x14ac:dyDescent="0.35">
      <c r="A5" s="6" t="s">
        <v>44</v>
      </c>
      <c r="B5" s="6" t="s">
        <v>45</v>
      </c>
      <c r="C5" s="6" t="s">
        <v>37</v>
      </c>
      <c r="D5" s="7">
        <v>11864</v>
      </c>
      <c r="E5" s="6">
        <v>4</v>
      </c>
      <c r="F5" s="6">
        <v>216</v>
      </c>
      <c r="G5" s="7">
        <v>527</v>
      </c>
      <c r="H5" s="7">
        <v>15695</v>
      </c>
      <c r="I5" s="6">
        <v>2.4</v>
      </c>
      <c r="J5" s="6">
        <v>2.4</v>
      </c>
      <c r="K5" s="6">
        <v>6.3</v>
      </c>
      <c r="L5" s="6">
        <v>3.8</v>
      </c>
      <c r="M5" s="6" t="s">
        <v>46</v>
      </c>
      <c r="N5" s="6" t="s">
        <v>47</v>
      </c>
    </row>
    <row r="6" spans="1:15" x14ac:dyDescent="0.35">
      <c r="A6" s="6" t="s">
        <v>48</v>
      </c>
      <c r="B6" s="6" t="s">
        <v>45</v>
      </c>
      <c r="C6" s="6" t="s">
        <v>37</v>
      </c>
      <c r="D6" s="7">
        <v>10351</v>
      </c>
      <c r="E6" s="6">
        <v>7</v>
      </c>
      <c r="F6" s="6">
        <v>188</v>
      </c>
      <c r="G6" s="7">
        <v>560</v>
      </c>
      <c r="H6" s="7">
        <v>15789</v>
      </c>
      <c r="I6" s="6">
        <v>3</v>
      </c>
      <c r="J6" s="6">
        <v>8.3000000000000007</v>
      </c>
      <c r="K6" s="6">
        <v>8.3000000000000007</v>
      </c>
      <c r="L6" s="6">
        <v>4.5</v>
      </c>
      <c r="M6" s="6" t="s">
        <v>49</v>
      </c>
      <c r="N6" s="6" t="s">
        <v>50</v>
      </c>
    </row>
    <row r="7" spans="1:15" x14ac:dyDescent="0.35">
      <c r="A7" s="6" t="s">
        <v>51</v>
      </c>
      <c r="B7" s="6" t="s">
        <v>45</v>
      </c>
      <c r="C7" s="6" t="s">
        <v>37</v>
      </c>
      <c r="D7" s="7">
        <v>12649</v>
      </c>
      <c r="E7" s="6">
        <v>9</v>
      </c>
      <c r="F7" s="6">
        <v>230</v>
      </c>
      <c r="G7" s="7">
        <v>708</v>
      </c>
      <c r="H7" s="7">
        <v>19983</v>
      </c>
      <c r="I7" s="6">
        <v>6.8</v>
      </c>
      <c r="J7" s="6">
        <v>2</v>
      </c>
      <c r="K7" s="6">
        <v>6.5</v>
      </c>
      <c r="L7" s="6">
        <v>4.5999999999999996</v>
      </c>
      <c r="M7" s="6"/>
      <c r="N7" s="6" t="s">
        <v>43</v>
      </c>
    </row>
    <row r="8" spans="1:15" x14ac:dyDescent="0.35">
      <c r="A8" s="6" t="s">
        <v>52</v>
      </c>
      <c r="B8" s="6" t="s">
        <v>45</v>
      </c>
      <c r="C8" s="6" t="s">
        <v>33</v>
      </c>
      <c r="D8" s="7">
        <v>25739</v>
      </c>
      <c r="E8" s="6">
        <v>88</v>
      </c>
      <c r="F8" s="6">
        <v>468</v>
      </c>
      <c r="G8" s="7">
        <v>2012</v>
      </c>
      <c r="H8" s="7">
        <v>66538</v>
      </c>
      <c r="I8" s="6">
        <v>4.3</v>
      </c>
      <c r="J8" s="6">
        <v>8.5</v>
      </c>
      <c r="K8" s="6">
        <v>5.2</v>
      </c>
      <c r="L8" s="6">
        <v>9</v>
      </c>
      <c r="M8" s="6"/>
      <c r="N8" s="6" t="s">
        <v>43</v>
      </c>
    </row>
    <row r="9" spans="1:15" x14ac:dyDescent="0.35">
      <c r="A9" s="6" t="s">
        <v>53</v>
      </c>
      <c r="B9" s="6" t="s">
        <v>54</v>
      </c>
      <c r="C9" s="6" t="s">
        <v>33</v>
      </c>
      <c r="D9" s="7">
        <v>27939</v>
      </c>
      <c r="E9" s="6">
        <v>112</v>
      </c>
      <c r="F9" s="6">
        <v>508</v>
      </c>
      <c r="G9" s="7">
        <v>2113</v>
      </c>
      <c r="H9" s="7">
        <v>71701</v>
      </c>
      <c r="I9" s="6">
        <v>4.2</v>
      </c>
      <c r="J9" s="6">
        <v>1.6</v>
      </c>
      <c r="K9" s="6">
        <v>8.4</v>
      </c>
      <c r="L9" s="6">
        <v>7.5</v>
      </c>
      <c r="M9" s="6" t="s">
        <v>55</v>
      </c>
      <c r="N9" s="6" t="s">
        <v>56</v>
      </c>
    </row>
    <row r="10" spans="1:15" x14ac:dyDescent="0.35">
      <c r="A10" s="6" t="s">
        <v>57</v>
      </c>
      <c r="B10" s="6" t="s">
        <v>54</v>
      </c>
      <c r="C10" s="6" t="s">
        <v>37</v>
      </c>
      <c r="D10" s="7">
        <v>10941</v>
      </c>
      <c r="E10" s="6">
        <v>68</v>
      </c>
      <c r="F10" s="6">
        <v>199</v>
      </c>
      <c r="G10" s="7">
        <v>718</v>
      </c>
      <c r="H10" s="7">
        <v>20039</v>
      </c>
      <c r="I10" s="6">
        <v>3.6</v>
      </c>
      <c r="J10" s="6">
        <v>8.4</v>
      </c>
      <c r="K10" s="6">
        <v>7.6</v>
      </c>
      <c r="L10" s="6">
        <v>4.2</v>
      </c>
      <c r="M10" s="6"/>
      <c r="N10" s="6" t="s">
        <v>43</v>
      </c>
    </row>
    <row r="11" spans="1:15" x14ac:dyDescent="0.35">
      <c r="A11" s="6" t="s">
        <v>58</v>
      </c>
      <c r="B11" s="6" t="s">
        <v>54</v>
      </c>
      <c r="C11" s="6" t="s">
        <v>42</v>
      </c>
      <c r="D11" s="7">
        <v>18566</v>
      </c>
      <c r="E11" s="6">
        <v>44</v>
      </c>
      <c r="F11" s="6">
        <v>338</v>
      </c>
      <c r="G11" s="7">
        <v>1839</v>
      </c>
      <c r="H11" s="7">
        <v>573768</v>
      </c>
      <c r="I11" s="6">
        <v>5.4</v>
      </c>
      <c r="J11" s="6">
        <v>6.9</v>
      </c>
      <c r="K11" s="6">
        <v>6.6</v>
      </c>
      <c r="L11" s="6">
        <v>5.8</v>
      </c>
      <c r="M11" s="6"/>
      <c r="N11" s="6" t="s">
        <v>43</v>
      </c>
    </row>
    <row r="12" spans="1:15" x14ac:dyDescent="0.35">
      <c r="A12" s="6" t="s">
        <v>59</v>
      </c>
      <c r="B12" s="6" t="s">
        <v>60</v>
      </c>
      <c r="C12" s="6" t="s">
        <v>33</v>
      </c>
      <c r="D12" s="7">
        <v>27096</v>
      </c>
      <c r="E12" s="6">
        <v>143</v>
      </c>
      <c r="F12" s="6">
        <v>493</v>
      </c>
      <c r="G12" s="7">
        <v>2090</v>
      </c>
      <c r="H12" s="7">
        <v>75305</v>
      </c>
      <c r="I12" s="6">
        <v>4.2</v>
      </c>
      <c r="J12" s="6">
        <v>2.2999999999999998</v>
      </c>
      <c r="K12" s="6">
        <v>8.1</v>
      </c>
      <c r="L12" s="6">
        <v>4.7</v>
      </c>
      <c r="M12" s="6"/>
      <c r="N12" s="6" t="s">
        <v>43</v>
      </c>
    </row>
    <row r="13" spans="1:15" x14ac:dyDescent="0.35">
      <c r="A13" s="6" t="s">
        <v>61</v>
      </c>
      <c r="B13" s="6" t="s">
        <v>60</v>
      </c>
      <c r="C13" s="6" t="s">
        <v>37</v>
      </c>
      <c r="D13" s="7">
        <v>10196</v>
      </c>
      <c r="E13" s="6">
        <v>102</v>
      </c>
      <c r="F13" s="6">
        <v>185</v>
      </c>
      <c r="G13" s="7">
        <v>677</v>
      </c>
      <c r="H13" s="7">
        <v>20522</v>
      </c>
      <c r="I13" s="6">
        <v>3.7</v>
      </c>
      <c r="J13" s="6">
        <v>3</v>
      </c>
      <c r="K13" s="6">
        <v>3.7</v>
      </c>
      <c r="L13" s="6">
        <v>6.1</v>
      </c>
      <c r="M13" s="6"/>
      <c r="N13" s="6" t="s">
        <v>43</v>
      </c>
    </row>
    <row r="14" spans="1:15" x14ac:dyDescent="0.35">
      <c r="A14" s="8" t="s">
        <v>61</v>
      </c>
      <c r="B14" s="8" t="s">
        <v>60</v>
      </c>
      <c r="C14" s="8" t="s">
        <v>37</v>
      </c>
      <c r="D14" s="9">
        <v>10196</v>
      </c>
      <c r="E14" s="8">
        <v>102</v>
      </c>
      <c r="F14" s="8">
        <v>185</v>
      </c>
      <c r="G14" s="9">
        <v>677</v>
      </c>
      <c r="H14" s="9">
        <v>20522</v>
      </c>
      <c r="I14" s="8">
        <v>3.7</v>
      </c>
      <c r="J14" s="8">
        <v>3</v>
      </c>
      <c r="K14" s="8">
        <v>3.7</v>
      </c>
      <c r="L14" s="8">
        <v>6.1</v>
      </c>
      <c r="M14" s="8"/>
      <c r="N14" s="8" t="s">
        <v>43</v>
      </c>
      <c r="O14" s="10" t="s">
        <v>62</v>
      </c>
    </row>
    <row r="15" spans="1:15" x14ac:dyDescent="0.35">
      <c r="A15" s="6" t="s">
        <v>63</v>
      </c>
      <c r="B15" s="6" t="s">
        <v>60</v>
      </c>
      <c r="C15" s="6" t="s">
        <v>42</v>
      </c>
      <c r="D15" s="7">
        <v>21882</v>
      </c>
      <c r="E15" s="6">
        <v>66</v>
      </c>
      <c r="F15" s="6">
        <v>398</v>
      </c>
      <c r="G15" s="7">
        <v>2022</v>
      </c>
      <c r="H15" s="7">
        <v>40482</v>
      </c>
      <c r="I15" s="6">
        <v>5.0999999999999996</v>
      </c>
      <c r="J15" s="6">
        <v>3.8</v>
      </c>
      <c r="K15" s="6">
        <v>5.6</v>
      </c>
      <c r="L15" s="6">
        <v>8.1999999999999993</v>
      </c>
      <c r="M15" s="6"/>
      <c r="N15" s="6" t="s">
        <v>43</v>
      </c>
    </row>
    <row r="16" spans="1:15" x14ac:dyDescent="0.35">
      <c r="A16" s="6" t="s">
        <v>64</v>
      </c>
      <c r="B16" s="6" t="s">
        <v>60</v>
      </c>
      <c r="C16" s="6" t="s">
        <v>33</v>
      </c>
      <c r="D16" s="7">
        <v>26981</v>
      </c>
      <c r="E16" s="6">
        <v>3</v>
      </c>
      <c r="F16" s="6">
        <v>491</v>
      </c>
      <c r="G16" s="7">
        <v>2018</v>
      </c>
      <c r="H16" s="7">
        <v>70209</v>
      </c>
      <c r="I16" s="6">
        <v>4.0999999999999996</v>
      </c>
      <c r="J16" s="6">
        <v>3.1</v>
      </c>
      <c r="K16" s="6">
        <v>5.3</v>
      </c>
      <c r="L16" s="6">
        <v>8.6999999999999993</v>
      </c>
      <c r="M16" s="6" t="s">
        <v>65</v>
      </c>
      <c r="N16" s="6" t="s">
        <v>66</v>
      </c>
    </row>
    <row r="17" spans="1:14" x14ac:dyDescent="0.35">
      <c r="A17" s="6" t="s">
        <v>67</v>
      </c>
      <c r="B17" s="6" t="s">
        <v>68</v>
      </c>
      <c r="C17" s="6" t="s">
        <v>33</v>
      </c>
      <c r="D17" s="7">
        <v>32602</v>
      </c>
      <c r="E17" s="6">
        <v>156</v>
      </c>
      <c r="F17" s="6">
        <v>593</v>
      </c>
      <c r="G17" s="7">
        <v>2384</v>
      </c>
      <c r="H17" s="7">
        <v>81269</v>
      </c>
      <c r="I17" s="6">
        <v>4</v>
      </c>
      <c r="J17" s="6">
        <v>8.1</v>
      </c>
      <c r="K17" s="6">
        <v>7.3</v>
      </c>
      <c r="L17" s="6">
        <v>7.9</v>
      </c>
      <c r="M17" s="6"/>
      <c r="N17" s="6" t="s">
        <v>43</v>
      </c>
    </row>
    <row r="18" spans="1:14" x14ac:dyDescent="0.35">
      <c r="A18" s="6" t="s">
        <v>69</v>
      </c>
      <c r="B18" s="6" t="s">
        <v>68</v>
      </c>
      <c r="C18" s="6" t="s">
        <v>37</v>
      </c>
      <c r="D18" s="7">
        <v>9615</v>
      </c>
      <c r="E18" s="6">
        <v>84</v>
      </c>
      <c r="F18" s="6">
        <v>175</v>
      </c>
      <c r="G18" s="7">
        <v>656</v>
      </c>
      <c r="H18" s="7">
        <v>18057</v>
      </c>
      <c r="I18" s="6">
        <v>3.8</v>
      </c>
      <c r="J18" s="6">
        <v>4.9000000000000004</v>
      </c>
      <c r="K18" s="6">
        <v>3.4</v>
      </c>
      <c r="L18" s="6">
        <v>5</v>
      </c>
      <c r="M18" s="6"/>
      <c r="N18" s="6" t="s">
        <v>43</v>
      </c>
    </row>
    <row r="19" spans="1:14" x14ac:dyDescent="0.35">
      <c r="A19" s="6" t="s">
        <v>70</v>
      </c>
      <c r="B19" s="6" t="s">
        <v>68</v>
      </c>
      <c r="C19" s="6" t="s">
        <v>42</v>
      </c>
      <c r="D19" s="7">
        <v>20389</v>
      </c>
      <c r="E19" s="6">
        <v>71</v>
      </c>
      <c r="F19" s="6">
        <v>371</v>
      </c>
      <c r="G19" s="7">
        <v>1881</v>
      </c>
      <c r="H19" s="7">
        <v>41627</v>
      </c>
      <c r="I19" s="6">
        <v>5.0999999999999996</v>
      </c>
      <c r="J19" s="6">
        <v>1.3</v>
      </c>
      <c r="K19" s="6">
        <v>6.2</v>
      </c>
      <c r="L19" s="6">
        <v>11.4</v>
      </c>
      <c r="M19" s="6" t="s">
        <v>71</v>
      </c>
      <c r="N19" s="6" t="s">
        <v>72</v>
      </c>
    </row>
    <row r="20" spans="1:14" x14ac:dyDescent="0.35">
      <c r="A20" s="6" t="s">
        <v>73</v>
      </c>
      <c r="B20" s="6" t="s">
        <v>68</v>
      </c>
      <c r="C20" s="6" t="s">
        <v>37</v>
      </c>
      <c r="D20" s="7">
        <v>9526</v>
      </c>
      <c r="E20" s="6">
        <v>47</v>
      </c>
      <c r="F20" s="6">
        <v>173</v>
      </c>
      <c r="G20" s="7">
        <v>661</v>
      </c>
      <c r="H20" s="7">
        <v>18254</v>
      </c>
      <c r="I20" s="6">
        <v>3.8</v>
      </c>
      <c r="J20" s="6">
        <v>8.1</v>
      </c>
      <c r="K20" s="6">
        <v>5.3</v>
      </c>
      <c r="L20" s="6">
        <v>3.9</v>
      </c>
      <c r="M20" s="6"/>
      <c r="N20" s="6" t="s">
        <v>43</v>
      </c>
    </row>
    <row r="21" spans="1:14" x14ac:dyDescent="0.35">
      <c r="A21" s="6" t="s">
        <v>74</v>
      </c>
      <c r="B21" s="6" t="s">
        <v>75</v>
      </c>
      <c r="C21" s="6" t="s">
        <v>33</v>
      </c>
      <c r="D21" s="7">
        <v>25116</v>
      </c>
      <c r="E21" s="6">
        <v>91</v>
      </c>
      <c r="F21" s="6">
        <v>457</v>
      </c>
      <c r="G21" s="7">
        <v>1842</v>
      </c>
      <c r="H21" s="7">
        <v>63338</v>
      </c>
      <c r="I21" s="6">
        <v>4</v>
      </c>
      <c r="J21" s="6">
        <v>8.4</v>
      </c>
      <c r="K21" s="6">
        <v>4.8</v>
      </c>
      <c r="L21" s="6">
        <v>5.9</v>
      </c>
      <c r="M21" s="6"/>
      <c r="N21" s="6" t="s">
        <v>43</v>
      </c>
    </row>
    <row r="22" spans="1:14" x14ac:dyDescent="0.35">
      <c r="A22" s="6" t="s">
        <v>76</v>
      </c>
      <c r="B22" s="6" t="s">
        <v>75</v>
      </c>
      <c r="C22" s="6" t="s">
        <v>37</v>
      </c>
      <c r="D22" s="7"/>
      <c r="E22" s="6">
        <v>55</v>
      </c>
      <c r="F22" s="6">
        <v>234</v>
      </c>
      <c r="G22" s="7">
        <v>842</v>
      </c>
      <c r="H22" s="7">
        <v>23885</v>
      </c>
      <c r="I22" s="6">
        <v>3.6</v>
      </c>
      <c r="J22" s="6">
        <v>6.9</v>
      </c>
      <c r="K22" s="6">
        <v>4.2</v>
      </c>
      <c r="L22" s="6">
        <v>9.8000000000000007</v>
      </c>
      <c r="M22" s="6" t="s">
        <v>77</v>
      </c>
      <c r="N22" s="6" t="s">
        <v>78</v>
      </c>
    </row>
    <row r="23" spans="1:14" x14ac:dyDescent="0.35">
      <c r="A23" s="6" t="s">
        <v>79</v>
      </c>
      <c r="B23" s="6" t="s">
        <v>75</v>
      </c>
      <c r="C23" s="6" t="s">
        <v>42</v>
      </c>
      <c r="D23" s="7">
        <v>19981</v>
      </c>
      <c r="E23" s="6">
        <v>39</v>
      </c>
      <c r="F23" s="6">
        <v>363</v>
      </c>
      <c r="G23" s="7">
        <v>1931</v>
      </c>
      <c r="H23" s="7">
        <v>38277</v>
      </c>
      <c r="I23" s="6">
        <v>5.3</v>
      </c>
      <c r="J23" s="6">
        <v>1.6</v>
      </c>
      <c r="K23" s="6">
        <v>6.7</v>
      </c>
      <c r="L23" s="6">
        <v>9.9</v>
      </c>
      <c r="M23" s="6" t="s">
        <v>80</v>
      </c>
      <c r="N23" s="6" t="s">
        <v>81</v>
      </c>
    </row>
    <row r="24" spans="1:14" x14ac:dyDescent="0.35">
      <c r="A24" s="6" t="s">
        <v>82</v>
      </c>
      <c r="B24" s="6" t="s">
        <v>75</v>
      </c>
      <c r="C24" s="6" t="s">
        <v>33</v>
      </c>
      <c r="D24" s="7">
        <v>33561</v>
      </c>
      <c r="E24" s="6">
        <v>128</v>
      </c>
      <c r="F24" s="6">
        <v>610</v>
      </c>
      <c r="G24" s="7">
        <v>2568</v>
      </c>
      <c r="H24" s="7">
        <v>88236</v>
      </c>
      <c r="I24" s="6">
        <v>4.2</v>
      </c>
      <c r="J24" s="6">
        <v>104</v>
      </c>
      <c r="K24" s="6">
        <v>5.8</v>
      </c>
      <c r="L24" s="6">
        <v>4.7</v>
      </c>
      <c r="M24" s="6"/>
      <c r="N24" s="6" t="s">
        <v>43</v>
      </c>
    </row>
    <row r="26" spans="1:14" x14ac:dyDescent="0.35">
      <c r="A26" s="10" t="s">
        <v>83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3" width="17" customWidth="1"/>
    <col min="4" max="4" width="10" customWidth="1"/>
    <col min="5" max="6" width="9" customWidth="1"/>
    <col min="7" max="8" width="10" customWidth="1"/>
    <col min="9" max="9" width="11" customWidth="1"/>
    <col min="10" max="10" width="13" customWidth="1"/>
    <col min="11" max="11" width="10" customWidth="1"/>
    <col min="12" max="13" width="11" customWidth="1"/>
    <col min="14" max="14" width="13" customWidth="1"/>
    <col min="15" max="15" width="12" customWidth="1"/>
    <col min="16" max="16" width="10" customWidth="1"/>
    <col min="17" max="17" width="11" customWidth="1"/>
    <col min="18" max="18" width="15" customWidth="1"/>
    <col min="19" max="19" width="48" customWidth="1"/>
  </cols>
  <sheetData>
    <row r="1" spans="1:19" ht="42" customHeight="1" x14ac:dyDescent="0.35">
      <c r="A1" s="11" t="s">
        <v>17</v>
      </c>
      <c r="B1" s="11" t="s">
        <v>84</v>
      </c>
      <c r="C1" s="11" t="s">
        <v>85</v>
      </c>
      <c r="D1" s="11" t="s">
        <v>19</v>
      </c>
      <c r="E1" s="11" t="s">
        <v>20</v>
      </c>
      <c r="F1" s="11" t="s">
        <v>21</v>
      </c>
      <c r="G1" s="11" t="s">
        <v>22</v>
      </c>
      <c r="H1" s="11" t="s">
        <v>23</v>
      </c>
      <c r="I1" s="11" t="s">
        <v>24</v>
      </c>
      <c r="J1" s="11" t="s">
        <v>86</v>
      </c>
      <c r="K1" s="11" t="s">
        <v>26</v>
      </c>
      <c r="L1" s="11" t="s">
        <v>87</v>
      </c>
      <c r="M1" s="11" t="s">
        <v>88</v>
      </c>
      <c r="N1" s="11" t="s">
        <v>89</v>
      </c>
      <c r="O1" s="11" t="s">
        <v>90</v>
      </c>
      <c r="P1" s="11" t="s">
        <v>91</v>
      </c>
      <c r="Q1" s="11" t="s">
        <v>92</v>
      </c>
      <c r="R1" s="11" t="s">
        <v>93</v>
      </c>
      <c r="S1" s="11" t="s">
        <v>94</v>
      </c>
    </row>
    <row r="2" spans="1:19" x14ac:dyDescent="0.35">
      <c r="A2" s="12" t="str">
        <f>Raw_Data!A2</f>
        <v>ST-101</v>
      </c>
      <c r="B2" s="12" t="str">
        <f>Raw_Data!B2</f>
        <v>Pacific Northwest</v>
      </c>
      <c r="C2" s="13" t="str">
        <f t="shared" ref="C2:C23" si="0">IF(B2="Pacific NW","Pacific Northwest",B2)</f>
        <v>Pacific Northwest</v>
      </c>
      <c r="D2" s="12" t="str">
        <f>Raw_Data!C2</f>
        <v>Full-line</v>
      </c>
      <c r="E2" s="14">
        <f>IF(Raw_Data!D2="","",Raw_Data!D2)</f>
        <v>32701</v>
      </c>
      <c r="F2" s="12">
        <f>Raw_Data!E2</f>
        <v>96</v>
      </c>
      <c r="G2" s="12">
        <f>Raw_Data!F2</f>
        <v>595</v>
      </c>
      <c r="H2" s="14">
        <f>Raw_Data!G2</f>
        <v>2434</v>
      </c>
      <c r="I2" s="14">
        <f>Raw_Data!H2</f>
        <v>83944</v>
      </c>
      <c r="J2" s="12">
        <f>Raw_Data!I2</f>
        <v>4.0999999999999996</v>
      </c>
      <c r="K2" s="12">
        <f>Raw_Data!J2</f>
        <v>6.5</v>
      </c>
      <c r="L2" s="12">
        <f>Raw_Data!K2</f>
        <v>5</v>
      </c>
      <c r="M2" s="12">
        <f>Raw_Data!L2</f>
        <v>7.7</v>
      </c>
      <c r="N2" s="15">
        <f t="shared" ref="N2:N23" si="1">H2/G2</f>
        <v>4.0907563025210081</v>
      </c>
      <c r="O2" s="16">
        <f t="shared" ref="O2:O23" si="2">I2/G2</f>
        <v>141.08235294117648</v>
      </c>
      <c r="P2" s="16">
        <f t="shared" ref="P2:P23" si="3">I2/H2</f>
        <v>34.488085456039443</v>
      </c>
      <c r="Q2" s="17">
        <f t="shared" ref="Q2:Q23" si="4">J2-N2</f>
        <v>9.2436974789915638E-3</v>
      </c>
      <c r="R2" s="13" t="str">
        <f t="shared" ref="R2:R23" si="5">IF(F2&lt;13,"Young (&lt;13 mo)","Mature (13+ mo)")</f>
        <v>Mature (13+ mo)</v>
      </c>
      <c r="S2" s="13"/>
    </row>
    <row r="3" spans="1:19" x14ac:dyDescent="0.35">
      <c r="A3" s="12" t="str">
        <f>Raw_Data!A3</f>
        <v>ST-102</v>
      </c>
      <c r="B3" s="12" t="str">
        <f>Raw_Data!B3</f>
        <v>Pacific Northwest</v>
      </c>
      <c r="C3" s="13" t="str">
        <f t="shared" si="0"/>
        <v>Pacific Northwest</v>
      </c>
      <c r="D3" s="12" t="str">
        <f>Raw_Data!C3</f>
        <v>Compact</v>
      </c>
      <c r="E3" s="14">
        <f>IF(Raw_Data!D3="","",Raw_Data!D3)</f>
        <v>12133</v>
      </c>
      <c r="F3" s="12">
        <f>Raw_Data!E3</f>
        <v>130</v>
      </c>
      <c r="G3" s="12">
        <f>Raw_Data!F3</f>
        <v>221</v>
      </c>
      <c r="H3" s="14">
        <f>Raw_Data!G3</f>
        <v>749</v>
      </c>
      <c r="I3" s="14">
        <f>Raw_Data!H3</f>
        <v>21902</v>
      </c>
      <c r="J3" s="12">
        <f>Raw_Data!I3</f>
        <v>3.4</v>
      </c>
      <c r="K3" s="12">
        <f>Raw_Data!J3</f>
        <v>5.5</v>
      </c>
      <c r="L3" s="12">
        <f>Raw_Data!K3</f>
        <v>7.1</v>
      </c>
      <c r="M3" s="12">
        <f>Raw_Data!L3</f>
        <v>6.9</v>
      </c>
      <c r="N3" s="15">
        <f t="shared" si="1"/>
        <v>3.3891402714932126</v>
      </c>
      <c r="O3" s="16">
        <f t="shared" si="2"/>
        <v>99.104072398190041</v>
      </c>
      <c r="P3" s="16">
        <f t="shared" si="3"/>
        <v>29.241655540720963</v>
      </c>
      <c r="Q3" s="17">
        <f t="shared" si="4"/>
        <v>1.0859728506787292E-2</v>
      </c>
      <c r="R3" s="13" t="str">
        <f t="shared" si="5"/>
        <v>Mature (13+ mo)</v>
      </c>
      <c r="S3" s="13"/>
    </row>
    <row r="4" spans="1:19" x14ac:dyDescent="0.35">
      <c r="A4" s="18" t="str">
        <f>Raw_Data!A4</f>
        <v>ST-103</v>
      </c>
      <c r="B4" s="18" t="str">
        <f>Raw_Data!B4</f>
        <v>Pacific NW</v>
      </c>
      <c r="C4" s="19" t="str">
        <f t="shared" si="0"/>
        <v>Pacific Northwest</v>
      </c>
      <c r="D4" s="18" t="str">
        <f>Raw_Data!C4</f>
        <v>Outlet</v>
      </c>
      <c r="E4" s="20">
        <f>IF(Raw_Data!D4="","",Raw_Data!D4)</f>
        <v>17844</v>
      </c>
      <c r="F4" s="18">
        <f>Raw_Data!E4</f>
        <v>52</v>
      </c>
      <c r="G4" s="18">
        <f>Raw_Data!F4</f>
        <v>324</v>
      </c>
      <c r="H4" s="20">
        <f>Raw_Data!G4</f>
        <v>1672</v>
      </c>
      <c r="I4" s="20">
        <f>Raw_Data!H4</f>
        <v>36193</v>
      </c>
      <c r="J4" s="18">
        <f>Raw_Data!I4</f>
        <v>5.2</v>
      </c>
      <c r="K4" s="18">
        <f>Raw_Data!J4</f>
        <v>2.5</v>
      </c>
      <c r="L4" s="18">
        <f>Raw_Data!K4</f>
        <v>7</v>
      </c>
      <c r="M4" s="18">
        <f>Raw_Data!L4</f>
        <v>6.9</v>
      </c>
      <c r="N4" s="21">
        <f t="shared" si="1"/>
        <v>5.1604938271604937</v>
      </c>
      <c r="O4" s="22">
        <f t="shared" si="2"/>
        <v>111.70679012345678</v>
      </c>
      <c r="P4" s="22">
        <f t="shared" si="3"/>
        <v>21.64653110047847</v>
      </c>
      <c r="Q4" s="23">
        <f t="shared" si="4"/>
        <v>3.9506172839506526E-2</v>
      </c>
      <c r="R4" s="19" t="str">
        <f t="shared" si="5"/>
        <v>Mature (13+ mo)</v>
      </c>
      <c r="S4" s="19" t="s">
        <v>95</v>
      </c>
    </row>
    <row r="5" spans="1:19" x14ac:dyDescent="0.35">
      <c r="A5" s="12" t="str">
        <f>Raw_Data!A5</f>
        <v>ST-104</v>
      </c>
      <c r="B5" s="12" t="str">
        <f>Raw_Data!B5</f>
        <v>Mountain</v>
      </c>
      <c r="C5" s="13" t="str">
        <f t="shared" si="0"/>
        <v>Mountain</v>
      </c>
      <c r="D5" s="12" t="str">
        <f>Raw_Data!C5</f>
        <v>Compact</v>
      </c>
      <c r="E5" s="14">
        <f>IF(Raw_Data!D5="","",Raw_Data!D5)</f>
        <v>11864</v>
      </c>
      <c r="F5" s="12">
        <f>Raw_Data!E5</f>
        <v>4</v>
      </c>
      <c r="G5" s="12">
        <f>Raw_Data!F5</f>
        <v>216</v>
      </c>
      <c r="H5" s="14">
        <f>Raw_Data!G5</f>
        <v>527</v>
      </c>
      <c r="I5" s="14">
        <f>Raw_Data!H5</f>
        <v>15695</v>
      </c>
      <c r="J5" s="12">
        <f>Raw_Data!I5</f>
        <v>2.4</v>
      </c>
      <c r="K5" s="12">
        <f>Raw_Data!J5</f>
        <v>2.4</v>
      </c>
      <c r="L5" s="12">
        <f>Raw_Data!K5</f>
        <v>6.3</v>
      </c>
      <c r="M5" s="12">
        <f>Raw_Data!L5</f>
        <v>3.8</v>
      </c>
      <c r="N5" s="15">
        <f t="shared" si="1"/>
        <v>2.4398148148148149</v>
      </c>
      <c r="O5" s="16">
        <f t="shared" si="2"/>
        <v>72.662037037037038</v>
      </c>
      <c r="P5" s="16">
        <f t="shared" si="3"/>
        <v>29.781783681214421</v>
      </c>
      <c r="Q5" s="17">
        <f t="shared" si="4"/>
        <v>-3.9814814814814969E-2</v>
      </c>
      <c r="R5" s="13" t="str">
        <f t="shared" si="5"/>
        <v>Young (&lt;13 mo)</v>
      </c>
      <c r="S5" s="13"/>
    </row>
    <row r="6" spans="1:19" x14ac:dyDescent="0.35">
      <c r="A6" s="12" t="str">
        <f>Raw_Data!A6</f>
        <v>ST-105</v>
      </c>
      <c r="B6" s="12" t="str">
        <f>Raw_Data!B6</f>
        <v>Mountain</v>
      </c>
      <c r="C6" s="13" t="str">
        <f t="shared" si="0"/>
        <v>Mountain</v>
      </c>
      <c r="D6" s="12" t="str">
        <f>Raw_Data!C6</f>
        <v>Compact</v>
      </c>
      <c r="E6" s="14">
        <f>IF(Raw_Data!D6="","",Raw_Data!D6)</f>
        <v>10351</v>
      </c>
      <c r="F6" s="12">
        <f>Raw_Data!E6</f>
        <v>7</v>
      </c>
      <c r="G6" s="12">
        <f>Raw_Data!F6</f>
        <v>188</v>
      </c>
      <c r="H6" s="14">
        <f>Raw_Data!G6</f>
        <v>560</v>
      </c>
      <c r="I6" s="14">
        <f>Raw_Data!H6</f>
        <v>15789</v>
      </c>
      <c r="J6" s="12">
        <f>Raw_Data!I6</f>
        <v>3</v>
      </c>
      <c r="K6" s="12">
        <f>Raw_Data!J6</f>
        <v>8.3000000000000007</v>
      </c>
      <c r="L6" s="12">
        <f>Raw_Data!K6</f>
        <v>8.3000000000000007</v>
      </c>
      <c r="M6" s="12">
        <f>Raw_Data!L6</f>
        <v>4.5</v>
      </c>
      <c r="N6" s="15">
        <f t="shared" si="1"/>
        <v>2.978723404255319</v>
      </c>
      <c r="O6" s="16">
        <f t="shared" si="2"/>
        <v>83.984042553191486</v>
      </c>
      <c r="P6" s="16">
        <f t="shared" si="3"/>
        <v>28.194642857142856</v>
      </c>
      <c r="Q6" s="17">
        <f t="shared" si="4"/>
        <v>2.1276595744680993E-2</v>
      </c>
      <c r="R6" s="13" t="str">
        <f t="shared" si="5"/>
        <v>Young (&lt;13 mo)</v>
      </c>
      <c r="S6" s="13"/>
    </row>
    <row r="7" spans="1:19" x14ac:dyDescent="0.35">
      <c r="A7" s="18" t="str">
        <f>Raw_Data!A7</f>
        <v>ST-106</v>
      </c>
      <c r="B7" s="18" t="str">
        <f>Raw_Data!B7</f>
        <v>Mountain</v>
      </c>
      <c r="C7" s="19" t="str">
        <f t="shared" si="0"/>
        <v>Mountain</v>
      </c>
      <c r="D7" s="18" t="str">
        <f>Raw_Data!C7</f>
        <v>Compact</v>
      </c>
      <c r="E7" s="20">
        <f>IF(Raw_Data!D7="","",Raw_Data!D7)</f>
        <v>12649</v>
      </c>
      <c r="F7" s="18">
        <f>Raw_Data!E7</f>
        <v>9</v>
      </c>
      <c r="G7" s="18">
        <f>Raw_Data!F7</f>
        <v>230</v>
      </c>
      <c r="H7" s="20">
        <f>Raw_Data!G7</f>
        <v>708</v>
      </c>
      <c r="I7" s="20">
        <f>Raw_Data!H7</f>
        <v>19983</v>
      </c>
      <c r="J7" s="18">
        <f>Raw_Data!I7</f>
        <v>6.8</v>
      </c>
      <c r="K7" s="18">
        <f>Raw_Data!J7</f>
        <v>2</v>
      </c>
      <c r="L7" s="18">
        <f>Raw_Data!K7</f>
        <v>6.5</v>
      </c>
      <c r="M7" s="18">
        <f>Raw_Data!L7</f>
        <v>4.5999999999999996</v>
      </c>
      <c r="N7" s="21">
        <f t="shared" si="1"/>
        <v>3.0782608695652174</v>
      </c>
      <c r="O7" s="22">
        <f t="shared" si="2"/>
        <v>86.882608695652181</v>
      </c>
      <c r="P7" s="22">
        <f t="shared" si="3"/>
        <v>28.224576271186439</v>
      </c>
      <c r="Q7" s="23">
        <f t="shared" si="4"/>
        <v>3.7217391304347824</v>
      </c>
      <c r="R7" s="19" t="str">
        <f t="shared" si="5"/>
        <v>Young (&lt;13 mo)</v>
      </c>
      <c r="S7" s="19" t="s">
        <v>96</v>
      </c>
    </row>
    <row r="8" spans="1:19" x14ac:dyDescent="0.35">
      <c r="A8" s="12" t="str">
        <f>Raw_Data!A8</f>
        <v>ST-107</v>
      </c>
      <c r="B8" s="12" t="str">
        <f>Raw_Data!B8</f>
        <v>Mountain</v>
      </c>
      <c r="C8" s="13" t="str">
        <f t="shared" si="0"/>
        <v>Mountain</v>
      </c>
      <c r="D8" s="12" t="str">
        <f>Raw_Data!C8</f>
        <v>Full-line</v>
      </c>
      <c r="E8" s="14">
        <f>IF(Raw_Data!D8="","",Raw_Data!D8)</f>
        <v>25739</v>
      </c>
      <c r="F8" s="12">
        <f>Raw_Data!E8</f>
        <v>88</v>
      </c>
      <c r="G8" s="12">
        <f>Raw_Data!F8</f>
        <v>468</v>
      </c>
      <c r="H8" s="14">
        <f>Raw_Data!G8</f>
        <v>2012</v>
      </c>
      <c r="I8" s="14">
        <f>Raw_Data!H8</f>
        <v>66538</v>
      </c>
      <c r="J8" s="12">
        <f>Raw_Data!I8</f>
        <v>4.3</v>
      </c>
      <c r="K8" s="12">
        <f>Raw_Data!J8</f>
        <v>8.5</v>
      </c>
      <c r="L8" s="12">
        <f>Raw_Data!K8</f>
        <v>5.2</v>
      </c>
      <c r="M8" s="12">
        <f>Raw_Data!L8</f>
        <v>9</v>
      </c>
      <c r="N8" s="15">
        <f t="shared" si="1"/>
        <v>4.299145299145299</v>
      </c>
      <c r="O8" s="16">
        <f t="shared" si="2"/>
        <v>142.17521367521368</v>
      </c>
      <c r="P8" s="16">
        <f t="shared" si="3"/>
        <v>33.070576540755468</v>
      </c>
      <c r="Q8" s="17">
        <f t="shared" si="4"/>
        <v>8.5470085470085166E-4</v>
      </c>
      <c r="R8" s="13" t="str">
        <f t="shared" si="5"/>
        <v>Mature (13+ mo)</v>
      </c>
      <c r="S8" s="13"/>
    </row>
    <row r="9" spans="1:19" x14ac:dyDescent="0.35">
      <c r="A9" s="12" t="str">
        <f>Raw_Data!A9</f>
        <v>ST-108</v>
      </c>
      <c r="B9" s="12" t="str">
        <f>Raw_Data!B9</f>
        <v>Southwest</v>
      </c>
      <c r="C9" s="13" t="str">
        <f t="shared" si="0"/>
        <v>Southwest</v>
      </c>
      <c r="D9" s="12" t="str">
        <f>Raw_Data!C9</f>
        <v>Full-line</v>
      </c>
      <c r="E9" s="14">
        <f>IF(Raw_Data!D9="","",Raw_Data!D9)</f>
        <v>27939</v>
      </c>
      <c r="F9" s="12">
        <f>Raw_Data!E9</f>
        <v>112</v>
      </c>
      <c r="G9" s="12">
        <f>Raw_Data!F9</f>
        <v>508</v>
      </c>
      <c r="H9" s="14">
        <f>Raw_Data!G9</f>
        <v>2113</v>
      </c>
      <c r="I9" s="14">
        <f>Raw_Data!H9</f>
        <v>71701</v>
      </c>
      <c r="J9" s="12">
        <f>Raw_Data!I9</f>
        <v>4.2</v>
      </c>
      <c r="K9" s="12">
        <f>Raw_Data!J9</f>
        <v>1.6</v>
      </c>
      <c r="L9" s="12">
        <f>Raw_Data!K9</f>
        <v>8.4</v>
      </c>
      <c r="M9" s="12">
        <f>Raw_Data!L9</f>
        <v>7.5</v>
      </c>
      <c r="N9" s="15">
        <f t="shared" si="1"/>
        <v>4.159448818897638</v>
      </c>
      <c r="O9" s="16">
        <f t="shared" si="2"/>
        <v>141.14370078740157</v>
      </c>
      <c r="P9" s="16">
        <f t="shared" si="3"/>
        <v>33.933270231897772</v>
      </c>
      <c r="Q9" s="17">
        <f t="shared" si="4"/>
        <v>4.0551181102362222E-2</v>
      </c>
      <c r="R9" s="13" t="str">
        <f t="shared" si="5"/>
        <v>Mature (13+ mo)</v>
      </c>
      <c r="S9" s="13"/>
    </row>
    <row r="10" spans="1:19" x14ac:dyDescent="0.35">
      <c r="A10" s="12" t="str">
        <f>Raw_Data!A10</f>
        <v>ST-109</v>
      </c>
      <c r="B10" s="12" t="str">
        <f>Raw_Data!B10</f>
        <v>Southwest</v>
      </c>
      <c r="C10" s="13" t="str">
        <f t="shared" si="0"/>
        <v>Southwest</v>
      </c>
      <c r="D10" s="12" t="str">
        <f>Raw_Data!C10</f>
        <v>Compact</v>
      </c>
      <c r="E10" s="14">
        <f>IF(Raw_Data!D10="","",Raw_Data!D10)</f>
        <v>10941</v>
      </c>
      <c r="F10" s="12">
        <f>Raw_Data!E10</f>
        <v>68</v>
      </c>
      <c r="G10" s="12">
        <f>Raw_Data!F10</f>
        <v>199</v>
      </c>
      <c r="H10" s="14">
        <f>Raw_Data!G10</f>
        <v>718</v>
      </c>
      <c r="I10" s="14">
        <f>Raw_Data!H10</f>
        <v>20039</v>
      </c>
      <c r="J10" s="12">
        <f>Raw_Data!I10</f>
        <v>3.6</v>
      </c>
      <c r="K10" s="12">
        <f>Raw_Data!J10</f>
        <v>8.4</v>
      </c>
      <c r="L10" s="12">
        <f>Raw_Data!K10</f>
        <v>7.6</v>
      </c>
      <c r="M10" s="12">
        <f>Raw_Data!L10</f>
        <v>4.2</v>
      </c>
      <c r="N10" s="15">
        <f t="shared" si="1"/>
        <v>3.608040201005025</v>
      </c>
      <c r="O10" s="16">
        <f t="shared" si="2"/>
        <v>100.69849246231156</v>
      </c>
      <c r="P10" s="16">
        <f t="shared" si="3"/>
        <v>27.909470752089135</v>
      </c>
      <c r="Q10" s="17">
        <f t="shared" si="4"/>
        <v>-8.040201005024894E-3</v>
      </c>
      <c r="R10" s="13" t="str">
        <f t="shared" si="5"/>
        <v>Mature (13+ mo)</v>
      </c>
      <c r="S10" s="13"/>
    </row>
    <row r="11" spans="1:19" x14ac:dyDescent="0.35">
      <c r="A11" s="18" t="str">
        <f>Raw_Data!A11</f>
        <v>ST-110</v>
      </c>
      <c r="B11" s="18" t="str">
        <f>Raw_Data!B11</f>
        <v>Southwest</v>
      </c>
      <c r="C11" s="19" t="str">
        <f t="shared" si="0"/>
        <v>Southwest</v>
      </c>
      <c r="D11" s="18" t="str">
        <f>Raw_Data!C11</f>
        <v>Outlet</v>
      </c>
      <c r="E11" s="20">
        <f>IF(Raw_Data!D11="","",Raw_Data!D11)</f>
        <v>18566</v>
      </c>
      <c r="F11" s="18">
        <f>Raw_Data!E11</f>
        <v>44</v>
      </c>
      <c r="G11" s="18">
        <f>Raw_Data!F11</f>
        <v>338</v>
      </c>
      <c r="H11" s="20">
        <f>Raw_Data!G11</f>
        <v>1839</v>
      </c>
      <c r="I11" s="20">
        <f>Raw_Data!H11</f>
        <v>573768</v>
      </c>
      <c r="J11" s="18">
        <f>Raw_Data!I11</f>
        <v>5.4</v>
      </c>
      <c r="K11" s="18">
        <f>Raw_Data!J11</f>
        <v>6.9</v>
      </c>
      <c r="L11" s="18">
        <f>Raw_Data!K11</f>
        <v>6.6</v>
      </c>
      <c r="M11" s="18">
        <f>Raw_Data!L11</f>
        <v>5.8</v>
      </c>
      <c r="N11" s="21">
        <f t="shared" si="1"/>
        <v>5.440828402366864</v>
      </c>
      <c r="O11" s="22">
        <f t="shared" si="2"/>
        <v>1697.5384615384614</v>
      </c>
      <c r="P11" s="22">
        <f t="shared" si="3"/>
        <v>312</v>
      </c>
      <c r="Q11" s="23">
        <f t="shared" si="4"/>
        <v>-4.0828402366863692E-2</v>
      </c>
      <c r="R11" s="19" t="str">
        <f t="shared" si="5"/>
        <v>Mature (13+ mo)</v>
      </c>
      <c r="S11" s="19" t="s">
        <v>97</v>
      </c>
    </row>
    <row r="12" spans="1:19" x14ac:dyDescent="0.35">
      <c r="A12" s="12" t="str">
        <f>Raw_Data!A12</f>
        <v>ST-111</v>
      </c>
      <c r="B12" s="12" t="str">
        <f>Raw_Data!B12</f>
        <v>Midwest</v>
      </c>
      <c r="C12" s="13" t="str">
        <f t="shared" si="0"/>
        <v>Midwest</v>
      </c>
      <c r="D12" s="12" t="str">
        <f>Raw_Data!C12</f>
        <v>Full-line</v>
      </c>
      <c r="E12" s="14">
        <f>IF(Raw_Data!D12="","",Raw_Data!D12)</f>
        <v>27096</v>
      </c>
      <c r="F12" s="12">
        <f>Raw_Data!E12</f>
        <v>143</v>
      </c>
      <c r="G12" s="12">
        <f>Raw_Data!F12</f>
        <v>493</v>
      </c>
      <c r="H12" s="14">
        <f>Raw_Data!G12</f>
        <v>2090</v>
      </c>
      <c r="I12" s="14">
        <f>Raw_Data!H12</f>
        <v>75305</v>
      </c>
      <c r="J12" s="12">
        <f>Raw_Data!I12</f>
        <v>4.2</v>
      </c>
      <c r="K12" s="12">
        <f>Raw_Data!J12</f>
        <v>2.2999999999999998</v>
      </c>
      <c r="L12" s="12">
        <f>Raw_Data!K12</f>
        <v>8.1</v>
      </c>
      <c r="M12" s="12">
        <f>Raw_Data!L12</f>
        <v>4.7</v>
      </c>
      <c r="N12" s="15">
        <f t="shared" si="1"/>
        <v>4.2393509127789049</v>
      </c>
      <c r="O12" s="16">
        <f t="shared" si="2"/>
        <v>152.74847870182555</v>
      </c>
      <c r="P12" s="16">
        <f t="shared" si="3"/>
        <v>36.0311004784689</v>
      </c>
      <c r="Q12" s="17">
        <f t="shared" si="4"/>
        <v>-3.9350912778904679E-2</v>
      </c>
      <c r="R12" s="13" t="str">
        <f t="shared" si="5"/>
        <v>Mature (13+ mo)</v>
      </c>
      <c r="S12" s="13"/>
    </row>
    <row r="13" spans="1:19" x14ac:dyDescent="0.35">
      <c r="A13" s="12" t="str">
        <f>Raw_Data!A13</f>
        <v>ST-112</v>
      </c>
      <c r="B13" s="12" t="str">
        <f>Raw_Data!B13</f>
        <v>Midwest</v>
      </c>
      <c r="C13" s="13" t="str">
        <f t="shared" si="0"/>
        <v>Midwest</v>
      </c>
      <c r="D13" s="12" t="str">
        <f>Raw_Data!C13</f>
        <v>Compact</v>
      </c>
      <c r="E13" s="14">
        <f>IF(Raw_Data!D13="","",Raw_Data!D13)</f>
        <v>10196</v>
      </c>
      <c r="F13" s="12">
        <f>Raw_Data!E13</f>
        <v>102</v>
      </c>
      <c r="G13" s="12">
        <f>Raw_Data!F13</f>
        <v>185</v>
      </c>
      <c r="H13" s="14">
        <f>Raw_Data!G13</f>
        <v>677</v>
      </c>
      <c r="I13" s="14">
        <f>Raw_Data!H13</f>
        <v>20522</v>
      </c>
      <c r="J13" s="12">
        <f>Raw_Data!I13</f>
        <v>3.7</v>
      </c>
      <c r="K13" s="12">
        <f>Raw_Data!J13</f>
        <v>3</v>
      </c>
      <c r="L13" s="12">
        <f>Raw_Data!K13</f>
        <v>3.7</v>
      </c>
      <c r="M13" s="12">
        <f>Raw_Data!L13</f>
        <v>6.1</v>
      </c>
      <c r="N13" s="15">
        <f t="shared" si="1"/>
        <v>3.6594594594594594</v>
      </c>
      <c r="O13" s="16">
        <f t="shared" si="2"/>
        <v>110.92972972972973</v>
      </c>
      <c r="P13" s="16">
        <f t="shared" si="3"/>
        <v>30.313146233382572</v>
      </c>
      <c r="Q13" s="17">
        <f t="shared" si="4"/>
        <v>4.0540540540540793E-2</v>
      </c>
      <c r="R13" s="13" t="str">
        <f t="shared" si="5"/>
        <v>Mature (13+ mo)</v>
      </c>
      <c r="S13" s="13"/>
    </row>
    <row r="14" spans="1:19" x14ac:dyDescent="0.35">
      <c r="A14" s="12" t="str">
        <f>Raw_Data!A15</f>
        <v>ST-113</v>
      </c>
      <c r="B14" s="12" t="str">
        <f>Raw_Data!B15</f>
        <v>Midwest</v>
      </c>
      <c r="C14" s="13" t="str">
        <f t="shared" si="0"/>
        <v>Midwest</v>
      </c>
      <c r="D14" s="12" t="str">
        <f>Raw_Data!C15</f>
        <v>Outlet</v>
      </c>
      <c r="E14" s="14">
        <f>IF(Raw_Data!D15="","",Raw_Data!D15)</f>
        <v>21882</v>
      </c>
      <c r="F14" s="12">
        <f>Raw_Data!E15</f>
        <v>66</v>
      </c>
      <c r="G14" s="12">
        <f>Raw_Data!F15</f>
        <v>398</v>
      </c>
      <c r="H14" s="14">
        <f>Raw_Data!G15</f>
        <v>2022</v>
      </c>
      <c r="I14" s="14">
        <f>Raw_Data!H15</f>
        <v>40482</v>
      </c>
      <c r="J14" s="12">
        <f>Raw_Data!I15</f>
        <v>5.0999999999999996</v>
      </c>
      <c r="K14" s="12">
        <f>Raw_Data!J15</f>
        <v>3.8</v>
      </c>
      <c r="L14" s="12">
        <f>Raw_Data!K15</f>
        <v>5.6</v>
      </c>
      <c r="M14" s="12">
        <f>Raw_Data!L15</f>
        <v>8.1999999999999993</v>
      </c>
      <c r="N14" s="15">
        <f t="shared" si="1"/>
        <v>5.0804020100502516</v>
      </c>
      <c r="O14" s="16">
        <f t="shared" si="2"/>
        <v>101.71356783919597</v>
      </c>
      <c r="P14" s="16">
        <f t="shared" si="3"/>
        <v>20.020771513353115</v>
      </c>
      <c r="Q14" s="17">
        <f t="shared" si="4"/>
        <v>1.959798994974804E-2</v>
      </c>
      <c r="R14" s="13" t="str">
        <f t="shared" si="5"/>
        <v>Mature (13+ mo)</v>
      </c>
      <c r="S14" s="13"/>
    </row>
    <row r="15" spans="1:19" x14ac:dyDescent="0.35">
      <c r="A15" s="18" t="str">
        <f>Raw_Data!A16</f>
        <v>ST-114</v>
      </c>
      <c r="B15" s="18" t="str">
        <f>Raw_Data!B16</f>
        <v>Midwest</v>
      </c>
      <c r="C15" s="19" t="str">
        <f t="shared" si="0"/>
        <v>Midwest</v>
      </c>
      <c r="D15" s="18" t="str">
        <f>Raw_Data!C16</f>
        <v>Full-line</v>
      </c>
      <c r="E15" s="20">
        <f>IF(Raw_Data!D16="","",Raw_Data!D16)</f>
        <v>26981</v>
      </c>
      <c r="F15" s="18">
        <f>Raw_Data!E16</f>
        <v>3</v>
      </c>
      <c r="G15" s="18">
        <f>Raw_Data!F16</f>
        <v>491</v>
      </c>
      <c r="H15" s="20">
        <f>Raw_Data!G16</f>
        <v>2018</v>
      </c>
      <c r="I15" s="20">
        <f>Raw_Data!H16</f>
        <v>70209</v>
      </c>
      <c r="J15" s="18">
        <f>Raw_Data!I16</f>
        <v>4.0999999999999996</v>
      </c>
      <c r="K15" s="18">
        <f>Raw_Data!J16</f>
        <v>3.1</v>
      </c>
      <c r="L15" s="18">
        <f>Raw_Data!K16</f>
        <v>5.3</v>
      </c>
      <c r="M15" s="18">
        <f>Raw_Data!L16</f>
        <v>8.6999999999999993</v>
      </c>
      <c r="N15" s="21">
        <f t="shared" si="1"/>
        <v>4.1099796334012222</v>
      </c>
      <c r="O15" s="22">
        <f t="shared" si="2"/>
        <v>142.99185336048879</v>
      </c>
      <c r="P15" s="22">
        <f t="shared" si="3"/>
        <v>34.791377601585729</v>
      </c>
      <c r="Q15" s="23">
        <f t="shared" si="4"/>
        <v>-9.9796334012225429E-3</v>
      </c>
      <c r="R15" s="19" t="str">
        <f t="shared" si="5"/>
        <v>Young (&lt;13 mo)</v>
      </c>
      <c r="S15" s="19" t="s">
        <v>98</v>
      </c>
    </row>
    <row r="16" spans="1:19" x14ac:dyDescent="0.35">
      <c r="A16" s="12" t="str">
        <f>Raw_Data!A17</f>
        <v>ST-115</v>
      </c>
      <c r="B16" s="12" t="str">
        <f>Raw_Data!B17</f>
        <v>Northeast</v>
      </c>
      <c r="C16" s="13" t="str">
        <f t="shared" si="0"/>
        <v>Northeast</v>
      </c>
      <c r="D16" s="12" t="str">
        <f>Raw_Data!C17</f>
        <v>Full-line</v>
      </c>
      <c r="E16" s="14">
        <f>IF(Raw_Data!D17="","",Raw_Data!D17)</f>
        <v>32602</v>
      </c>
      <c r="F16" s="12">
        <f>Raw_Data!E17</f>
        <v>156</v>
      </c>
      <c r="G16" s="12">
        <f>Raw_Data!F17</f>
        <v>593</v>
      </c>
      <c r="H16" s="14">
        <f>Raw_Data!G17</f>
        <v>2384</v>
      </c>
      <c r="I16" s="14">
        <f>Raw_Data!H17</f>
        <v>81269</v>
      </c>
      <c r="J16" s="12">
        <f>Raw_Data!I17</f>
        <v>4</v>
      </c>
      <c r="K16" s="12">
        <f>Raw_Data!J17</f>
        <v>8.1</v>
      </c>
      <c r="L16" s="12">
        <f>Raw_Data!K17</f>
        <v>7.3</v>
      </c>
      <c r="M16" s="12">
        <f>Raw_Data!L17</f>
        <v>7.9</v>
      </c>
      <c r="N16" s="15">
        <f t="shared" si="1"/>
        <v>4.020236087689713</v>
      </c>
      <c r="O16" s="16">
        <f t="shared" si="2"/>
        <v>137.04721753794266</v>
      </c>
      <c r="P16" s="16">
        <f t="shared" si="3"/>
        <v>34.089345637583889</v>
      </c>
      <c r="Q16" s="17">
        <f t="shared" si="4"/>
        <v>-2.0236087689712967E-2</v>
      </c>
      <c r="R16" s="13" t="str">
        <f t="shared" si="5"/>
        <v>Mature (13+ mo)</v>
      </c>
      <c r="S16" s="13"/>
    </row>
    <row r="17" spans="1:19" x14ac:dyDescent="0.35">
      <c r="A17" s="12" t="str">
        <f>Raw_Data!A18</f>
        <v>ST-116</v>
      </c>
      <c r="B17" s="12" t="str">
        <f>Raw_Data!B18</f>
        <v>Northeast</v>
      </c>
      <c r="C17" s="13" t="str">
        <f t="shared" si="0"/>
        <v>Northeast</v>
      </c>
      <c r="D17" s="12" t="str">
        <f>Raw_Data!C18</f>
        <v>Compact</v>
      </c>
      <c r="E17" s="14">
        <f>IF(Raw_Data!D18="","",Raw_Data!D18)</f>
        <v>9615</v>
      </c>
      <c r="F17" s="12">
        <f>Raw_Data!E18</f>
        <v>84</v>
      </c>
      <c r="G17" s="12">
        <f>Raw_Data!F18</f>
        <v>175</v>
      </c>
      <c r="H17" s="14">
        <f>Raw_Data!G18</f>
        <v>656</v>
      </c>
      <c r="I17" s="14">
        <f>Raw_Data!H18</f>
        <v>18057</v>
      </c>
      <c r="J17" s="12">
        <f>Raw_Data!I18</f>
        <v>3.8</v>
      </c>
      <c r="K17" s="12">
        <f>Raw_Data!J18</f>
        <v>4.9000000000000004</v>
      </c>
      <c r="L17" s="12">
        <f>Raw_Data!K18</f>
        <v>3.4</v>
      </c>
      <c r="M17" s="12">
        <f>Raw_Data!L18</f>
        <v>5</v>
      </c>
      <c r="N17" s="15">
        <f t="shared" si="1"/>
        <v>3.7485714285714287</v>
      </c>
      <c r="O17" s="16">
        <f t="shared" si="2"/>
        <v>103.18285714285715</v>
      </c>
      <c r="P17" s="16">
        <f t="shared" si="3"/>
        <v>27.525914634146343</v>
      </c>
      <c r="Q17" s="17">
        <f t="shared" si="4"/>
        <v>5.1428571428571157E-2</v>
      </c>
      <c r="R17" s="13" t="str">
        <f t="shared" si="5"/>
        <v>Mature (13+ mo)</v>
      </c>
      <c r="S17" s="13"/>
    </row>
    <row r="18" spans="1:19" x14ac:dyDescent="0.35">
      <c r="A18" s="18" t="str">
        <f>Raw_Data!A19</f>
        <v>ST-117</v>
      </c>
      <c r="B18" s="18" t="str">
        <f>Raw_Data!B19</f>
        <v>Northeast</v>
      </c>
      <c r="C18" s="19" t="str">
        <f t="shared" si="0"/>
        <v>Northeast</v>
      </c>
      <c r="D18" s="18" t="str">
        <f>Raw_Data!C19</f>
        <v>Outlet</v>
      </c>
      <c r="E18" s="20">
        <f>IF(Raw_Data!D19="","",Raw_Data!D19)</f>
        <v>20389</v>
      </c>
      <c r="F18" s="18">
        <f>Raw_Data!E19</f>
        <v>71</v>
      </c>
      <c r="G18" s="18">
        <f>Raw_Data!F19</f>
        <v>371</v>
      </c>
      <c r="H18" s="20">
        <f>Raw_Data!G19</f>
        <v>1881</v>
      </c>
      <c r="I18" s="20">
        <f>Raw_Data!H19</f>
        <v>41627</v>
      </c>
      <c r="J18" s="18">
        <f>Raw_Data!I19</f>
        <v>5.0999999999999996</v>
      </c>
      <c r="K18" s="18">
        <f>Raw_Data!J19</f>
        <v>1.3</v>
      </c>
      <c r="L18" s="18">
        <f>Raw_Data!K19</f>
        <v>6.2</v>
      </c>
      <c r="M18" s="18">
        <f>Raw_Data!L19</f>
        <v>11.4</v>
      </c>
      <c r="N18" s="21">
        <f t="shared" si="1"/>
        <v>5.0700808625336924</v>
      </c>
      <c r="O18" s="22">
        <f t="shared" si="2"/>
        <v>112.2021563342318</v>
      </c>
      <c r="P18" s="22">
        <f t="shared" si="3"/>
        <v>22.130249867091973</v>
      </c>
      <c r="Q18" s="23">
        <f t="shared" si="4"/>
        <v>2.9919137466307255E-2</v>
      </c>
      <c r="R18" s="19" t="str">
        <f t="shared" si="5"/>
        <v>Mature (13+ mo)</v>
      </c>
      <c r="S18" s="19" t="s">
        <v>99</v>
      </c>
    </row>
    <row r="19" spans="1:19" x14ac:dyDescent="0.35">
      <c r="A19" s="12" t="str">
        <f>Raw_Data!A20</f>
        <v>ST-118</v>
      </c>
      <c r="B19" s="12" t="str">
        <f>Raw_Data!B20</f>
        <v>Northeast</v>
      </c>
      <c r="C19" s="13" t="str">
        <f t="shared" si="0"/>
        <v>Northeast</v>
      </c>
      <c r="D19" s="12" t="str">
        <f>Raw_Data!C20</f>
        <v>Compact</v>
      </c>
      <c r="E19" s="14">
        <f>IF(Raw_Data!D20="","",Raw_Data!D20)</f>
        <v>9526</v>
      </c>
      <c r="F19" s="12">
        <f>Raw_Data!E20</f>
        <v>47</v>
      </c>
      <c r="G19" s="12">
        <f>Raw_Data!F20</f>
        <v>173</v>
      </c>
      <c r="H19" s="14">
        <f>Raw_Data!G20</f>
        <v>661</v>
      </c>
      <c r="I19" s="14">
        <f>Raw_Data!H20</f>
        <v>18254</v>
      </c>
      <c r="J19" s="12">
        <f>Raw_Data!I20</f>
        <v>3.8</v>
      </c>
      <c r="K19" s="12">
        <f>Raw_Data!J20</f>
        <v>8.1</v>
      </c>
      <c r="L19" s="12">
        <f>Raw_Data!K20</f>
        <v>5.3</v>
      </c>
      <c r="M19" s="12">
        <f>Raw_Data!L20</f>
        <v>3.9</v>
      </c>
      <c r="N19" s="15">
        <f t="shared" si="1"/>
        <v>3.8208092485549132</v>
      </c>
      <c r="O19" s="16">
        <f t="shared" si="2"/>
        <v>105.51445086705202</v>
      </c>
      <c r="P19" s="16">
        <f t="shared" si="3"/>
        <v>27.615733736762483</v>
      </c>
      <c r="Q19" s="17">
        <f t="shared" si="4"/>
        <v>-2.0809248554913395E-2</v>
      </c>
      <c r="R19" s="13" t="str">
        <f t="shared" si="5"/>
        <v>Mature (13+ mo)</v>
      </c>
      <c r="S19" s="13"/>
    </row>
    <row r="20" spans="1:19" x14ac:dyDescent="0.35">
      <c r="A20" s="12" t="str">
        <f>Raw_Data!A21</f>
        <v>ST-119</v>
      </c>
      <c r="B20" s="12" t="str">
        <f>Raw_Data!B21</f>
        <v>Southeast</v>
      </c>
      <c r="C20" s="13" t="str">
        <f t="shared" si="0"/>
        <v>Southeast</v>
      </c>
      <c r="D20" s="12" t="str">
        <f>Raw_Data!C21</f>
        <v>Full-line</v>
      </c>
      <c r="E20" s="14">
        <f>IF(Raw_Data!D21="","",Raw_Data!D21)</f>
        <v>25116</v>
      </c>
      <c r="F20" s="12">
        <f>Raw_Data!E21</f>
        <v>91</v>
      </c>
      <c r="G20" s="12">
        <f>Raw_Data!F21</f>
        <v>457</v>
      </c>
      <c r="H20" s="14">
        <f>Raw_Data!G21</f>
        <v>1842</v>
      </c>
      <c r="I20" s="14">
        <f>Raw_Data!H21</f>
        <v>63338</v>
      </c>
      <c r="J20" s="12">
        <f>Raw_Data!I21</f>
        <v>4</v>
      </c>
      <c r="K20" s="12">
        <f>Raw_Data!J21</f>
        <v>8.4</v>
      </c>
      <c r="L20" s="12">
        <f>Raw_Data!K21</f>
        <v>4.8</v>
      </c>
      <c r="M20" s="12">
        <f>Raw_Data!L21</f>
        <v>5.9</v>
      </c>
      <c r="N20" s="15">
        <f t="shared" si="1"/>
        <v>4.030634573304158</v>
      </c>
      <c r="O20" s="16">
        <f t="shared" si="2"/>
        <v>138.59518599562364</v>
      </c>
      <c r="P20" s="16">
        <f t="shared" si="3"/>
        <v>34.385450597176984</v>
      </c>
      <c r="Q20" s="17">
        <f t="shared" si="4"/>
        <v>-3.0634573304157975E-2</v>
      </c>
      <c r="R20" s="13" t="str">
        <f t="shared" si="5"/>
        <v>Mature (13+ mo)</v>
      </c>
      <c r="S20" s="13"/>
    </row>
    <row r="21" spans="1:19" x14ac:dyDescent="0.35">
      <c r="A21" s="18" t="str">
        <f>Raw_Data!A22</f>
        <v>ST-120</v>
      </c>
      <c r="B21" s="18" t="str">
        <f>Raw_Data!B22</f>
        <v>Southeast</v>
      </c>
      <c r="C21" s="19" t="str">
        <f t="shared" si="0"/>
        <v>Southeast</v>
      </c>
      <c r="D21" s="18" t="str">
        <f>Raw_Data!C22</f>
        <v>Compact</v>
      </c>
      <c r="E21" s="20" t="str">
        <f>IF(Raw_Data!D22="","",Raw_Data!D22)</f>
        <v/>
      </c>
      <c r="F21" s="18">
        <f>Raw_Data!E22</f>
        <v>55</v>
      </c>
      <c r="G21" s="18">
        <f>Raw_Data!F22</f>
        <v>234</v>
      </c>
      <c r="H21" s="20">
        <f>Raw_Data!G22</f>
        <v>842</v>
      </c>
      <c r="I21" s="20">
        <f>Raw_Data!H22</f>
        <v>23885</v>
      </c>
      <c r="J21" s="18">
        <f>Raw_Data!I22</f>
        <v>3.6</v>
      </c>
      <c r="K21" s="18">
        <f>Raw_Data!J22</f>
        <v>6.9</v>
      </c>
      <c r="L21" s="18">
        <f>Raw_Data!K22</f>
        <v>4.2</v>
      </c>
      <c r="M21" s="18">
        <f>Raw_Data!L22</f>
        <v>9.8000000000000007</v>
      </c>
      <c r="N21" s="21">
        <f t="shared" si="1"/>
        <v>3.5982905982905984</v>
      </c>
      <c r="O21" s="22">
        <f t="shared" si="2"/>
        <v>102.07264957264957</v>
      </c>
      <c r="P21" s="22">
        <f t="shared" si="3"/>
        <v>28.366983372921617</v>
      </c>
      <c r="Q21" s="23">
        <f t="shared" si="4"/>
        <v>1.7094017094017033E-3</v>
      </c>
      <c r="R21" s="19" t="str">
        <f t="shared" si="5"/>
        <v>Mature (13+ mo)</v>
      </c>
      <c r="S21" s="19" t="s">
        <v>100</v>
      </c>
    </row>
    <row r="22" spans="1:19" x14ac:dyDescent="0.35">
      <c r="A22" s="12" t="str">
        <f>Raw_Data!A23</f>
        <v>ST-121</v>
      </c>
      <c r="B22" s="12" t="str">
        <f>Raw_Data!B23</f>
        <v>Southeast</v>
      </c>
      <c r="C22" s="13" t="str">
        <f t="shared" si="0"/>
        <v>Southeast</v>
      </c>
      <c r="D22" s="12" t="str">
        <f>Raw_Data!C23</f>
        <v>Outlet</v>
      </c>
      <c r="E22" s="14">
        <f>IF(Raw_Data!D23="","",Raw_Data!D23)</f>
        <v>19981</v>
      </c>
      <c r="F22" s="12">
        <f>Raw_Data!E23</f>
        <v>39</v>
      </c>
      <c r="G22" s="12">
        <f>Raw_Data!F23</f>
        <v>363</v>
      </c>
      <c r="H22" s="14">
        <f>Raw_Data!G23</f>
        <v>1931</v>
      </c>
      <c r="I22" s="14">
        <f>Raw_Data!H23</f>
        <v>38277</v>
      </c>
      <c r="J22" s="12">
        <f>Raw_Data!I23</f>
        <v>5.3</v>
      </c>
      <c r="K22" s="12">
        <f>Raw_Data!J23</f>
        <v>1.6</v>
      </c>
      <c r="L22" s="12">
        <f>Raw_Data!K23</f>
        <v>6.7</v>
      </c>
      <c r="M22" s="12">
        <f>Raw_Data!L23</f>
        <v>9.9</v>
      </c>
      <c r="N22" s="15">
        <f t="shared" si="1"/>
        <v>5.3195592286501379</v>
      </c>
      <c r="O22" s="16">
        <f t="shared" si="2"/>
        <v>105.44628099173553</v>
      </c>
      <c r="P22" s="16">
        <f t="shared" si="3"/>
        <v>19.822371828068359</v>
      </c>
      <c r="Q22" s="17">
        <f t="shared" si="4"/>
        <v>-1.9559228650138039E-2</v>
      </c>
      <c r="R22" s="13" t="str">
        <f t="shared" si="5"/>
        <v>Mature (13+ mo)</v>
      </c>
      <c r="S22" s="13"/>
    </row>
    <row r="23" spans="1:19" x14ac:dyDescent="0.35">
      <c r="A23" s="18" t="str">
        <f>Raw_Data!A24</f>
        <v>ST-122</v>
      </c>
      <c r="B23" s="18" t="str">
        <f>Raw_Data!B24</f>
        <v>Southeast</v>
      </c>
      <c r="C23" s="19" t="str">
        <f t="shared" si="0"/>
        <v>Southeast</v>
      </c>
      <c r="D23" s="18" t="str">
        <f>Raw_Data!C24</f>
        <v>Full-line</v>
      </c>
      <c r="E23" s="20">
        <f>IF(Raw_Data!D24="","",Raw_Data!D24)</f>
        <v>33561</v>
      </c>
      <c r="F23" s="18">
        <f>Raw_Data!E24</f>
        <v>128</v>
      </c>
      <c r="G23" s="18">
        <f>Raw_Data!F24</f>
        <v>610</v>
      </c>
      <c r="H23" s="20">
        <f>Raw_Data!G24</f>
        <v>2568</v>
      </c>
      <c r="I23" s="20">
        <f>Raw_Data!H24</f>
        <v>88236</v>
      </c>
      <c r="J23" s="18">
        <f>Raw_Data!I24</f>
        <v>4.2</v>
      </c>
      <c r="K23" s="18">
        <f>Raw_Data!J24</f>
        <v>104</v>
      </c>
      <c r="L23" s="18">
        <f>Raw_Data!K24</f>
        <v>5.8</v>
      </c>
      <c r="M23" s="18">
        <f>Raw_Data!L24</f>
        <v>4.7</v>
      </c>
      <c r="N23" s="21">
        <f t="shared" si="1"/>
        <v>4.2098360655737705</v>
      </c>
      <c r="O23" s="22">
        <f t="shared" si="2"/>
        <v>144.64918032786886</v>
      </c>
      <c r="P23" s="22">
        <f t="shared" si="3"/>
        <v>34.359813084112147</v>
      </c>
      <c r="Q23" s="23">
        <f t="shared" si="4"/>
        <v>-9.8360655737703695E-3</v>
      </c>
      <c r="R23" s="19" t="str">
        <f t="shared" si="5"/>
        <v>Mature (13+ mo)</v>
      </c>
      <c r="S23" s="19" t="s">
        <v>101</v>
      </c>
    </row>
    <row r="25" spans="1:19" x14ac:dyDescent="0.35">
      <c r="A25" s="10" t="s">
        <v>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"/>
  <sheetViews>
    <sheetView topLeftCell="A7" zoomScaleNormal="100" workbookViewId="0"/>
  </sheetViews>
  <sheetFormatPr defaultColWidth="8.6328125" defaultRowHeight="14.5" x14ac:dyDescent="0.35"/>
  <cols>
    <col min="1" max="1" width="11" customWidth="1"/>
    <col min="2" max="2" width="14" customWidth="1"/>
    <col min="3" max="3" width="3" customWidth="1"/>
    <col min="4" max="4" width="11" customWidth="1"/>
    <col min="5" max="5" width="16" customWidth="1"/>
    <col min="6" max="6" width="18" customWidth="1"/>
    <col min="7" max="7" width="3" customWidth="1"/>
    <col min="8" max="8" width="22" customWidth="1"/>
    <col min="9" max="10" width="10" customWidth="1"/>
    <col min="11" max="11" width="16" customWidth="1"/>
    <col min="12" max="12" width="3" customWidth="1"/>
    <col min="13" max="13" width="12" customWidth="1"/>
    <col min="14" max="14" width="10" customWidth="1"/>
    <col min="15" max="15" width="3" customWidth="1"/>
    <col min="16" max="16" width="10" customWidth="1"/>
    <col min="17" max="17" width="14" customWidth="1"/>
    <col min="18" max="18" width="3" customWidth="1"/>
    <col min="19" max="19" width="10" customWidth="1"/>
    <col min="20" max="20" width="14" customWidth="1"/>
  </cols>
  <sheetData>
    <row r="1" spans="1:20" ht="18" x14ac:dyDescent="0.4">
      <c r="A1" s="24" t="s">
        <v>103</v>
      </c>
    </row>
    <row r="2" spans="1:20" x14ac:dyDescent="0.35">
      <c r="A2" s="10" t="s">
        <v>104</v>
      </c>
    </row>
    <row r="3" spans="1:20" ht="43.5" customHeight="1" x14ac:dyDescent="0.35">
      <c r="A3" s="11" t="s">
        <v>105</v>
      </c>
      <c r="B3" s="11" t="s">
        <v>106</v>
      </c>
      <c r="D3" s="11" t="s">
        <v>107</v>
      </c>
      <c r="E3" s="11" t="s">
        <v>108</v>
      </c>
      <c r="F3" s="11" t="s">
        <v>109</v>
      </c>
      <c r="H3" s="11" t="s">
        <v>110</v>
      </c>
      <c r="I3" s="11" t="s">
        <v>111</v>
      </c>
      <c r="J3" s="11" t="s">
        <v>112</v>
      </c>
      <c r="K3" s="11" t="s">
        <v>113</v>
      </c>
      <c r="M3" s="11" t="s">
        <v>114</v>
      </c>
      <c r="N3" s="11" t="s">
        <v>115</v>
      </c>
      <c r="P3" s="11" t="s">
        <v>116</v>
      </c>
      <c r="Q3" s="11" t="s">
        <v>117</v>
      </c>
      <c r="S3" s="11" t="s">
        <v>118</v>
      </c>
      <c r="T3" s="11" t="s">
        <v>119</v>
      </c>
    </row>
    <row r="4" spans="1:20" x14ac:dyDescent="0.35">
      <c r="A4" s="6" t="s">
        <v>36</v>
      </c>
      <c r="B4" s="25">
        <f>INDEX(Clean_Data!$J$2:$J$23,MATCH(A4,Clean_Data!$A$2:$A$23,0))</f>
        <v>3.4</v>
      </c>
      <c r="D4" s="6" t="s">
        <v>44</v>
      </c>
      <c r="E4" s="26">
        <f>INDEX(Clean_Data!$N$2:$N$23,MATCH(D4,Clean_Data!$A$2:$A$23,0))</f>
        <v>2.4398148148148149</v>
      </c>
      <c r="F4" s="12" t="str">
        <f>INDEX(Clean_Data!$C$2:$C$23,MATCH(D4,Clean_Data!$A$2:$A$23,0))</f>
        <v>Mountain</v>
      </c>
      <c r="H4" s="13" t="s">
        <v>120</v>
      </c>
      <c r="I4" s="6" t="s">
        <v>44</v>
      </c>
      <c r="J4" s="12">
        <f>INDEX(Clean_Data!$F$2:$F$23,MATCH(I4,Clean_Data!$A$2:$A$23,0))</f>
        <v>4</v>
      </c>
      <c r="K4" s="26">
        <f>INDEX(Clean_Data!$N$2:$N$23,MATCH(I4,Clean_Data!$A$2:$A$23,0))</f>
        <v>2.4398148148148149</v>
      </c>
      <c r="M4" s="6">
        <v>13</v>
      </c>
      <c r="N4" s="6">
        <v>0</v>
      </c>
      <c r="P4" s="6">
        <v>0</v>
      </c>
      <c r="Q4" s="15">
        <f>MIN($K$7:$K$12)</f>
        <v>3.3891402714932126</v>
      </c>
      <c r="S4" s="6">
        <v>0</v>
      </c>
      <c r="T4" s="15">
        <f>MAX($K$7:$K$12)</f>
        <v>3.8208092485549132</v>
      </c>
    </row>
    <row r="5" spans="1:20" x14ac:dyDescent="0.35">
      <c r="A5" s="6" t="s">
        <v>44</v>
      </c>
      <c r="B5" s="25">
        <f>INDEX(Clean_Data!$J$2:$J$23,MATCH(A5,Clean_Data!$A$2:$A$23,0))</f>
        <v>2.4</v>
      </c>
      <c r="D5" s="6" t="s">
        <v>48</v>
      </c>
      <c r="E5" s="26">
        <f>INDEX(Clean_Data!$N$2:$N$23,MATCH(D5,Clean_Data!$A$2:$A$23,0))</f>
        <v>2.978723404255319</v>
      </c>
      <c r="F5" s="12" t="str">
        <f>INDEX(Clean_Data!$C$2:$C$23,MATCH(D5,Clean_Data!$A$2:$A$23,0))</f>
        <v>Mountain</v>
      </c>
      <c r="H5" s="13" t="s">
        <v>120</v>
      </c>
      <c r="I5" s="6" t="s">
        <v>48</v>
      </c>
      <c r="J5" s="12">
        <f>INDEX(Clean_Data!$F$2:$F$23,MATCH(I5,Clean_Data!$A$2:$A$23,0))</f>
        <v>7</v>
      </c>
      <c r="K5" s="26">
        <f>INDEX(Clean_Data!$N$2:$N$23,MATCH(I5,Clean_Data!$A$2:$A$23,0))</f>
        <v>2.978723404255319</v>
      </c>
      <c r="M5" s="6">
        <v>13</v>
      </c>
      <c r="N5" s="6">
        <v>4.5</v>
      </c>
      <c r="P5" s="6">
        <v>150</v>
      </c>
      <c r="Q5" s="15">
        <f>MIN($K$7:$K$12)</f>
        <v>3.3891402714932126</v>
      </c>
      <c r="S5" s="6">
        <v>150</v>
      </c>
      <c r="T5" s="15">
        <f>MAX($K$7:$K$12)</f>
        <v>3.8208092485549132</v>
      </c>
    </row>
    <row r="6" spans="1:20" x14ac:dyDescent="0.35">
      <c r="A6" s="6" t="s">
        <v>48</v>
      </c>
      <c r="B6" s="25">
        <f>INDEX(Clean_Data!$J$2:$J$23,MATCH(A6,Clean_Data!$A$2:$A$23,0))</f>
        <v>3</v>
      </c>
      <c r="D6" s="6" t="s">
        <v>51</v>
      </c>
      <c r="E6" s="26">
        <f>INDEX(Clean_Data!$N$2:$N$23,MATCH(D6,Clean_Data!$A$2:$A$23,0))</f>
        <v>3.0782608695652174</v>
      </c>
      <c r="F6" s="12" t="str">
        <f>INDEX(Clean_Data!$C$2:$C$23,MATCH(D6,Clean_Data!$A$2:$A$23,0))</f>
        <v>Mountain</v>
      </c>
      <c r="H6" s="13" t="s">
        <v>120</v>
      </c>
      <c r="I6" s="6" t="s">
        <v>51</v>
      </c>
      <c r="J6" s="12">
        <f>INDEX(Clean_Data!$F$2:$F$23,MATCH(I6,Clean_Data!$A$2:$A$23,0))</f>
        <v>9</v>
      </c>
      <c r="K6" s="26">
        <f>INDEX(Clean_Data!$N$2:$N$23,MATCH(I6,Clean_Data!$A$2:$A$23,0))</f>
        <v>3.0782608695652174</v>
      </c>
    </row>
    <row r="7" spans="1:20" x14ac:dyDescent="0.35">
      <c r="A7" s="6" t="s">
        <v>51</v>
      </c>
      <c r="B7" s="25">
        <f>INDEX(Clean_Data!$J$2:$J$23,MATCH(A7,Clean_Data!$A$2:$A$23,0))</f>
        <v>6.8</v>
      </c>
      <c r="D7" s="6" t="s">
        <v>36</v>
      </c>
      <c r="E7" s="26">
        <f>INDEX(Clean_Data!$N$2:$N$23,MATCH(D7,Clean_Data!$A$2:$A$23,0))</f>
        <v>3.3891402714932126</v>
      </c>
      <c r="F7" s="12" t="str">
        <f>INDEX(Clean_Data!$C$2:$C$23,MATCH(D7,Clean_Data!$A$2:$A$23,0))</f>
        <v>Pacific Northwest</v>
      </c>
      <c r="H7" s="13" t="s">
        <v>121</v>
      </c>
      <c r="I7" s="6" t="s">
        <v>73</v>
      </c>
      <c r="J7" s="12">
        <f>INDEX(Clean_Data!$F$2:$F$23,MATCH(I7,Clean_Data!$A$2:$A$23,0))</f>
        <v>47</v>
      </c>
      <c r="K7" s="26">
        <f>INDEX(Clean_Data!$N$2:$N$23,MATCH(I7,Clean_Data!$A$2:$A$23,0))</f>
        <v>3.8208092485549132</v>
      </c>
      <c r="M7" s="10" t="s">
        <v>122</v>
      </c>
    </row>
    <row r="8" spans="1:20" x14ac:dyDescent="0.35">
      <c r="A8" s="6" t="s">
        <v>57</v>
      </c>
      <c r="B8" s="25">
        <f>INDEX(Clean_Data!$J$2:$J$23,MATCH(A8,Clean_Data!$A$2:$A$23,0))</f>
        <v>3.6</v>
      </c>
      <c r="D8" s="6" t="s">
        <v>76</v>
      </c>
      <c r="E8" s="26">
        <f>INDEX(Clean_Data!$N$2:$N$23,MATCH(D8,Clean_Data!$A$2:$A$23,0))</f>
        <v>3.5982905982905984</v>
      </c>
      <c r="F8" s="12" t="str">
        <f>INDEX(Clean_Data!$C$2:$C$23,MATCH(D8,Clean_Data!$A$2:$A$23,0))</f>
        <v>Southeast</v>
      </c>
      <c r="H8" s="13" t="s">
        <v>121</v>
      </c>
      <c r="I8" s="6" t="s">
        <v>76</v>
      </c>
      <c r="J8" s="12">
        <f>INDEX(Clean_Data!$F$2:$F$23,MATCH(I8,Clean_Data!$A$2:$A$23,0))</f>
        <v>55</v>
      </c>
      <c r="K8" s="26">
        <f>INDEX(Clean_Data!$N$2:$N$23,MATCH(I8,Clean_Data!$A$2:$A$23,0))</f>
        <v>3.5982905982905984</v>
      </c>
    </row>
    <row r="9" spans="1:20" x14ac:dyDescent="0.35">
      <c r="A9" s="6" t="s">
        <v>61</v>
      </c>
      <c r="B9" s="25">
        <f>INDEX(Clean_Data!$J$2:$J$23,MATCH(A9,Clean_Data!$A$2:$A$23,0))</f>
        <v>3.7</v>
      </c>
      <c r="D9" s="6" t="s">
        <v>57</v>
      </c>
      <c r="E9" s="26">
        <f>INDEX(Clean_Data!$N$2:$N$23,MATCH(D9,Clean_Data!$A$2:$A$23,0))</f>
        <v>3.608040201005025</v>
      </c>
      <c r="F9" s="12" t="str">
        <f>INDEX(Clean_Data!$C$2:$C$23,MATCH(D9,Clean_Data!$A$2:$A$23,0))</f>
        <v>Southwest</v>
      </c>
      <c r="H9" s="13" t="s">
        <v>121</v>
      </c>
      <c r="I9" s="6" t="s">
        <v>57</v>
      </c>
      <c r="J9" s="12">
        <f>INDEX(Clean_Data!$F$2:$F$23,MATCH(I9,Clean_Data!$A$2:$A$23,0))</f>
        <v>68</v>
      </c>
      <c r="K9" s="26">
        <f>INDEX(Clean_Data!$N$2:$N$23,MATCH(I9,Clean_Data!$A$2:$A$23,0))</f>
        <v>3.608040201005025</v>
      </c>
    </row>
    <row r="10" spans="1:20" x14ac:dyDescent="0.35">
      <c r="A10" s="6" t="s">
        <v>69</v>
      </c>
      <c r="B10" s="25">
        <f>INDEX(Clean_Data!$J$2:$J$23,MATCH(A10,Clean_Data!$A$2:$A$23,0))</f>
        <v>3.8</v>
      </c>
      <c r="D10" s="6" t="s">
        <v>61</v>
      </c>
      <c r="E10" s="26">
        <f>INDEX(Clean_Data!$N$2:$N$23,MATCH(D10,Clean_Data!$A$2:$A$23,0))</f>
        <v>3.6594594594594594</v>
      </c>
      <c r="F10" s="12" t="str">
        <f>INDEX(Clean_Data!$C$2:$C$23,MATCH(D10,Clean_Data!$A$2:$A$23,0))</f>
        <v>Midwest</v>
      </c>
      <c r="H10" s="13" t="s">
        <v>121</v>
      </c>
      <c r="I10" s="6" t="s">
        <v>69</v>
      </c>
      <c r="J10" s="12">
        <f>INDEX(Clean_Data!$F$2:$F$23,MATCH(I10,Clean_Data!$A$2:$A$23,0))</f>
        <v>84</v>
      </c>
      <c r="K10" s="26">
        <f>INDEX(Clean_Data!$N$2:$N$23,MATCH(I10,Clean_Data!$A$2:$A$23,0))</f>
        <v>3.7485714285714287</v>
      </c>
    </row>
    <row r="11" spans="1:20" x14ac:dyDescent="0.35">
      <c r="A11" s="6" t="s">
        <v>73</v>
      </c>
      <c r="B11" s="25">
        <f>INDEX(Clean_Data!$J$2:$J$23,MATCH(A11,Clean_Data!$A$2:$A$23,0))</f>
        <v>3.8</v>
      </c>
      <c r="D11" s="6" t="s">
        <v>69</v>
      </c>
      <c r="E11" s="26">
        <f>INDEX(Clean_Data!$N$2:$N$23,MATCH(D11,Clean_Data!$A$2:$A$23,0))</f>
        <v>3.7485714285714287</v>
      </c>
      <c r="F11" s="12" t="str">
        <f>INDEX(Clean_Data!$C$2:$C$23,MATCH(D11,Clean_Data!$A$2:$A$23,0))</f>
        <v>Northeast</v>
      </c>
      <c r="H11" s="13" t="s">
        <v>121</v>
      </c>
      <c r="I11" s="6" t="s">
        <v>61</v>
      </c>
      <c r="J11" s="12">
        <f>INDEX(Clean_Data!$F$2:$F$23,MATCH(I11,Clean_Data!$A$2:$A$23,0))</f>
        <v>102</v>
      </c>
      <c r="K11" s="26">
        <f>INDEX(Clean_Data!$N$2:$N$23,MATCH(I11,Clean_Data!$A$2:$A$23,0))</f>
        <v>3.6594594594594594</v>
      </c>
    </row>
    <row r="12" spans="1:20" x14ac:dyDescent="0.35">
      <c r="A12" s="6" t="s">
        <v>76</v>
      </c>
      <c r="B12" s="25">
        <f>INDEX(Clean_Data!$J$2:$J$23,MATCH(A12,Clean_Data!$A$2:$A$23,0))</f>
        <v>3.6</v>
      </c>
      <c r="D12" s="6" t="s">
        <v>73</v>
      </c>
      <c r="E12" s="26">
        <f>INDEX(Clean_Data!$N$2:$N$23,MATCH(D12,Clean_Data!$A$2:$A$23,0))</f>
        <v>3.8208092485549132</v>
      </c>
      <c r="F12" s="12" t="str">
        <f>INDEX(Clean_Data!$C$2:$C$23,MATCH(D12,Clean_Data!$A$2:$A$23,0))</f>
        <v>Northeast</v>
      </c>
      <c r="H12" s="13" t="s">
        <v>121</v>
      </c>
      <c r="I12" s="6" t="s">
        <v>36</v>
      </c>
      <c r="J12" s="12">
        <f>INDEX(Clean_Data!$F$2:$F$23,MATCH(I12,Clean_Data!$A$2:$A$23,0))</f>
        <v>130</v>
      </c>
      <c r="K12" s="26">
        <f>INDEX(Clean_Data!$N$2:$N$23,MATCH(I12,Clean_Data!$A$2:$A$23,0))</f>
        <v>3.3891402714932126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"/>
  <sheetViews>
    <sheetView topLeftCell="A5" zoomScaleNormal="100" workbookViewId="0"/>
  </sheetViews>
  <sheetFormatPr defaultColWidth="8.6328125" defaultRowHeight="14.5" x14ac:dyDescent="0.35"/>
  <cols>
    <col min="1" max="1" width="58" customWidth="1"/>
    <col min="2" max="2" width="14" customWidth="1"/>
    <col min="3" max="3" width="62" customWidth="1"/>
  </cols>
  <sheetData>
    <row r="1" spans="1:3" ht="18" x14ac:dyDescent="0.4">
      <c r="A1" s="24" t="s">
        <v>123</v>
      </c>
    </row>
    <row r="3" spans="1:3" x14ac:dyDescent="0.35">
      <c r="A3" s="27" t="s">
        <v>124</v>
      </c>
      <c r="B3" s="27" t="s">
        <v>125</v>
      </c>
      <c r="C3" s="27" t="s">
        <v>126</v>
      </c>
    </row>
    <row r="4" spans="1:3" x14ac:dyDescent="0.35">
      <c r="A4" s="13" t="s">
        <v>127</v>
      </c>
      <c r="B4" s="28">
        <f>COUNTA(Raw_Data!A2:A24)</f>
        <v>23</v>
      </c>
      <c r="C4" s="13" t="s">
        <v>128</v>
      </c>
    </row>
    <row r="5" spans="1:3" x14ac:dyDescent="0.35">
      <c r="A5" s="13" t="s">
        <v>129</v>
      </c>
      <c r="B5" s="28">
        <f>COUNTA(Clean_Data!A2:A23)</f>
        <v>22</v>
      </c>
      <c r="C5" s="13" t="s">
        <v>130</v>
      </c>
    </row>
    <row r="6" spans="1:3" x14ac:dyDescent="0.35">
      <c r="A6" s="13" t="s">
        <v>131</v>
      </c>
      <c r="B6" s="28">
        <f>COUNTIF(Clean_Data!D2:D23,"Compact")</f>
        <v>9</v>
      </c>
      <c r="C6" s="13"/>
    </row>
    <row r="7" spans="1:3" x14ac:dyDescent="0.35">
      <c r="A7" s="13" t="s">
        <v>132</v>
      </c>
      <c r="B7" s="29">
        <f>SUM(Clean_Data!H2:H23)</f>
        <v>32904</v>
      </c>
      <c r="C7" s="13" t="s">
        <v>133</v>
      </c>
    </row>
    <row r="8" spans="1:3" x14ac:dyDescent="0.35">
      <c r="A8" s="13" t="s">
        <v>134</v>
      </c>
      <c r="B8" s="7">
        <v>32904</v>
      </c>
      <c r="C8" s="13" t="s">
        <v>135</v>
      </c>
    </row>
    <row r="9" spans="1:3" x14ac:dyDescent="0.35">
      <c r="A9" s="13" t="s">
        <v>136</v>
      </c>
      <c r="B9" s="29">
        <f>B7-B8</f>
        <v>0</v>
      </c>
      <c r="C9" s="13" t="s">
        <v>137</v>
      </c>
    </row>
    <row r="10" spans="1:3" x14ac:dyDescent="0.35">
      <c r="A10" s="13" t="s">
        <v>138</v>
      </c>
      <c r="B10" s="29">
        <f>SUM(Raw_Data!F2:F24)</f>
        <v>8015</v>
      </c>
      <c r="C10" s="13" t="s">
        <v>128</v>
      </c>
    </row>
    <row r="11" spans="1:3" x14ac:dyDescent="0.35">
      <c r="A11" s="13" t="s">
        <v>139</v>
      </c>
      <c r="B11" s="7">
        <v>8015</v>
      </c>
      <c r="C11" s="13" t="s">
        <v>140</v>
      </c>
    </row>
    <row r="12" spans="1:3" x14ac:dyDescent="0.35">
      <c r="A12" s="13" t="s">
        <v>141</v>
      </c>
      <c r="B12" s="29">
        <f>SUM(Clean_Data!G2:G23)</f>
        <v>7830</v>
      </c>
      <c r="C12" s="13"/>
    </row>
    <row r="13" spans="1:3" x14ac:dyDescent="0.35">
      <c r="A13" s="13" t="s">
        <v>142</v>
      </c>
      <c r="B13" s="29">
        <f>B11-B12</f>
        <v>185</v>
      </c>
      <c r="C13" s="13" t="s">
        <v>143</v>
      </c>
    </row>
    <row r="14" spans="1:3" x14ac:dyDescent="0.35">
      <c r="A14" s="13" t="s">
        <v>144</v>
      </c>
      <c r="B14" s="15">
        <f>AVERAGEIFS(Clean_Data!N2:N23,Clean_Data!D2:D23,"Compact",Clean_Data!F2:F23,"&gt;=13")</f>
        <v>3.6373852012291064</v>
      </c>
      <c r="C14" s="13" t="s">
        <v>145</v>
      </c>
    </row>
    <row r="15" spans="1:3" x14ac:dyDescent="0.35">
      <c r="A15" s="13" t="s">
        <v>146</v>
      </c>
      <c r="B15" s="15">
        <f>AVERAGEIFS(Clean_Data!N2:N23,Clean_Data!D2:D23,"Compact",Clean_Data!F2:F23,"&lt;13")</f>
        <v>2.832266362878451</v>
      </c>
      <c r="C15" s="13"/>
    </row>
    <row r="16" spans="1:3" x14ac:dyDescent="0.35">
      <c r="A16" s="13" t="s">
        <v>147</v>
      </c>
      <c r="B16" s="30">
        <f>1-B15/B14</f>
        <v>0.22134549788089486</v>
      </c>
      <c r="C16" s="13"/>
    </row>
    <row r="17" spans="1:3" x14ac:dyDescent="0.35">
      <c r="A17" s="13" t="s">
        <v>148</v>
      </c>
      <c r="B17" s="15">
        <f>MIN(Chart_Data!K7:K12)</f>
        <v>3.3891402714932126</v>
      </c>
      <c r="C17" s="13"/>
    </row>
    <row r="18" spans="1:3" x14ac:dyDescent="0.35">
      <c r="A18" s="13" t="s">
        <v>149</v>
      </c>
      <c r="B18" s="15">
        <f>MAX(Chart_Data!K7:K12)</f>
        <v>3.8208092485549132</v>
      </c>
      <c r="C18" s="13"/>
    </row>
    <row r="19" spans="1:3" x14ac:dyDescent="0.35">
      <c r="A19" s="13" t="s">
        <v>150</v>
      </c>
      <c r="B19" s="16">
        <f>AVERAGEIFS(Clean_Data!O2:O23,Clean_Data!D2:D23,"Compact",Clean_Data!F2:F23,"&gt;=13")</f>
        <v>103.58370869546501</v>
      </c>
      <c r="C19" s="13" t="s">
        <v>151</v>
      </c>
    </row>
    <row r="20" spans="1:3" x14ac:dyDescent="0.35">
      <c r="A20" s="13" t="s">
        <v>152</v>
      </c>
      <c r="B20" s="16">
        <f>AVERAGEIFS(Clean_Data!O2:O23,Clean_Data!D2:D23,"Compact",Clean_Data!F2:F23,"&lt;13")</f>
        <v>81.176229428626897</v>
      </c>
      <c r="C20" s="13"/>
    </row>
    <row r="21" spans="1:3" x14ac:dyDescent="0.35">
      <c r="A21" s="13" t="s">
        <v>153</v>
      </c>
      <c r="B21" s="15">
        <f>AVERAGE(Clean_Data!N2:N23)</f>
        <v>4.0705391963674149</v>
      </c>
      <c r="C21" s="13"/>
    </row>
    <row r="22" spans="1:3" x14ac:dyDescent="0.35">
      <c r="A22" s="13" t="s">
        <v>154</v>
      </c>
      <c r="B22" s="15">
        <f>AVERAGE(Clean_Data!J2:J23)</f>
        <v>4.2409090909090912</v>
      </c>
      <c r="C22" s="13" t="s">
        <v>155</v>
      </c>
    </row>
    <row r="23" spans="1:3" x14ac:dyDescent="0.35">
      <c r="A23" s="13" t="s">
        <v>156</v>
      </c>
      <c r="B23" s="16">
        <f>INDEX(Clean_Data!P2:P23,MATCH("ST-110",Clean_Data!A2:A23,0))</f>
        <v>312</v>
      </c>
      <c r="C23" s="13" t="s">
        <v>157</v>
      </c>
    </row>
    <row r="24" spans="1:3" x14ac:dyDescent="0.35">
      <c r="A24" s="13" t="s">
        <v>158</v>
      </c>
      <c r="B24" s="16">
        <f>MIN(Clean_Data!P2:P10,Clean_Data!P12:P23)</f>
        <v>19.822371828068359</v>
      </c>
      <c r="C24" s="13" t="s">
        <v>159</v>
      </c>
    </row>
    <row r="25" spans="1:3" x14ac:dyDescent="0.35">
      <c r="A25" s="13" t="s">
        <v>160</v>
      </c>
      <c r="B25" s="16">
        <f>MAX(Clean_Data!P2:P10,Clean_Data!P12:P23)</f>
        <v>36.0311004784689</v>
      </c>
      <c r="C25" s="13"/>
    </row>
    <row r="26" spans="1:3" x14ac:dyDescent="0.35">
      <c r="A26" s="13" t="s">
        <v>161</v>
      </c>
      <c r="B26" s="15">
        <f>INDEX(Clean_Data!N2:N23,MATCH("ST-107",Clean_Data!A2:A23,0))</f>
        <v>4.299145299145299</v>
      </c>
      <c r="C26" s="13" t="s">
        <v>162</v>
      </c>
    </row>
    <row r="27" spans="1:3" x14ac:dyDescent="0.35">
      <c r="A27" s="13" t="s">
        <v>163</v>
      </c>
      <c r="B27" s="15">
        <f>INDEX(Clean_Data!N2:N23,MATCH("ST-114",Clean_Data!A2:A23,0))</f>
        <v>4.1099796334012222</v>
      </c>
      <c r="C27" s="13" t="s">
        <v>164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48"/>
  <sheetViews>
    <sheetView tabSelected="1" topLeftCell="A49" zoomScaleNormal="100" workbookViewId="0">
      <selection activeCell="P60" sqref="P60"/>
    </sheetView>
  </sheetViews>
  <sheetFormatPr defaultColWidth="8.6328125" defaultRowHeight="14.5" x14ac:dyDescent="0.35"/>
  <sheetData>
    <row r="1" spans="1:1" ht="18" x14ac:dyDescent="0.4">
      <c r="A1" s="24" t="s">
        <v>165</v>
      </c>
    </row>
    <row r="2" spans="1:1" x14ac:dyDescent="0.35">
      <c r="A2" s="10" t="s">
        <v>166</v>
      </c>
    </row>
    <row r="4" spans="1:1" x14ac:dyDescent="0.35">
      <c r="A4" s="31" t="s">
        <v>167</v>
      </c>
    </row>
    <row r="26" spans="1:1" x14ac:dyDescent="0.35">
      <c r="A26" s="31" t="s">
        <v>168</v>
      </c>
    </row>
    <row r="48" spans="1:1" x14ac:dyDescent="0.35">
      <c r="A48" s="31" t="s">
        <v>169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Raw_Data</vt:lpstr>
      <vt:lpstr>Clean_Data</vt:lpstr>
      <vt:lpstr>Chart_Data</vt:lpstr>
      <vt:lpstr>Summary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2026-10-03T20:08:17Z</dcterms:created>
  <dcterms:modified xsi:type="dcterms:W3CDTF">2026-10-23T17:08:26Z</dcterms:modified>
  <dc:language>en-US</dc:language>
</cp:coreProperties>
</file>