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0615DD7-23F6-4005-8377-E7FC49FF19FF}" xr6:coauthVersionLast="47" xr6:coauthVersionMax="47" xr10:uidLastSave="{00000000-0000-0000-0000-000000000000}"/>
  <bookViews>
    <workbookView xWindow="-110" yWindow="-110" windowWidth="19420" windowHeight="11020" tabRatio="500" activeTab="2" xr2:uid="{00000000-000D-0000-FFFF-FFFF00000000}"/>
  </bookViews>
  <sheets>
    <sheet name="Assumptions" sheetId="1" r:id="rId1"/>
    <sheet name="Results" sheetId="2" r:id="rId2"/>
    <sheet name="Combin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3" l="1"/>
  <c r="D10" i="3" s="1"/>
  <c r="B27" i="1"/>
  <c r="C5" i="3" s="1"/>
  <c r="B22" i="1"/>
  <c r="B5" i="3" s="1"/>
  <c r="B15" i="1"/>
  <c r="B16" i="1" s="1"/>
  <c r="D9" i="2" l="1"/>
  <c r="C9" i="2"/>
  <c r="B9" i="2"/>
  <c r="B12" i="3"/>
  <c r="B8" i="3"/>
  <c r="B11" i="3"/>
  <c r="B13" i="3"/>
  <c r="B9" i="3"/>
  <c r="B6" i="2"/>
  <c r="B10" i="3"/>
  <c r="B6" i="3"/>
  <c r="B14" i="3" s="1"/>
  <c r="B7" i="2" s="1"/>
  <c r="B8" i="2" s="1"/>
  <c r="B7" i="3"/>
  <c r="C13" i="3"/>
  <c r="C9" i="3"/>
  <c r="C10" i="3"/>
  <c r="C6" i="3"/>
  <c r="C8" i="3"/>
  <c r="C11" i="3"/>
  <c r="C7" i="3"/>
  <c r="C6" i="2"/>
  <c r="C12" i="3"/>
  <c r="D9" i="3"/>
  <c r="D8" i="3"/>
  <c r="D12" i="3"/>
  <c r="D13" i="3"/>
  <c r="D6" i="2"/>
  <c r="D7" i="3"/>
  <c r="D11" i="3"/>
  <c r="D6" i="3"/>
  <c r="C14" i="3" l="1"/>
  <c r="C7" i="2" s="1"/>
  <c r="C8" i="2" s="1"/>
  <c r="B11" i="2"/>
  <c r="B10" i="2"/>
  <c r="D14" i="3"/>
  <c r="D7" i="2" s="1"/>
  <c r="D8" i="2" s="1"/>
  <c r="B12" i="2" l="1"/>
  <c r="B13" i="2"/>
  <c r="D10" i="2"/>
  <c r="D11" i="2"/>
  <c r="C10" i="2"/>
  <c r="C11" i="2"/>
  <c r="D13" i="2" l="1"/>
  <c r="D12" i="2"/>
  <c r="C12" i="2"/>
  <c r="C13" i="2"/>
  <c r="B18" i="2"/>
  <c r="B14" i="2"/>
  <c r="C14" i="2" l="1"/>
  <c r="B19" i="2"/>
  <c r="D14" i="2"/>
  <c r="B20" i="2"/>
</calcChain>
</file>

<file path=xl/sharedStrings.xml><?xml version="1.0" encoding="utf-8"?>
<sst xmlns="http://schemas.openxmlformats.org/spreadsheetml/2006/main" count="94" uniqueCount="85">
  <si>
    <t>Password Expiration Analysis - Assumptions &amp; Inputs</t>
  </si>
  <si>
    <t>Blue text on yellow = input taken from the assignment instructions. Black = formula.</t>
  </si>
  <si>
    <t>General assumptions</t>
  </si>
  <si>
    <t>Guesses per second (hacker)</t>
  </si>
  <si>
    <t>guesses/sec</t>
  </si>
  <si>
    <t>Given: 1 million passwords tested per second</t>
  </si>
  <si>
    <t>Hours per day</t>
  </si>
  <si>
    <t>hours</t>
  </si>
  <si>
    <t>Given: hacker guesses 24 hours a day</t>
  </si>
  <si>
    <t>Days per week</t>
  </si>
  <si>
    <t>days</t>
  </si>
  <si>
    <t>Given: hacker guesses 7 days a week (no downtime)</t>
  </si>
  <si>
    <t>Minutes per hour</t>
  </si>
  <si>
    <t>min</t>
  </si>
  <si>
    <t>Standard time conversion</t>
  </si>
  <si>
    <t>Seconds per minute</t>
  </si>
  <si>
    <t>sec</t>
  </si>
  <si>
    <t>Expiration probability threshold</t>
  </si>
  <si>
    <t>probability</t>
  </si>
  <si>
    <t>Given: expire when probability of being guessed &gt;= 10%</t>
  </si>
  <si>
    <t>Minimum password length</t>
  </si>
  <si>
    <t>characters</t>
  </si>
  <si>
    <t>Given: length of one to eight characters</t>
  </si>
  <si>
    <t>Maximum password length</t>
  </si>
  <si>
    <t>Derived values</t>
  </si>
  <si>
    <t>Seconds per day</t>
  </si>
  <si>
    <t>sec/day</t>
  </si>
  <si>
    <t>24 x 60 x 60</t>
  </si>
  <si>
    <t>Guesses per day</t>
  </si>
  <si>
    <t>guesses/day</t>
  </si>
  <si>
    <t>Guesses per second x seconds per day</t>
  </si>
  <si>
    <t>Character set sizes (m)</t>
  </si>
  <si>
    <t>Scenario 1: ASCII 1 to 127 inclusive</t>
  </si>
  <si>
    <t xml:space="preserve">   Highest ASCII code</t>
  </si>
  <si>
    <t xml:space="preserve">   Lowest ASCII code</t>
  </si>
  <si>
    <t xml:space="preserve">   Scenario 1 character set size</t>
  </si>
  <si>
    <t>127 - 1 + 1 = 127 characters</t>
  </si>
  <si>
    <t>Scenario 2: Alphanumeric</t>
  </si>
  <si>
    <t xml:space="preserve">   Uppercase letters (A-Z)</t>
  </si>
  <si>
    <t xml:space="preserve">   Lowercase letters (a-z)</t>
  </si>
  <si>
    <t xml:space="preserve">   Digits (0-9)</t>
  </si>
  <si>
    <t xml:space="preserve">   Scenario 2 character set size</t>
  </si>
  <si>
    <t>26 + 26 + 10 = 62 characters</t>
  </si>
  <si>
    <t>Scenario 3: Digits only</t>
  </si>
  <si>
    <t xml:space="preserve">   Scenario 3 character set size</t>
  </si>
  <si>
    <t>Digits 0-9 = 10 characters</t>
  </si>
  <si>
    <t>Password Expiration Results</t>
  </si>
  <si>
    <t>Expire when: guesses made / total combinations &gt;= 10%.  Guesses to reach 10% = 10% x total combinations.</t>
  </si>
  <si>
    <t>Step</t>
  </si>
  <si>
    <t>Scenario 1
ASCII 1-127</t>
  </si>
  <si>
    <t>Scenario 2
Alphanumeric</t>
  </si>
  <si>
    <t>Scenario 3
Digits only</t>
  </si>
  <si>
    <t>How it is calculated</t>
  </si>
  <si>
    <t>1. Character set size (m)</t>
  </si>
  <si>
    <t>From Combinations sheet</t>
  </si>
  <si>
    <t>2. Total possible passwords (lengths 1-8)</t>
  </si>
  <si>
    <t>Sum of POWER(m, n) for n = 1 to 8</t>
  </si>
  <si>
    <t>3. Guesses needed for 10% probability</t>
  </si>
  <si>
    <t>Threshold % x total combinations</t>
  </si>
  <si>
    <t>4. Guesses per day</t>
  </si>
  <si>
    <t>1,000,000/sec x 86,400 sec/day</t>
  </si>
  <si>
    <t>5. Time to reach 10% (seconds)</t>
  </si>
  <si>
    <t>Guesses needed / guesses per second</t>
  </si>
  <si>
    <t>6. Time to reach 10% (days, exact)</t>
  </si>
  <si>
    <t>Guesses needed / guesses per day</t>
  </si>
  <si>
    <t>7. Expiration, rounded to nearest day</t>
  </si>
  <si>
    <t>ROUND(exact days, 0)</t>
  </si>
  <si>
    <t>8. Expiration, rounded down (safe policy)</t>
  </si>
  <si>
    <t>Whole days that finish BEFORE reaching 10%</t>
  </si>
  <si>
    <t>9. Probability guessed at rounded-down expiry</t>
  </si>
  <si>
    <t>Guesses in that many days / total combinations</t>
  </si>
  <si>
    <t>Answer (days until passwords should expire)</t>
  </si>
  <si>
    <t>Scenario 1 - ASCII 1-127</t>
  </si>
  <si>
    <t>Scenario 2 - Alphanumeric</t>
  </si>
  <si>
    <t>Scenario 3 - Digits only</t>
  </si>
  <si>
    <t>Notes</t>
  </si>
  <si>
    <t>1. Scenario 2 exact time is about 256.85 days; 256 is the last whole day below 10% (nearest-day rounding gives 257).</t>
  </si>
  <si>
    <t>2. Scenario 3 reaches 10% in about 11.1 seconds (0.000129 days), so the expiration rounds to 0 days - a digits-only password is not safe for even one day.</t>
  </si>
  <si>
    <t>3. Rounded-down is used as the policy answer because a password must be expired BEFORE the 10% probability is reached (row 9 shows the probability stays below 10%).</t>
  </si>
  <si>
    <t>Total Possible Passwords by Length  (m^n via POWER)</t>
  </si>
  <si>
    <t>For each password length n = 1..8, combinations = POWER(m, n) where m = character set size. Total = sum over all lengths.</t>
  </si>
  <si>
    <t>Password length (n)</t>
  </si>
  <si>
    <t>Character set size (m)</t>
  </si>
  <si>
    <t>Total possible passwords</t>
  </si>
  <si>
    <t>Note: lengths 1-8 are fixed by the assignment (rows 6-13). Excel displays only 15 significant digits, so the very large Scenario 1 figures show trailing zeros; the exact Scenario 1 total is 68,212,339,274,677,760.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</si>
</sst>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5" fillId="2" borderId="1" xfId="0" applyNumberFormat="1" applyFont="1" applyFill="1" applyBorder="1"/>
    <xf numFmtId="0" fontId="5" fillId="2" borderId="1" xfId="0" applyFont="1" applyFill="1" applyBorder="1"/>
    <xf numFmtId="9" fontId="5" fillId="2" borderId="1" xfId="0" applyNumberFormat="1" applyFont="1" applyFill="1" applyBorder="1"/>
    <xf numFmtId="3" fontId="4" fillId="0" borderId="1" xfId="0" applyNumberFormat="1" applyFont="1" applyBorder="1"/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4" fontId="4" fillId="0" borderId="1" xfId="0" applyNumberFormat="1" applyFont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165" fontId="4" fillId="0" borderId="1" xfId="0" applyNumberFormat="1" applyFont="1" applyBorder="1"/>
    <xf numFmtId="3" fontId="7" fillId="0" borderId="1" xfId="0" applyNumberFormat="1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zoomScaleNormal="100" workbookViewId="0"/>
  </sheetViews>
  <sheetFormatPr defaultColWidth="8.6328125" defaultRowHeight="14.5" x14ac:dyDescent="0.35"/>
  <cols>
    <col min="1" max="1" width="38" customWidth="1"/>
    <col min="2" max="2" width="20" customWidth="1"/>
    <col min="3" max="3" width="14" customWidth="1"/>
    <col min="4" max="4" width="58" customWidth="1"/>
  </cols>
  <sheetData>
    <row r="1" spans="1:4" ht="18" x14ac:dyDescent="0.4">
      <c r="A1" s="3" t="s">
        <v>0</v>
      </c>
    </row>
    <row r="2" spans="1:4" x14ac:dyDescent="0.35">
      <c r="A2" s="4" t="s">
        <v>1</v>
      </c>
    </row>
    <row r="4" spans="1:4" x14ac:dyDescent="0.35">
      <c r="A4" s="5" t="s">
        <v>2</v>
      </c>
    </row>
    <row r="5" spans="1:4" x14ac:dyDescent="0.35">
      <c r="A5" s="6" t="s">
        <v>3</v>
      </c>
      <c r="B5" s="7">
        <v>1000000</v>
      </c>
      <c r="C5" s="6" t="s">
        <v>4</v>
      </c>
      <c r="D5" s="6" t="s">
        <v>5</v>
      </c>
    </row>
    <row r="6" spans="1:4" x14ac:dyDescent="0.35">
      <c r="A6" s="6" t="s">
        <v>6</v>
      </c>
      <c r="B6" s="8">
        <v>24</v>
      </c>
      <c r="C6" s="6" t="s">
        <v>7</v>
      </c>
      <c r="D6" s="6" t="s">
        <v>8</v>
      </c>
    </row>
    <row r="7" spans="1:4" x14ac:dyDescent="0.35">
      <c r="A7" s="6" t="s">
        <v>9</v>
      </c>
      <c r="B7" s="8">
        <v>7</v>
      </c>
      <c r="C7" s="6" t="s">
        <v>10</v>
      </c>
      <c r="D7" s="6" t="s">
        <v>11</v>
      </c>
    </row>
    <row r="8" spans="1:4" x14ac:dyDescent="0.35">
      <c r="A8" s="6" t="s">
        <v>12</v>
      </c>
      <c r="B8" s="8">
        <v>60</v>
      </c>
      <c r="C8" s="6" t="s">
        <v>13</v>
      </c>
      <c r="D8" s="6" t="s">
        <v>14</v>
      </c>
    </row>
    <row r="9" spans="1:4" x14ac:dyDescent="0.35">
      <c r="A9" s="6" t="s">
        <v>15</v>
      </c>
      <c r="B9" s="8">
        <v>60</v>
      </c>
      <c r="C9" s="6" t="s">
        <v>16</v>
      </c>
      <c r="D9" s="6" t="s">
        <v>14</v>
      </c>
    </row>
    <row r="10" spans="1:4" x14ac:dyDescent="0.35">
      <c r="A10" s="6" t="s">
        <v>17</v>
      </c>
      <c r="B10" s="9">
        <v>0.1</v>
      </c>
      <c r="C10" s="6" t="s">
        <v>18</v>
      </c>
      <c r="D10" s="6" t="s">
        <v>19</v>
      </c>
    </row>
    <row r="11" spans="1:4" x14ac:dyDescent="0.35">
      <c r="A11" s="6" t="s">
        <v>20</v>
      </c>
      <c r="B11" s="8">
        <v>1</v>
      </c>
      <c r="C11" s="6" t="s">
        <v>21</v>
      </c>
      <c r="D11" s="6" t="s">
        <v>22</v>
      </c>
    </row>
    <row r="12" spans="1:4" x14ac:dyDescent="0.35">
      <c r="A12" s="6" t="s">
        <v>23</v>
      </c>
      <c r="B12" s="8">
        <v>8</v>
      </c>
      <c r="C12" s="6" t="s">
        <v>21</v>
      </c>
      <c r="D12" s="6" t="s">
        <v>22</v>
      </c>
    </row>
    <row r="14" spans="1:4" x14ac:dyDescent="0.35">
      <c r="A14" s="5" t="s">
        <v>24</v>
      </c>
    </row>
    <row r="15" spans="1:4" x14ac:dyDescent="0.35">
      <c r="A15" s="6" t="s">
        <v>25</v>
      </c>
      <c r="B15" s="10">
        <f>B6*B8*B9</f>
        <v>86400</v>
      </c>
      <c r="C15" s="6" t="s">
        <v>26</v>
      </c>
      <c r="D15" s="6" t="s">
        <v>27</v>
      </c>
    </row>
    <row r="16" spans="1:4" x14ac:dyDescent="0.35">
      <c r="A16" s="6" t="s">
        <v>28</v>
      </c>
      <c r="B16" s="10">
        <f>B5*B15</f>
        <v>86400000000</v>
      </c>
      <c r="C16" s="6" t="s">
        <v>29</v>
      </c>
      <c r="D16" s="6" t="s">
        <v>30</v>
      </c>
    </row>
    <row r="18" spans="1:4" x14ac:dyDescent="0.35">
      <c r="A18" s="5" t="s">
        <v>31</v>
      </c>
    </row>
    <row r="19" spans="1:4" x14ac:dyDescent="0.35">
      <c r="A19" s="5" t="s">
        <v>32</v>
      </c>
      <c r="B19" s="6"/>
      <c r="C19" s="6"/>
      <c r="D19" s="6"/>
    </row>
    <row r="20" spans="1:4" x14ac:dyDescent="0.35">
      <c r="A20" s="6" t="s">
        <v>33</v>
      </c>
      <c r="B20" s="7">
        <v>127</v>
      </c>
      <c r="C20" s="6"/>
      <c r="D20" s="6"/>
    </row>
    <row r="21" spans="1:4" x14ac:dyDescent="0.35">
      <c r="A21" s="6" t="s">
        <v>34</v>
      </c>
      <c r="B21" s="7">
        <v>1</v>
      </c>
      <c r="C21" s="6"/>
      <c r="D21" s="6"/>
    </row>
    <row r="22" spans="1:4" x14ac:dyDescent="0.35">
      <c r="A22" s="6" t="s">
        <v>35</v>
      </c>
      <c r="B22" s="10">
        <f>B20-B21+1</f>
        <v>127</v>
      </c>
      <c r="C22" s="6"/>
      <c r="D22" s="6" t="s">
        <v>36</v>
      </c>
    </row>
    <row r="23" spans="1:4" x14ac:dyDescent="0.35">
      <c r="A23" s="5" t="s">
        <v>37</v>
      </c>
      <c r="B23" s="6"/>
      <c r="C23" s="6"/>
      <c r="D23" s="6"/>
    </row>
    <row r="24" spans="1:4" x14ac:dyDescent="0.35">
      <c r="A24" s="6" t="s">
        <v>38</v>
      </c>
      <c r="B24" s="7">
        <v>26</v>
      </c>
      <c r="C24" s="6"/>
      <c r="D24" s="6"/>
    </row>
    <row r="25" spans="1:4" x14ac:dyDescent="0.35">
      <c r="A25" s="6" t="s">
        <v>39</v>
      </c>
      <c r="B25" s="7">
        <v>26</v>
      </c>
      <c r="C25" s="6"/>
      <c r="D25" s="6"/>
    </row>
    <row r="26" spans="1:4" x14ac:dyDescent="0.35">
      <c r="A26" s="6" t="s">
        <v>40</v>
      </c>
      <c r="B26" s="7">
        <v>10</v>
      </c>
      <c r="C26" s="6"/>
      <c r="D26" s="6"/>
    </row>
    <row r="27" spans="1:4" x14ac:dyDescent="0.35">
      <c r="A27" s="6" t="s">
        <v>41</v>
      </c>
      <c r="B27" s="10">
        <f>B24+B25+B26</f>
        <v>62</v>
      </c>
      <c r="C27" s="6"/>
      <c r="D27" s="6" t="s">
        <v>42</v>
      </c>
    </row>
    <row r="28" spans="1:4" x14ac:dyDescent="0.35">
      <c r="A28" s="5" t="s">
        <v>43</v>
      </c>
      <c r="B28" s="6"/>
      <c r="C28" s="6"/>
      <c r="D28" s="6"/>
    </row>
    <row r="29" spans="1:4" x14ac:dyDescent="0.35">
      <c r="A29" s="6" t="s">
        <v>44</v>
      </c>
      <c r="B29" s="7">
        <v>10</v>
      </c>
      <c r="C29" s="6"/>
      <c r="D29" s="6" t="s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opLeftCell="A4" zoomScaleNormal="100" workbookViewId="0">
      <selection activeCell="D12" sqref="D12"/>
    </sheetView>
  </sheetViews>
  <sheetFormatPr defaultColWidth="8.6328125" defaultRowHeight="14.5" x14ac:dyDescent="0.35"/>
  <cols>
    <col min="1" max="1" width="46" customWidth="1"/>
    <col min="2" max="4" width="24" customWidth="1"/>
    <col min="5" max="5" width="46" customWidth="1"/>
  </cols>
  <sheetData>
    <row r="1" spans="1:5" ht="18" x14ac:dyDescent="0.4">
      <c r="A1" s="3" t="s">
        <v>46</v>
      </c>
    </row>
    <row r="2" spans="1:5" x14ac:dyDescent="0.35">
      <c r="A2" s="4" t="s">
        <v>47</v>
      </c>
    </row>
    <row r="4" spans="1:5" ht="31.5" customHeight="1" x14ac:dyDescent="0.35">
      <c r="A4" s="11" t="s">
        <v>48</v>
      </c>
      <c r="B4" s="11" t="s">
        <v>49</v>
      </c>
      <c r="C4" s="11" t="s">
        <v>50</v>
      </c>
      <c r="D4" s="11" t="s">
        <v>51</v>
      </c>
      <c r="E4" s="11" t="s">
        <v>52</v>
      </c>
    </row>
    <row r="6" spans="1:5" x14ac:dyDescent="0.35">
      <c r="A6" s="12" t="s">
        <v>53</v>
      </c>
      <c r="B6" s="10">
        <f>Combinations!B5</f>
        <v>127</v>
      </c>
      <c r="C6" s="10">
        <f>Combinations!C5</f>
        <v>62</v>
      </c>
      <c r="D6" s="10">
        <f>Combinations!D5</f>
        <v>10</v>
      </c>
      <c r="E6" s="12" t="s">
        <v>54</v>
      </c>
    </row>
    <row r="7" spans="1:5" x14ac:dyDescent="0.35">
      <c r="A7" s="12" t="s">
        <v>55</v>
      </c>
      <c r="B7" s="10">
        <f>Combinations!B14</f>
        <v>6.821233927467776E+16</v>
      </c>
      <c r="C7" s="10">
        <f>Combinations!C14</f>
        <v>221919451578090</v>
      </c>
      <c r="D7" s="10">
        <f>Combinations!D14</f>
        <v>111111110</v>
      </c>
      <c r="E7" s="12" t="s">
        <v>56</v>
      </c>
    </row>
    <row r="8" spans="1:5" x14ac:dyDescent="0.35">
      <c r="A8" s="12" t="s">
        <v>57</v>
      </c>
      <c r="B8" s="10">
        <f>B7*Assumptions!$B$10</f>
        <v>6821233927467776</v>
      </c>
      <c r="C8" s="10">
        <f>C7*Assumptions!$B$10</f>
        <v>22191945157809</v>
      </c>
      <c r="D8" s="10">
        <f>D7*Assumptions!$B$10</f>
        <v>11111111</v>
      </c>
      <c r="E8" s="12" t="s">
        <v>58</v>
      </c>
    </row>
    <row r="9" spans="1:5" x14ac:dyDescent="0.35">
      <c r="A9" s="12" t="s">
        <v>59</v>
      </c>
      <c r="B9" s="10">
        <f>Assumptions!$B$16</f>
        <v>86400000000</v>
      </c>
      <c r="C9" s="10">
        <f>Assumptions!$B$16</f>
        <v>86400000000</v>
      </c>
      <c r="D9" s="10">
        <f>Assumptions!$B$16</f>
        <v>86400000000</v>
      </c>
      <c r="E9" s="12" t="s">
        <v>60</v>
      </c>
    </row>
    <row r="10" spans="1:5" x14ac:dyDescent="0.35">
      <c r="A10" s="12" t="s">
        <v>61</v>
      </c>
      <c r="B10" s="13">
        <f>B8/Assumptions!$B$5</f>
        <v>6821233927.4677763</v>
      </c>
      <c r="C10" s="13">
        <f>C8/Assumptions!$B$5</f>
        <v>22191945.157809</v>
      </c>
      <c r="D10" s="13">
        <f>D8/Assumptions!$B$5</f>
        <v>11.111110999999999</v>
      </c>
      <c r="E10" s="12" t="s">
        <v>62</v>
      </c>
    </row>
    <row r="11" spans="1:5" x14ac:dyDescent="0.35">
      <c r="A11" s="14" t="s">
        <v>63</v>
      </c>
      <c r="B11" s="15">
        <f>B8/B9</f>
        <v>78949.466753099259</v>
      </c>
      <c r="C11" s="15">
        <f>C8/C9</f>
        <v>256.85121710427086</v>
      </c>
      <c r="D11" s="15">
        <f>D8/D9</f>
        <v>1.2860082175925925E-4</v>
      </c>
      <c r="E11" s="14" t="s">
        <v>64</v>
      </c>
    </row>
    <row r="12" spans="1:5" x14ac:dyDescent="0.35">
      <c r="A12" s="16" t="s">
        <v>65</v>
      </c>
      <c r="B12" s="17">
        <f>ROUND(B11,0)</f>
        <v>78949</v>
      </c>
      <c r="C12" s="17">
        <f>ROUND(C11,0)</f>
        <v>257</v>
      </c>
      <c r="D12" s="17">
        <f>ROUND(D11,0)</f>
        <v>0</v>
      </c>
      <c r="E12" s="14" t="s">
        <v>66</v>
      </c>
    </row>
    <row r="13" spans="1:5" x14ac:dyDescent="0.35">
      <c r="A13" s="16" t="s">
        <v>67</v>
      </c>
      <c r="B13" s="17">
        <f>ROUNDDOWN(B11,0)</f>
        <v>78949</v>
      </c>
      <c r="C13" s="17">
        <f>ROUNDDOWN(C11,0)</f>
        <v>256</v>
      </c>
      <c r="D13" s="17">
        <f>ROUNDDOWN(D11,0)</f>
        <v>0</v>
      </c>
      <c r="E13" s="14" t="s">
        <v>68</v>
      </c>
    </row>
    <row r="14" spans="1:5" x14ac:dyDescent="0.35">
      <c r="A14" s="12" t="s">
        <v>69</v>
      </c>
      <c r="B14" s="18">
        <f>B13*B9/B7</f>
        <v>9.9999408795121161E-2</v>
      </c>
      <c r="C14" s="18">
        <f>C13*C9/C7</f>
        <v>9.9668595261541912E-2</v>
      </c>
      <c r="D14" s="18">
        <f>D13*D9/D7</f>
        <v>0</v>
      </c>
      <c r="E14" s="12" t="s">
        <v>70</v>
      </c>
    </row>
    <row r="17" spans="1:5" x14ac:dyDescent="0.35">
      <c r="A17" s="5" t="s">
        <v>71</v>
      </c>
    </row>
    <row r="18" spans="1:5" x14ac:dyDescent="0.35">
      <c r="A18" s="6" t="s">
        <v>72</v>
      </c>
      <c r="B18" s="17">
        <f>B13</f>
        <v>78949</v>
      </c>
      <c r="C18" s="6" t="s">
        <v>10</v>
      </c>
    </row>
    <row r="19" spans="1:5" x14ac:dyDescent="0.35">
      <c r="A19" s="6" t="s">
        <v>73</v>
      </c>
      <c r="B19" s="17">
        <f>C13</f>
        <v>256</v>
      </c>
      <c r="C19" s="6" t="s">
        <v>10</v>
      </c>
    </row>
    <row r="20" spans="1:5" x14ac:dyDescent="0.35">
      <c r="A20" s="6" t="s">
        <v>74</v>
      </c>
      <c r="B20" s="17">
        <f>D13</f>
        <v>0</v>
      </c>
      <c r="C20" s="6" t="s">
        <v>10</v>
      </c>
    </row>
    <row r="22" spans="1:5" x14ac:dyDescent="0.35">
      <c r="A22" s="5" t="s">
        <v>75</v>
      </c>
    </row>
    <row r="23" spans="1:5" ht="27.75" customHeight="1" x14ac:dyDescent="0.35">
      <c r="A23" s="2" t="s">
        <v>76</v>
      </c>
      <c r="B23" s="2"/>
      <c r="C23" s="2"/>
      <c r="D23" s="2"/>
      <c r="E23" s="2"/>
    </row>
    <row r="24" spans="1:5" ht="27.75" customHeight="1" x14ac:dyDescent="0.35">
      <c r="A24" s="2" t="s">
        <v>77</v>
      </c>
      <c r="B24" s="2"/>
      <c r="C24" s="2"/>
      <c r="D24" s="2"/>
      <c r="E24" s="2"/>
    </row>
    <row r="25" spans="1:5" ht="27.75" customHeight="1" x14ac:dyDescent="0.35">
      <c r="A25" s="2" t="s">
        <v>78</v>
      </c>
      <c r="B25" s="2"/>
      <c r="C25" s="2"/>
      <c r="D25" s="2"/>
      <c r="E25" s="2"/>
    </row>
  </sheetData>
  <mergeCells count="3">
    <mergeCell ref="A23:E23"/>
    <mergeCell ref="A24:E24"/>
    <mergeCell ref="A25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tabSelected="1" zoomScaleNormal="100" workbookViewId="0">
      <selection activeCell="G10" sqref="G10"/>
    </sheetView>
  </sheetViews>
  <sheetFormatPr defaultColWidth="8.6328125" defaultRowHeight="14.5" x14ac:dyDescent="0.35"/>
  <cols>
    <col min="1" max="1" width="26" customWidth="1"/>
    <col min="2" max="4" width="28" customWidth="1"/>
  </cols>
  <sheetData>
    <row r="1" spans="1:4" ht="18" x14ac:dyDescent="0.4">
      <c r="A1" s="3" t="s">
        <v>79</v>
      </c>
    </row>
    <row r="2" spans="1:4" x14ac:dyDescent="0.35">
      <c r="A2" s="4" t="s">
        <v>80</v>
      </c>
    </row>
    <row r="4" spans="1:4" ht="31.5" customHeight="1" x14ac:dyDescent="0.35">
      <c r="A4" s="11" t="s">
        <v>81</v>
      </c>
      <c r="B4" s="11" t="s">
        <v>49</v>
      </c>
      <c r="C4" s="11" t="s">
        <v>50</v>
      </c>
      <c r="D4" s="11" t="s">
        <v>51</v>
      </c>
    </row>
    <row r="5" spans="1:4" x14ac:dyDescent="0.35">
      <c r="A5" s="5" t="s">
        <v>82</v>
      </c>
      <c r="B5" s="19">
        <f>Assumptions!B22</f>
        <v>127</v>
      </c>
      <c r="C5" s="19">
        <f>Assumptions!B27</f>
        <v>62</v>
      </c>
      <c r="D5" s="19">
        <f>Assumptions!B29</f>
        <v>10</v>
      </c>
    </row>
    <row r="6" spans="1:4" x14ac:dyDescent="0.35">
      <c r="A6" s="20">
        <v>1</v>
      </c>
      <c r="B6" s="10">
        <f t="shared" ref="B6:D13" si="0">POWER(B$5,$A6)</f>
        <v>127</v>
      </c>
      <c r="C6" s="10">
        <f t="shared" si="0"/>
        <v>62</v>
      </c>
      <c r="D6" s="10">
        <f t="shared" si="0"/>
        <v>10</v>
      </c>
    </row>
    <row r="7" spans="1:4" x14ac:dyDescent="0.35">
      <c r="A7" s="20">
        <v>2</v>
      </c>
      <c r="B7" s="10">
        <f t="shared" si="0"/>
        <v>16129</v>
      </c>
      <c r="C7" s="10">
        <f t="shared" si="0"/>
        <v>3844</v>
      </c>
      <c r="D7" s="10">
        <f t="shared" si="0"/>
        <v>100</v>
      </c>
    </row>
    <row r="8" spans="1:4" x14ac:dyDescent="0.35">
      <c r="A8" s="20">
        <v>3</v>
      </c>
      <c r="B8" s="10">
        <f t="shared" si="0"/>
        <v>2048383</v>
      </c>
      <c r="C8" s="10">
        <f t="shared" si="0"/>
        <v>238328</v>
      </c>
      <c r="D8" s="10">
        <f t="shared" si="0"/>
        <v>1000</v>
      </c>
    </row>
    <row r="9" spans="1:4" x14ac:dyDescent="0.35">
      <c r="A9" s="20">
        <v>4</v>
      </c>
      <c r="B9" s="10">
        <f t="shared" si="0"/>
        <v>260144641</v>
      </c>
      <c r="C9" s="10">
        <f t="shared" si="0"/>
        <v>14776336</v>
      </c>
      <c r="D9" s="10">
        <f t="shared" si="0"/>
        <v>10000</v>
      </c>
    </row>
    <row r="10" spans="1:4" x14ac:dyDescent="0.35">
      <c r="A10" s="20">
        <v>5</v>
      </c>
      <c r="B10" s="10">
        <f t="shared" si="0"/>
        <v>33038369407</v>
      </c>
      <c r="C10" s="10">
        <f t="shared" si="0"/>
        <v>916132832</v>
      </c>
      <c r="D10" s="10">
        <f t="shared" si="0"/>
        <v>100000</v>
      </c>
    </row>
    <row r="11" spans="1:4" x14ac:dyDescent="0.35">
      <c r="A11" s="20">
        <v>6</v>
      </c>
      <c r="B11" s="10">
        <f t="shared" si="0"/>
        <v>4195872914689</v>
      </c>
      <c r="C11" s="10">
        <f t="shared" si="0"/>
        <v>56800235584</v>
      </c>
      <c r="D11" s="10">
        <f t="shared" si="0"/>
        <v>1000000</v>
      </c>
    </row>
    <row r="12" spans="1:4" x14ac:dyDescent="0.35">
      <c r="A12" s="20">
        <v>7</v>
      </c>
      <c r="B12" s="10">
        <f t="shared" si="0"/>
        <v>532875860165503</v>
      </c>
      <c r="C12" s="10">
        <f t="shared" si="0"/>
        <v>3521614606208</v>
      </c>
      <c r="D12" s="10">
        <f t="shared" si="0"/>
        <v>10000000</v>
      </c>
    </row>
    <row r="13" spans="1:4" x14ac:dyDescent="0.35">
      <c r="A13" s="20">
        <v>8</v>
      </c>
      <c r="B13" s="10">
        <f t="shared" si="0"/>
        <v>6.767523424101888E+16</v>
      </c>
      <c r="C13" s="10">
        <f t="shared" si="0"/>
        <v>218340105584896</v>
      </c>
      <c r="D13" s="10">
        <f t="shared" si="0"/>
        <v>100000000</v>
      </c>
    </row>
    <row r="14" spans="1:4" x14ac:dyDescent="0.35">
      <c r="A14" s="16" t="s">
        <v>83</v>
      </c>
      <c r="B14" s="17">
        <f>SUM(B6:B13)</f>
        <v>6.821233927467776E+16</v>
      </c>
      <c r="C14" s="17">
        <f>SUM(C6:C13)</f>
        <v>221919451578090</v>
      </c>
      <c r="D14" s="17">
        <f>SUM(D6:D13)</f>
        <v>111111110</v>
      </c>
    </row>
    <row r="16" spans="1:4" ht="27.75" customHeight="1" x14ac:dyDescent="0.35">
      <c r="A16" s="1" t="s">
        <v>84</v>
      </c>
      <c r="B16" s="1"/>
      <c r="C16" s="1"/>
      <c r="D16" s="1"/>
    </row>
    <row r="17" spans="1:4" ht="27.75" customHeight="1" x14ac:dyDescent="0.35">
      <c r="A17" s="1"/>
      <c r="B17" s="1"/>
      <c r="C17" s="1"/>
      <c r="D17" s="1"/>
    </row>
  </sheetData>
  <mergeCells count="1">
    <mergeCell ref="A16:D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Results</vt:lpstr>
      <vt:lpstr>Combinations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2026-09-24T18:22:43Z</dcterms:created>
  <dcterms:modified xsi:type="dcterms:W3CDTF">2026-10-23T17:10:27Z</dcterms:modified>
  <dc:language>en-US</dc:language>
</cp:coreProperties>
</file>