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0FEDD68-6592-41E9-969D-5D394516CF95}" xr6:coauthVersionLast="47" xr6:coauthVersionMax="47" xr10:uidLastSave="{00000000-0000-0000-0000-000000000000}"/>
  <bookViews>
    <workbookView xWindow="-110" yWindow="-110" windowWidth="19420" windowHeight="11020" firstSheet="1" activeTab="3" xr2:uid="{3EA8A8AF-E849-4F51-A1D9-979F5CDDE0D8}"/>
  </bookViews>
  <sheets>
    <sheet name="Boeing Stock Price History (1)" sheetId="1" r:id="rId1"/>
    <sheet name="WACC" sheetId="2" r:id="rId2"/>
    <sheet name="Project Cash Flow" sheetId="3" r:id="rId3"/>
    <sheet name="Financial Analysi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0" i="4" l="1"/>
  <c r="A39" i="4"/>
  <c r="A38" i="4"/>
  <c r="A37" i="4"/>
  <c r="B35" i="4"/>
  <c r="B2" i="4"/>
  <c r="B3" i="4"/>
  <c r="B7" i="4" s="1"/>
  <c r="C3" i="4"/>
  <c r="C4" i="4" s="1"/>
  <c r="D3" i="4"/>
  <c r="D4" i="4" s="1"/>
  <c r="E3" i="4"/>
  <c r="E4" i="4" s="1"/>
  <c r="F3" i="4"/>
  <c r="B10" i="4" s="1"/>
  <c r="C37" i="4" s="1"/>
  <c r="G3" i="4"/>
  <c r="G4" i="4" s="1"/>
  <c r="B17" i="3"/>
  <c r="B19" i="3" s="1"/>
  <c r="G18" i="3"/>
  <c r="G11" i="3"/>
  <c r="D11" i="3"/>
  <c r="E11" i="3"/>
  <c r="F11" i="3"/>
  <c r="C11" i="3"/>
  <c r="K2" i="3"/>
  <c r="K3" i="3"/>
  <c r="K4" i="3"/>
  <c r="K6" i="3" s="1"/>
  <c r="K5" i="3"/>
  <c r="B5" i="3"/>
  <c r="B47" i="2"/>
  <c r="B46" i="2"/>
  <c r="B43" i="2"/>
  <c r="B45" i="2"/>
  <c r="B44" i="2"/>
  <c r="B42" i="2"/>
  <c r="B41" i="2"/>
  <c r="B33" i="2"/>
  <c r="B32" i="2"/>
  <c r="B31" i="2"/>
  <c r="B30" i="2"/>
  <c r="B29" i="2"/>
  <c r="B25" i="2"/>
  <c r="B24" i="2"/>
  <c r="B23" i="2"/>
  <c r="B18" i="2"/>
  <c r="B17" i="2"/>
  <c r="B16" i="2"/>
  <c r="B19" i="2" s="1"/>
  <c r="B6" i="4" l="1"/>
  <c r="B8" i="4" s="1"/>
  <c r="G35" i="4"/>
  <c r="E35" i="4"/>
  <c r="F35" i="4"/>
  <c r="C35" i="4"/>
  <c r="D35" i="4"/>
  <c r="B14" i="4"/>
  <c r="C14" i="4" s="1"/>
  <c r="D14" i="4" s="1"/>
  <c r="E14" i="4" s="1"/>
  <c r="B4" i="4"/>
  <c r="B17" i="4"/>
  <c r="F4" i="4"/>
  <c r="F10" i="3"/>
  <c r="F12" i="3" s="1"/>
  <c r="F13" i="3" s="1"/>
  <c r="E10" i="3"/>
  <c r="E12" i="3" s="1"/>
  <c r="E13" i="3" s="1"/>
  <c r="F15" i="3"/>
  <c r="C10" i="3"/>
  <c r="C12" i="3" s="1"/>
  <c r="C13" i="3" s="1"/>
  <c r="G10" i="3"/>
  <c r="G12" i="3" s="1"/>
  <c r="G13" i="3" s="1"/>
  <c r="G14" i="3" s="1"/>
  <c r="D10" i="3"/>
  <c r="D12" i="3" s="1"/>
  <c r="D13" i="3" s="1"/>
  <c r="C15" i="3"/>
  <c r="G15" i="3"/>
  <c r="E15" i="3"/>
  <c r="D15" i="3"/>
  <c r="B25" i="4" l="1"/>
  <c r="B37" i="4"/>
  <c r="B16" i="4"/>
  <c r="B18" i="4" s="1"/>
  <c r="B19" i="4" s="1"/>
  <c r="F14" i="4"/>
  <c r="G14" i="4" s="1"/>
  <c r="F14" i="3"/>
  <c r="F16" i="3" s="1"/>
  <c r="F19" i="3" s="1"/>
  <c r="E14" i="3"/>
  <c r="E16" i="3" s="1"/>
  <c r="E19" i="3" s="1"/>
  <c r="C14" i="3"/>
  <c r="C16" i="3" s="1"/>
  <c r="C19" i="3" s="1"/>
  <c r="D14" i="3"/>
  <c r="D16" i="3" s="1"/>
  <c r="D19" i="3" s="1"/>
  <c r="G16" i="3"/>
  <c r="G19" i="3" s="1"/>
</calcChain>
</file>

<file path=xl/sharedStrings.xml><?xml version="1.0" encoding="utf-8"?>
<sst xmlns="http://schemas.openxmlformats.org/spreadsheetml/2006/main" count="423" uniqueCount="386">
  <si>
    <t>Date</t>
  </si>
  <si>
    <t>Price</t>
  </si>
  <si>
    <t>Open</t>
  </si>
  <si>
    <t>High</t>
  </si>
  <si>
    <t>Low</t>
  </si>
  <si>
    <t>Vol.</t>
  </si>
  <si>
    <t>4.63M</t>
  </si>
  <si>
    <t>29.32M</t>
  </si>
  <si>
    <t>24.12M</t>
  </si>
  <si>
    <t>32.64M</t>
  </si>
  <si>
    <t>28.77M</t>
  </si>
  <si>
    <t>43.43M</t>
  </si>
  <si>
    <t>45.31M</t>
  </si>
  <si>
    <t>33.87M</t>
  </si>
  <si>
    <t>25.12M</t>
  </si>
  <si>
    <t>21.08M</t>
  </si>
  <si>
    <t>29.50M</t>
  </si>
  <si>
    <t>34.89M</t>
  </si>
  <si>
    <t>55.04M</t>
  </si>
  <si>
    <t>36.28M</t>
  </si>
  <si>
    <t>39.56M</t>
  </si>
  <si>
    <t>40.43M</t>
  </si>
  <si>
    <t>27.77M</t>
  </si>
  <si>
    <t>15.70M</t>
  </si>
  <si>
    <t>40.59M</t>
  </si>
  <si>
    <t>48.07M</t>
  </si>
  <si>
    <t>59.90M</t>
  </si>
  <si>
    <t>30.46M</t>
  </si>
  <si>
    <t>50.46M</t>
  </si>
  <si>
    <t>34.45M</t>
  </si>
  <si>
    <t>42.22M</t>
  </si>
  <si>
    <t>64.17M</t>
  </si>
  <si>
    <t>26.98M</t>
  </si>
  <si>
    <t>28.73M</t>
  </si>
  <si>
    <t>45.09M</t>
  </si>
  <si>
    <t>42.67M</t>
  </si>
  <si>
    <t>51.51M</t>
  </si>
  <si>
    <t>36.17M</t>
  </si>
  <si>
    <t>39.52M</t>
  </si>
  <si>
    <t>24.63M</t>
  </si>
  <si>
    <t>25.94M</t>
  </si>
  <si>
    <t>37.31M</t>
  </si>
  <si>
    <t>30.56M</t>
  </si>
  <si>
    <t>24.87M</t>
  </si>
  <si>
    <t>53.84M</t>
  </si>
  <si>
    <t>27.01M</t>
  </si>
  <si>
    <t>39.25M</t>
  </si>
  <si>
    <t>41.79M</t>
  </si>
  <si>
    <t>25.41M</t>
  </si>
  <si>
    <t>38.20M</t>
  </si>
  <si>
    <t>34.61M</t>
  </si>
  <si>
    <t>69.69M</t>
  </si>
  <si>
    <t>32.22M</t>
  </si>
  <si>
    <t>35.17M</t>
  </si>
  <si>
    <t>27.12M</t>
  </si>
  <si>
    <t>57.80M</t>
  </si>
  <si>
    <t>39.47M</t>
  </si>
  <si>
    <t>38.38M</t>
  </si>
  <si>
    <t>49.74M</t>
  </si>
  <si>
    <t>34.87M</t>
  </si>
  <si>
    <t>69.31M</t>
  </si>
  <si>
    <t>59.72M</t>
  </si>
  <si>
    <t>36.79M</t>
  </si>
  <si>
    <t>55.65M</t>
  </si>
  <si>
    <t>39.86M</t>
  </si>
  <si>
    <t>48.69M</t>
  </si>
  <si>
    <t>31.62M</t>
  </si>
  <si>
    <t>31.04M</t>
  </si>
  <si>
    <t>27.93M</t>
  </si>
  <si>
    <t>30.75M</t>
  </si>
  <si>
    <t>55.29M</t>
  </si>
  <si>
    <t>30.29M</t>
  </si>
  <si>
    <t>35.84M</t>
  </si>
  <si>
    <t>30.84M</t>
  </si>
  <si>
    <t>50.79M</t>
  </si>
  <si>
    <t>25.53M</t>
  </si>
  <si>
    <t>80.06M</t>
  </si>
  <si>
    <t>64.18M</t>
  </si>
  <si>
    <t>40.80M</t>
  </si>
  <si>
    <t>32.02M</t>
  </si>
  <si>
    <t>50.94M</t>
  </si>
  <si>
    <t>78.56M</t>
  </si>
  <si>
    <t>89.19M</t>
  </si>
  <si>
    <t>186.40M</t>
  </si>
  <si>
    <t>54.52M</t>
  </si>
  <si>
    <t>41.66M</t>
  </si>
  <si>
    <t>46.06M</t>
  </si>
  <si>
    <t>40.26M</t>
  </si>
  <si>
    <t>48.53M</t>
  </si>
  <si>
    <t>49.28M</t>
  </si>
  <si>
    <t>45.88M</t>
  </si>
  <si>
    <t>37.29M</t>
  </si>
  <si>
    <t>20.15M</t>
  </si>
  <si>
    <t>25.13M</t>
  </si>
  <si>
    <t>27.72M</t>
  </si>
  <si>
    <t>29.96M</t>
  </si>
  <si>
    <t>49.44M</t>
  </si>
  <si>
    <t>30.01M</t>
  </si>
  <si>
    <t>29.11M</t>
  </si>
  <si>
    <t>27.39M</t>
  </si>
  <si>
    <t>19.22M</t>
  </si>
  <si>
    <t>35.74M</t>
  </si>
  <si>
    <t>25.08M</t>
  </si>
  <si>
    <t>23.95M</t>
  </si>
  <si>
    <t>31.39M</t>
  </si>
  <si>
    <t>18.64M</t>
  </si>
  <si>
    <t>40.97M</t>
  </si>
  <si>
    <t>26.21M</t>
  </si>
  <si>
    <t>30.79M</t>
  </si>
  <si>
    <t>37.90M</t>
  </si>
  <si>
    <t>52.96M</t>
  </si>
  <si>
    <t>32.46M</t>
  </si>
  <si>
    <t>42.54M</t>
  </si>
  <si>
    <t>26.84M</t>
  </si>
  <si>
    <t>33.77M</t>
  </si>
  <si>
    <t>45.18M</t>
  </si>
  <si>
    <t>63.89M</t>
  </si>
  <si>
    <t>31.96M</t>
  </si>
  <si>
    <t>36.67M</t>
  </si>
  <si>
    <t>23.38M</t>
  </si>
  <si>
    <t>30.14M</t>
  </si>
  <si>
    <t>34.13M</t>
  </si>
  <si>
    <t>60.22M</t>
  </si>
  <si>
    <t>66.98M</t>
  </si>
  <si>
    <t>89.82M</t>
  </si>
  <si>
    <t>97.42M</t>
  </si>
  <si>
    <t>22.06M</t>
  </si>
  <si>
    <t>16.21M</t>
  </si>
  <si>
    <t>28.30M</t>
  </si>
  <si>
    <t>27.09M</t>
  </si>
  <si>
    <t>32.63M</t>
  </si>
  <si>
    <t>24.65M</t>
  </si>
  <si>
    <t>33.75M</t>
  </si>
  <si>
    <t>20.59M</t>
  </si>
  <si>
    <t>25.18M</t>
  </si>
  <si>
    <t>34.17M</t>
  </si>
  <si>
    <t>24.66M</t>
  </si>
  <si>
    <t>33.92M</t>
  </si>
  <si>
    <t>29.65M</t>
  </si>
  <si>
    <t>24.38M</t>
  </si>
  <si>
    <t>21.29M</t>
  </si>
  <si>
    <t>19.96M</t>
  </si>
  <si>
    <t>18.17M</t>
  </si>
  <si>
    <t>22.30M</t>
  </si>
  <si>
    <t>30.24M</t>
  </si>
  <si>
    <t>15.90M</t>
  </si>
  <si>
    <t>21.62M</t>
  </si>
  <si>
    <t>22.00M</t>
  </si>
  <si>
    <t>55.41M</t>
  </si>
  <si>
    <t>24.17M</t>
  </si>
  <si>
    <t>24.67M</t>
  </si>
  <si>
    <t>16.65M</t>
  </si>
  <si>
    <t>21.12M</t>
  </si>
  <si>
    <t>26.99M</t>
  </si>
  <si>
    <t>32.39M</t>
  </si>
  <si>
    <t>37.87M</t>
  </si>
  <si>
    <t>22.05M</t>
  </si>
  <si>
    <t>19.21M</t>
  </si>
  <si>
    <t>20.74M</t>
  </si>
  <si>
    <t>24.42M</t>
  </si>
  <si>
    <t>23.09M</t>
  </si>
  <si>
    <t>25.72M</t>
  </si>
  <si>
    <t>25.27M</t>
  </si>
  <si>
    <t>37.18M</t>
  </si>
  <si>
    <t>22.03M</t>
  </si>
  <si>
    <t>27.53M</t>
  </si>
  <si>
    <t>42.42M</t>
  </si>
  <si>
    <t>26.86M</t>
  </si>
  <si>
    <t>25.26M</t>
  </si>
  <si>
    <t>21.38M</t>
  </si>
  <si>
    <t>29.45M</t>
  </si>
  <si>
    <t>25.33M</t>
  </si>
  <si>
    <t>31.61M</t>
  </si>
  <si>
    <t>38.87M</t>
  </si>
  <si>
    <t>22.84M</t>
  </si>
  <si>
    <t>38.80M</t>
  </si>
  <si>
    <t>36.54M</t>
  </si>
  <si>
    <t>17.97M</t>
  </si>
  <si>
    <t>32.85M</t>
  </si>
  <si>
    <t>38.14M</t>
  </si>
  <si>
    <t>37.63M</t>
  </si>
  <si>
    <t>32.30M</t>
  </si>
  <si>
    <t>14.87M</t>
  </si>
  <si>
    <t>26.82M</t>
  </si>
  <si>
    <t>51.66M</t>
  </si>
  <si>
    <t>57.82M</t>
  </si>
  <si>
    <t>62.85M</t>
  </si>
  <si>
    <t>31.32M</t>
  </si>
  <si>
    <t>35.67M</t>
  </si>
  <si>
    <t>31.02M</t>
  </si>
  <si>
    <t>41.32M</t>
  </si>
  <si>
    <t>33.37M</t>
  </si>
  <si>
    <t>21.24M</t>
  </si>
  <si>
    <t>28.01M</t>
  </si>
  <si>
    <t>22.86M</t>
  </si>
  <si>
    <t>26.67M</t>
  </si>
  <si>
    <t>33.90M</t>
  </si>
  <si>
    <t>45.65M</t>
  </si>
  <si>
    <t>42.65M</t>
  </si>
  <si>
    <t>52.44M</t>
  </si>
  <si>
    <t>51.18M</t>
  </si>
  <si>
    <t>44.17M</t>
  </si>
  <si>
    <t>42.61M</t>
  </si>
  <si>
    <t>95.91M</t>
  </si>
  <si>
    <t>31.42M</t>
  </si>
  <si>
    <t>40.81M</t>
  </si>
  <si>
    <t>41.74M</t>
  </si>
  <si>
    <t>59.25M</t>
  </si>
  <si>
    <t>72.55M</t>
  </si>
  <si>
    <t>47.75M</t>
  </si>
  <si>
    <t>80.36M</t>
  </si>
  <si>
    <t>33.17M</t>
  </si>
  <si>
    <t>39.39M</t>
  </si>
  <si>
    <t>36.61M</t>
  </si>
  <si>
    <t>63.51M</t>
  </si>
  <si>
    <t>49.24M</t>
  </si>
  <si>
    <t>54.36M</t>
  </si>
  <si>
    <t>54.65M</t>
  </si>
  <si>
    <t>38.65M</t>
  </si>
  <si>
    <t>35.79M</t>
  </si>
  <si>
    <t>49.90M</t>
  </si>
  <si>
    <t>48.62M</t>
  </si>
  <si>
    <t>66.25M</t>
  </si>
  <si>
    <t>37.52M</t>
  </si>
  <si>
    <t>51.14M</t>
  </si>
  <si>
    <t>48.72M</t>
  </si>
  <si>
    <t>42.01M</t>
  </si>
  <si>
    <t>69.42M</t>
  </si>
  <si>
    <t>42.72M</t>
  </si>
  <si>
    <t>74.62M</t>
  </si>
  <si>
    <t>37.50M</t>
  </si>
  <si>
    <t>42.87M</t>
  </si>
  <si>
    <t>50.40M</t>
  </si>
  <si>
    <t>36.77M</t>
  </si>
  <si>
    <t>43.21M</t>
  </si>
  <si>
    <t>32.05M</t>
  </si>
  <si>
    <t>55.68M</t>
  </si>
  <si>
    <t>44.50M</t>
  </si>
  <si>
    <t>42.35M</t>
  </si>
  <si>
    <t>38.28M</t>
  </si>
  <si>
    <t>36.82M</t>
  </si>
  <si>
    <t>41.89M</t>
  </si>
  <si>
    <t>50.49M</t>
  </si>
  <si>
    <t>40.83M</t>
  </si>
  <si>
    <t>40.40M</t>
  </si>
  <si>
    <t>55.66M</t>
  </si>
  <si>
    <t>71.74M</t>
  </si>
  <si>
    <t>66.88M</t>
  </si>
  <si>
    <t>52.89M</t>
  </si>
  <si>
    <t>72.22M</t>
  </si>
  <si>
    <t>58.60M</t>
  </si>
  <si>
    <t>53.24M</t>
  </si>
  <si>
    <t>60.87M</t>
  </si>
  <si>
    <t>43.58M</t>
  </si>
  <si>
    <t>59.86M</t>
  </si>
  <si>
    <t>72.68M</t>
  </si>
  <si>
    <t>67.29M</t>
  </si>
  <si>
    <t>62.91M</t>
  </si>
  <si>
    <t>66.99M</t>
  </si>
  <si>
    <t>63.03M</t>
  </si>
  <si>
    <t>57.01M</t>
  </si>
  <si>
    <t>59.85M</t>
  </si>
  <si>
    <t>105.35M</t>
  </si>
  <si>
    <t>129.39M</t>
  </si>
  <si>
    <t>127.99M</t>
  </si>
  <si>
    <t>106.95M</t>
  </si>
  <si>
    <t>100.24M</t>
  </si>
  <si>
    <t>41.00M</t>
  </si>
  <si>
    <t>49.46M</t>
  </si>
  <si>
    <t>53.45M</t>
  </si>
  <si>
    <t>70.32M</t>
  </si>
  <si>
    <t>40.31M</t>
  </si>
  <si>
    <t>61.75M</t>
  </si>
  <si>
    <t>85.38M</t>
  </si>
  <si>
    <t>44.98M</t>
  </si>
  <si>
    <t>49.32M</t>
  </si>
  <si>
    <t>92.66M</t>
  </si>
  <si>
    <t>105.47M</t>
  </si>
  <si>
    <t>133.54M</t>
  </si>
  <si>
    <t>88.73M</t>
  </si>
  <si>
    <t>197.32M</t>
  </si>
  <si>
    <t>165.45M</t>
  </si>
  <si>
    <t>58.77M</t>
  </si>
  <si>
    <t>81.87M</t>
  </si>
  <si>
    <t>64.55M</t>
  </si>
  <si>
    <t>82.91M</t>
  </si>
  <si>
    <t>130.24M</t>
  </si>
  <si>
    <t>159.68M</t>
  </si>
  <si>
    <t>115.36M</t>
  </si>
  <si>
    <t>95.77M</t>
  </si>
  <si>
    <t>73.83M</t>
  </si>
  <si>
    <t>98.48M</t>
  </si>
  <si>
    <t>136.76M</t>
  </si>
  <si>
    <t>110.60M</t>
  </si>
  <si>
    <t>192.97M</t>
  </si>
  <si>
    <t>168.16M</t>
  </si>
  <si>
    <t>166.73M</t>
  </si>
  <si>
    <t>153.99M</t>
  </si>
  <si>
    <t>191.93M</t>
  </si>
  <si>
    <t>199.16M</t>
  </si>
  <si>
    <t>234.82M</t>
  </si>
  <si>
    <t>268.70M</t>
  </si>
  <si>
    <t>336.31M</t>
  </si>
  <si>
    <t>430.74M</t>
  </si>
  <si>
    <t>285.51M</t>
  </si>
  <si>
    <t>131.89M</t>
  </si>
  <si>
    <t>167.46M</t>
  </si>
  <si>
    <t>132.89M</t>
  </si>
  <si>
    <t>143.22M</t>
  </si>
  <si>
    <t>207.31M</t>
  </si>
  <si>
    <t>Assumption</t>
  </si>
  <si>
    <t>Value</t>
  </si>
  <si>
    <t>Source</t>
  </si>
  <si>
    <t>Risk-Free Rate (Rf)</t>
  </si>
  <si>
    <t>Market Risk Premium (Rm - Rf)</t>
  </si>
  <si>
    <t>Academic Standard (Damodaran/Ibbotson)</t>
  </si>
  <si>
    <t>Boeing 5-Year Beta (β)</t>
  </si>
  <si>
    <t>Yahoo Finance Summary Statistics</t>
  </si>
  <si>
    <t>Pre-Tax Cost of Debt (Rd)</t>
  </si>
  <si>
    <t>Boeing 2025 10-K, Note 17 (estimated avg. yield)</t>
  </si>
  <si>
    <t>Corporate Tax Rate (Tc)</t>
  </si>
  <si>
    <t>U.S. Federal Statutory Rate (10-K, Note 6)</t>
  </si>
  <si>
    <t>Market Value of Equity (E)</t>
  </si>
  <si>
    <t>Yahoo Finance (Market Cap in $)</t>
  </si>
  <si>
    <t>Market Value of Debt (D)</t>
  </si>
  <si>
    <t>Boeing 2025 10-K, Item 7 (Liquidity section)</t>
  </si>
  <si>
    <t>US 10-Year Treasury Yield</t>
  </si>
  <si>
    <t>CAPM Formula</t>
  </si>
  <si>
    <t>Component</t>
  </si>
  <si>
    <t>Beta (β)</t>
  </si>
  <si>
    <t>Market Risk Premium</t>
  </si>
  <si>
    <t>Cost of Equity (CAPM)</t>
  </si>
  <si>
    <t>Cost of Equity – CAPM</t>
  </si>
  <si>
    <t>Cost of Debt</t>
  </si>
  <si>
    <t>Pre-Tax Cost of Debt</t>
  </si>
  <si>
    <t>Tax Rate</t>
  </si>
  <si>
    <t>After-Tax Cost of Debt</t>
  </si>
  <si>
    <t>Capital Structure Weights</t>
  </si>
  <si>
    <t>Total Market Value (V)</t>
  </si>
  <si>
    <t>Equity Weight (E/V)</t>
  </si>
  <si>
    <t>Debt Weight (D/V)</t>
  </si>
  <si>
    <t>WACC Calculation</t>
  </si>
  <si>
    <t>Cost of Equity (Re)</t>
  </si>
  <si>
    <t>Equity Component</t>
  </si>
  <si>
    <t>Debt Component</t>
  </si>
  <si>
    <t>WACC</t>
  </si>
  <si>
    <t>Notes</t>
  </si>
  <si>
    <t>Initial Investment (Year 0)</t>
  </si>
  <si>
    <t>Given in project outline</t>
  </si>
  <si>
    <t>Salvage Value (Year 5)</t>
  </si>
  <si>
    <t>Project Life (Years)</t>
  </si>
  <si>
    <t>Tax Rate (Tc)</t>
  </si>
  <si>
    <t>Operating Cost (% of Revenue)</t>
  </si>
  <si>
    <t>Given as 60% of annual revenues</t>
  </si>
  <si>
    <t>Reference from WACC Inputs tab</t>
  </si>
  <si>
    <t>Year 1</t>
  </si>
  <si>
    <t>Year 2</t>
  </si>
  <si>
    <t>Year 3</t>
  </si>
  <si>
    <t>Year 4</t>
  </si>
  <si>
    <t>Year 5</t>
  </si>
  <si>
    <t>Revenue</t>
  </si>
  <si>
    <t>Initial Investment</t>
  </si>
  <si>
    <t>Salvage Value</t>
  </si>
  <si>
    <t>Depreciable Base</t>
  </si>
  <si>
    <t>Annual Depreciation</t>
  </si>
  <si>
    <t>Less: Depreciation</t>
  </si>
  <si>
    <t>Less: Operating Costs</t>
  </si>
  <si>
    <t>EBIT</t>
  </si>
  <si>
    <t>Less: Tax</t>
  </si>
  <si>
    <t>NOPAT</t>
  </si>
  <si>
    <t>Add: Depreciation</t>
  </si>
  <si>
    <t>Operating Cash Flow</t>
  </si>
  <si>
    <t>After-Tax Salvage Value</t>
  </si>
  <si>
    <t>Free Cash Flow</t>
  </si>
  <si>
    <t>Year 0</t>
  </si>
  <si>
    <t>NPV</t>
  </si>
  <si>
    <t>IRR</t>
  </si>
  <si>
    <t>Payback Period</t>
  </si>
  <si>
    <t>Fraction of Year 4</t>
  </si>
  <si>
    <t>Payback Period</t>
  </si>
  <si>
    <t>Y3 Cummulative Balance</t>
  </si>
  <si>
    <t>Cash Flow Year 3</t>
  </si>
  <si>
    <t>Sensitivity Analysis</t>
  </si>
  <si>
    <t>Base NPV</t>
  </si>
  <si>
    <t>A) Impact of WACC on NPV</t>
  </si>
  <si>
    <t>B) Impact of Revenue Decline on NPV and 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</si>
</sst>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0F1115"/>
      <name val="Times New Roman"/>
      <family val="1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10" fontId="0" fillId="0" borderId="0" xfId="0" applyNumberFormat="1"/>
    <xf numFmtId="0" fontId="19" fillId="0" borderId="0" xfId="0" applyFont="1" applyAlignment="1">
      <alignment vertical="center" wrapText="1"/>
    </xf>
    <xf numFmtId="0" fontId="18" fillId="0" borderId="0" xfId="0" applyFont="1"/>
    <xf numFmtId="0" fontId="20" fillId="0" borderId="0" xfId="0" applyFont="1"/>
    <xf numFmtId="10" fontId="20" fillId="0" borderId="0" xfId="0" applyNumberFormat="1" applyFont="1"/>
    <xf numFmtId="10" fontId="20" fillId="0" borderId="0" xfId="42" applyNumberFormat="1" applyFont="1"/>
    <xf numFmtId="6" fontId="20" fillId="0" borderId="0" xfId="0" applyNumberFormat="1" applyFont="1"/>
    <xf numFmtId="10" fontId="18" fillId="0" borderId="0" xfId="0" applyNumberFormat="1" applyFont="1"/>
    <xf numFmtId="6" fontId="0" fillId="0" borderId="0" xfId="0" applyNumberFormat="1"/>
    <xf numFmtId="0" fontId="16" fillId="0" borderId="0" xfId="0" applyFont="1"/>
    <xf numFmtId="6" fontId="16" fillId="0" borderId="0" xfId="0" applyNumberFormat="1" applyFont="1"/>
    <xf numFmtId="44" fontId="0" fillId="0" borderId="0" xfId="43" applyFont="1"/>
    <xf numFmtId="8" fontId="0" fillId="0" borderId="0" xfId="0" applyNumberFormat="1"/>
    <xf numFmtId="9" fontId="0" fillId="0" borderId="0" xfId="42" applyFont="1"/>
    <xf numFmtId="164" fontId="0" fillId="0" borderId="0" xfId="43" applyNumberFormat="1" applyFont="1"/>
    <xf numFmtId="10" fontId="0" fillId="0" borderId="0" xfId="42" applyNumberFormat="1" applyFont="1"/>
    <xf numFmtId="0" fontId="16" fillId="0" borderId="0" xfId="0" applyFont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133351</xdr:colOff>
      <xdr:row>34</xdr:row>
      <xdr:rowOff>127000</xdr:rowOff>
    </xdr:from>
    <xdr:to>
      <xdr:col>2</xdr:col>
      <xdr:colOff>393700</xdr:colOff>
      <xdr:row>36</xdr:row>
      <xdr:rowOff>127000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E496D0-566B-6F1B-E81B-9E402F924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1" y="6819900"/>
          <a:ext cx="3555999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127000</xdr:colOff>
      <xdr:row>11</xdr:row>
      <xdr:rowOff>19050</xdr:rowOff>
    </xdr:from>
    <xdr:to>
      <xdr:col>0</xdr:col>
      <xdr:colOff>1600200</xdr:colOff>
      <xdr:row>12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45399E-6E49-EACB-F52C-2ECD9575E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3149600"/>
          <a:ext cx="147320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0291B-65A6-4378-A81A-01220A0C63DD}">
  <dimension ref="A1:G314"/>
  <sheetViews>
    <sheetView workbookViewId="0">
      <selection activeCell="I8" sqref="I8"/>
    </sheetView>
  </sheetViews>
  <sheetFormatPr defaultRowHeight="14.5" x14ac:dyDescent="0.35"/>
  <cols>
    <col min="1" max="1" width="10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35">
      <c r="A2" s="1">
        <v>46131</v>
      </c>
      <c r="B2">
        <v>225.11</v>
      </c>
      <c r="C2">
        <v>222.33</v>
      </c>
      <c r="D2">
        <v>225.32</v>
      </c>
      <c r="E2">
        <v>220.37</v>
      </c>
      <c r="F2" t="s">
        <v>6</v>
      </c>
      <c r="G2" s="2"/>
    </row>
    <row r="3" spans="1:7" x14ac:dyDescent="0.35">
      <c r="A3" s="1">
        <v>46124</v>
      </c>
      <c r="B3">
        <v>223.38</v>
      </c>
      <c r="C3">
        <v>216.25</v>
      </c>
      <c r="D3">
        <v>230.24</v>
      </c>
      <c r="E3">
        <v>215.4</v>
      </c>
      <c r="F3" t="s">
        <v>7</v>
      </c>
      <c r="G3" s="2"/>
    </row>
    <row r="4" spans="1:7" x14ac:dyDescent="0.35">
      <c r="A4" s="1">
        <v>46117</v>
      </c>
      <c r="B4">
        <v>217.63</v>
      </c>
      <c r="C4">
        <v>207.37</v>
      </c>
      <c r="D4">
        <v>221.29</v>
      </c>
      <c r="E4">
        <v>206.92</v>
      </c>
      <c r="F4" t="s">
        <v>8</v>
      </c>
      <c r="G4" s="2"/>
    </row>
    <row r="5" spans="1:7" x14ac:dyDescent="0.35">
      <c r="A5" s="1">
        <v>46110</v>
      </c>
      <c r="B5">
        <v>208.22</v>
      </c>
      <c r="C5">
        <v>191.48</v>
      </c>
      <c r="D5">
        <v>210.28</v>
      </c>
      <c r="E5">
        <v>187.72</v>
      </c>
      <c r="F5" t="s">
        <v>9</v>
      </c>
      <c r="G5" s="2"/>
    </row>
    <row r="6" spans="1:7" x14ac:dyDescent="0.35">
      <c r="A6" s="1">
        <v>46103</v>
      </c>
      <c r="B6">
        <v>190.52</v>
      </c>
      <c r="C6">
        <v>198.91</v>
      </c>
      <c r="D6">
        <v>201.69</v>
      </c>
      <c r="E6">
        <v>189.28</v>
      </c>
      <c r="F6" t="s">
        <v>10</v>
      </c>
      <c r="G6" s="2"/>
    </row>
    <row r="7" spans="1:7" x14ac:dyDescent="0.35">
      <c r="A7" s="1">
        <v>46096</v>
      </c>
      <c r="B7">
        <v>195.12</v>
      </c>
      <c r="C7">
        <v>210.75</v>
      </c>
      <c r="D7">
        <v>217.15</v>
      </c>
      <c r="E7">
        <v>192.54</v>
      </c>
      <c r="F7" t="s">
        <v>11</v>
      </c>
      <c r="G7" s="2"/>
    </row>
    <row r="8" spans="1:7" x14ac:dyDescent="0.35">
      <c r="A8" s="1">
        <v>46089</v>
      </c>
      <c r="B8">
        <v>209.89</v>
      </c>
      <c r="C8">
        <v>226.75</v>
      </c>
      <c r="D8">
        <v>227.59</v>
      </c>
      <c r="E8">
        <v>204.3</v>
      </c>
      <c r="F8" t="s">
        <v>12</v>
      </c>
      <c r="G8" s="2"/>
    </row>
    <row r="9" spans="1:7" x14ac:dyDescent="0.35">
      <c r="A9" s="1">
        <v>46082</v>
      </c>
      <c r="B9">
        <v>231.11</v>
      </c>
      <c r="C9">
        <v>226</v>
      </c>
      <c r="D9">
        <v>231.96</v>
      </c>
      <c r="E9">
        <v>218.13</v>
      </c>
      <c r="F9" t="s">
        <v>13</v>
      </c>
      <c r="G9" s="2"/>
    </row>
    <row r="10" spans="1:7" x14ac:dyDescent="0.35">
      <c r="A10" s="1">
        <v>46075</v>
      </c>
      <c r="B10">
        <v>227.53</v>
      </c>
      <c r="C10">
        <v>231.5</v>
      </c>
      <c r="D10">
        <v>236.13</v>
      </c>
      <c r="E10">
        <v>224.91</v>
      </c>
      <c r="F10" t="s">
        <v>14</v>
      </c>
      <c r="G10" s="2"/>
    </row>
    <row r="11" spans="1:7" x14ac:dyDescent="0.35">
      <c r="A11" s="1">
        <v>46068</v>
      </c>
      <c r="B11">
        <v>232.03</v>
      </c>
      <c r="C11">
        <v>243.61</v>
      </c>
      <c r="D11">
        <v>245.42</v>
      </c>
      <c r="E11">
        <v>231.14</v>
      </c>
      <c r="F11" t="s">
        <v>15</v>
      </c>
      <c r="G11" s="2"/>
    </row>
    <row r="12" spans="1:7" x14ac:dyDescent="0.35">
      <c r="A12" s="1">
        <v>46061</v>
      </c>
      <c r="B12">
        <v>242.96</v>
      </c>
      <c r="C12">
        <v>242</v>
      </c>
      <c r="D12">
        <v>247.86</v>
      </c>
      <c r="E12">
        <v>235.5</v>
      </c>
      <c r="F12" t="s">
        <v>16</v>
      </c>
      <c r="G12" s="2"/>
    </row>
    <row r="13" spans="1:7" x14ac:dyDescent="0.35">
      <c r="A13" s="1">
        <v>46054</v>
      </c>
      <c r="B13">
        <v>243.03</v>
      </c>
      <c r="C13">
        <v>232.64</v>
      </c>
      <c r="D13">
        <v>246.3</v>
      </c>
      <c r="E13">
        <v>228.96</v>
      </c>
      <c r="F13" t="s">
        <v>17</v>
      </c>
      <c r="G13" s="2"/>
    </row>
    <row r="14" spans="1:7" x14ac:dyDescent="0.35">
      <c r="A14" s="1">
        <v>46047</v>
      </c>
      <c r="B14">
        <v>233.72</v>
      </c>
      <c r="C14">
        <v>251.49</v>
      </c>
      <c r="D14">
        <v>254.35</v>
      </c>
      <c r="E14">
        <v>229.94</v>
      </c>
      <c r="F14" t="s">
        <v>18</v>
      </c>
      <c r="G14" s="2"/>
    </row>
    <row r="15" spans="1:7" x14ac:dyDescent="0.35">
      <c r="A15" s="1">
        <v>46040</v>
      </c>
      <c r="B15">
        <v>252.15</v>
      </c>
      <c r="C15">
        <v>244.4</v>
      </c>
      <c r="D15">
        <v>254.14</v>
      </c>
      <c r="E15">
        <v>243.7</v>
      </c>
      <c r="F15" t="s">
        <v>19</v>
      </c>
      <c r="G15" s="2"/>
    </row>
    <row r="16" spans="1:7" x14ac:dyDescent="0.35">
      <c r="A16" s="1">
        <v>46033</v>
      </c>
      <c r="B16">
        <v>247.68</v>
      </c>
      <c r="C16">
        <v>234.29</v>
      </c>
      <c r="D16">
        <v>248.75</v>
      </c>
      <c r="E16">
        <v>234</v>
      </c>
      <c r="F16" t="s">
        <v>20</v>
      </c>
      <c r="G16" s="2"/>
    </row>
    <row r="17" spans="1:7" x14ac:dyDescent="0.35">
      <c r="A17" s="1">
        <v>46026</v>
      </c>
      <c r="B17">
        <v>234.53</v>
      </c>
      <c r="C17">
        <v>228.79</v>
      </c>
      <c r="D17">
        <v>235.13</v>
      </c>
      <c r="E17">
        <v>225.1</v>
      </c>
      <c r="F17" t="s">
        <v>21</v>
      </c>
      <c r="G17" s="2"/>
    </row>
    <row r="18" spans="1:7" x14ac:dyDescent="0.35">
      <c r="A18" s="1">
        <v>46019</v>
      </c>
      <c r="B18">
        <v>227.77</v>
      </c>
      <c r="C18">
        <v>215.9</v>
      </c>
      <c r="D18">
        <v>227.77</v>
      </c>
      <c r="E18">
        <v>215.11</v>
      </c>
      <c r="F18" t="s">
        <v>22</v>
      </c>
      <c r="G18" s="2"/>
    </row>
    <row r="19" spans="1:7" x14ac:dyDescent="0.35">
      <c r="A19" s="1">
        <v>46012</v>
      </c>
      <c r="B19">
        <v>216.44</v>
      </c>
      <c r="C19">
        <v>215.34</v>
      </c>
      <c r="D19">
        <v>219.27</v>
      </c>
      <c r="E19">
        <v>214.22</v>
      </c>
      <c r="F19" t="s">
        <v>23</v>
      </c>
      <c r="G19" s="2"/>
    </row>
    <row r="20" spans="1:7" x14ac:dyDescent="0.35">
      <c r="A20" s="1">
        <v>46005</v>
      </c>
      <c r="B20">
        <v>214.08</v>
      </c>
      <c r="C20">
        <v>204.38</v>
      </c>
      <c r="D20">
        <v>215.98</v>
      </c>
      <c r="E20">
        <v>203.17</v>
      </c>
      <c r="F20" t="s">
        <v>24</v>
      </c>
      <c r="G20" s="2"/>
    </row>
    <row r="21" spans="1:7" x14ac:dyDescent="0.35">
      <c r="A21" s="1">
        <v>45998</v>
      </c>
      <c r="B21">
        <v>204.38</v>
      </c>
      <c r="C21">
        <v>203.61</v>
      </c>
      <c r="D21">
        <v>207.1</v>
      </c>
      <c r="E21">
        <v>198.05</v>
      </c>
      <c r="F21" t="s">
        <v>25</v>
      </c>
      <c r="G21" s="2"/>
    </row>
    <row r="22" spans="1:7" x14ac:dyDescent="0.35">
      <c r="A22" s="1">
        <v>45991</v>
      </c>
      <c r="B22">
        <v>201.89</v>
      </c>
      <c r="C22">
        <v>188.96</v>
      </c>
      <c r="D22">
        <v>205.85</v>
      </c>
      <c r="E22">
        <v>186.41</v>
      </c>
      <c r="F22" t="s">
        <v>26</v>
      </c>
      <c r="G22" s="2"/>
    </row>
    <row r="23" spans="1:7" x14ac:dyDescent="0.35">
      <c r="A23" s="1">
        <v>45984</v>
      </c>
      <c r="B23">
        <v>189</v>
      </c>
      <c r="C23">
        <v>180.31</v>
      </c>
      <c r="D23">
        <v>189.75</v>
      </c>
      <c r="E23">
        <v>177.3</v>
      </c>
      <c r="F23" t="s">
        <v>27</v>
      </c>
      <c r="G23" s="2"/>
    </row>
    <row r="24" spans="1:7" x14ac:dyDescent="0.35">
      <c r="A24" s="1">
        <v>45977</v>
      </c>
      <c r="B24">
        <v>179.7</v>
      </c>
      <c r="C24">
        <v>194.84</v>
      </c>
      <c r="D24">
        <v>194.84</v>
      </c>
      <c r="E24">
        <v>176.77</v>
      </c>
      <c r="F24" t="s">
        <v>28</v>
      </c>
      <c r="G24" s="2"/>
    </row>
    <row r="25" spans="1:7" x14ac:dyDescent="0.35">
      <c r="A25" s="1">
        <v>45970</v>
      </c>
      <c r="B25">
        <v>194.52</v>
      </c>
      <c r="C25">
        <v>195.89</v>
      </c>
      <c r="D25">
        <v>197.03</v>
      </c>
      <c r="E25">
        <v>192.15</v>
      </c>
      <c r="F25" t="s">
        <v>29</v>
      </c>
      <c r="G25" s="2"/>
    </row>
    <row r="26" spans="1:7" x14ac:dyDescent="0.35">
      <c r="A26" s="1">
        <v>45963</v>
      </c>
      <c r="B26">
        <v>194.61</v>
      </c>
      <c r="C26">
        <v>202.04</v>
      </c>
      <c r="D26">
        <v>205.66</v>
      </c>
      <c r="E26">
        <v>191.49</v>
      </c>
      <c r="F26" t="s">
        <v>30</v>
      </c>
      <c r="G26" s="2"/>
    </row>
    <row r="27" spans="1:7" x14ac:dyDescent="0.35">
      <c r="A27" s="1">
        <v>45956</v>
      </c>
      <c r="B27">
        <v>201.02</v>
      </c>
      <c r="C27">
        <v>222.78</v>
      </c>
      <c r="D27">
        <v>225.56</v>
      </c>
      <c r="E27">
        <v>198.3</v>
      </c>
      <c r="F27" t="s">
        <v>31</v>
      </c>
      <c r="G27" s="2"/>
    </row>
    <row r="28" spans="1:7" x14ac:dyDescent="0.35">
      <c r="A28" s="1">
        <v>45949</v>
      </c>
      <c r="B28">
        <v>221.35</v>
      </c>
      <c r="C28">
        <v>215.13</v>
      </c>
      <c r="D28">
        <v>221.74</v>
      </c>
      <c r="E28">
        <v>213.8</v>
      </c>
      <c r="F28" t="s">
        <v>32</v>
      </c>
      <c r="G28" s="2"/>
    </row>
    <row r="29" spans="1:7" x14ac:dyDescent="0.35">
      <c r="A29" s="1">
        <v>45942</v>
      </c>
      <c r="B29">
        <v>212.94</v>
      </c>
      <c r="C29">
        <v>212.09</v>
      </c>
      <c r="D29">
        <v>217.95</v>
      </c>
      <c r="E29">
        <v>210.66</v>
      </c>
      <c r="F29" t="s">
        <v>33</v>
      </c>
      <c r="G29" s="2"/>
    </row>
    <row r="30" spans="1:7" x14ac:dyDescent="0.35">
      <c r="A30" s="1">
        <v>45935</v>
      </c>
      <c r="B30">
        <v>210.73</v>
      </c>
      <c r="C30">
        <v>217.87</v>
      </c>
      <c r="D30">
        <v>226.19</v>
      </c>
      <c r="E30">
        <v>210.73</v>
      </c>
      <c r="F30" t="s">
        <v>34</v>
      </c>
      <c r="G30" s="2"/>
    </row>
    <row r="31" spans="1:7" x14ac:dyDescent="0.35">
      <c r="A31" s="1">
        <v>45928</v>
      </c>
      <c r="B31">
        <v>216.3</v>
      </c>
      <c r="C31">
        <v>222.37</v>
      </c>
      <c r="D31">
        <v>222.81</v>
      </c>
      <c r="E31">
        <v>212.83</v>
      </c>
      <c r="F31" t="s">
        <v>35</v>
      </c>
      <c r="G31" s="2"/>
    </row>
    <row r="32" spans="1:7" x14ac:dyDescent="0.35">
      <c r="A32" s="1">
        <v>45921</v>
      </c>
      <c r="B32">
        <v>221.26</v>
      </c>
      <c r="C32">
        <v>215.17</v>
      </c>
      <c r="D32">
        <v>224.1</v>
      </c>
      <c r="E32">
        <v>211.43</v>
      </c>
      <c r="F32" t="s">
        <v>36</v>
      </c>
      <c r="G32" s="2"/>
    </row>
    <row r="33" spans="1:7" x14ac:dyDescent="0.35">
      <c r="A33" s="1">
        <v>45914</v>
      </c>
      <c r="B33">
        <v>215.65</v>
      </c>
      <c r="C33">
        <v>216.25</v>
      </c>
      <c r="D33">
        <v>218.05</v>
      </c>
      <c r="E33">
        <v>213.13</v>
      </c>
      <c r="F33" t="s">
        <v>37</v>
      </c>
      <c r="G33" s="2"/>
    </row>
    <row r="34" spans="1:7" x14ac:dyDescent="0.35">
      <c r="A34" s="1">
        <v>45907</v>
      </c>
      <c r="B34">
        <v>215.94</v>
      </c>
      <c r="C34">
        <v>231.7</v>
      </c>
      <c r="D34">
        <v>232.28</v>
      </c>
      <c r="E34">
        <v>215.7</v>
      </c>
      <c r="F34" t="s">
        <v>38</v>
      </c>
      <c r="G34" s="2"/>
    </row>
    <row r="35" spans="1:7" x14ac:dyDescent="0.35">
      <c r="A35" s="1">
        <v>45900</v>
      </c>
      <c r="B35">
        <v>229.61</v>
      </c>
      <c r="C35">
        <v>231.28</v>
      </c>
      <c r="D35">
        <v>238.33</v>
      </c>
      <c r="E35">
        <v>225.5</v>
      </c>
      <c r="F35" t="s">
        <v>39</v>
      </c>
      <c r="G35" s="2"/>
    </row>
    <row r="36" spans="1:7" x14ac:dyDescent="0.35">
      <c r="A36" s="1">
        <v>45893</v>
      </c>
      <c r="B36">
        <v>234.68</v>
      </c>
      <c r="C36">
        <v>229.6</v>
      </c>
      <c r="D36">
        <v>238.05</v>
      </c>
      <c r="E36">
        <v>226.6</v>
      </c>
      <c r="F36" t="s">
        <v>40</v>
      </c>
      <c r="G36" s="2"/>
    </row>
    <row r="37" spans="1:7" x14ac:dyDescent="0.35">
      <c r="A37" s="1">
        <v>45886</v>
      </c>
      <c r="B37">
        <v>230.12</v>
      </c>
      <c r="C37">
        <v>234.47</v>
      </c>
      <c r="D37">
        <v>235.16</v>
      </c>
      <c r="E37">
        <v>223.6</v>
      </c>
      <c r="F37" t="s">
        <v>41</v>
      </c>
      <c r="G37" s="2"/>
    </row>
    <row r="38" spans="1:7" x14ac:dyDescent="0.35">
      <c r="A38" s="1">
        <v>45879</v>
      </c>
      <c r="B38">
        <v>235.26</v>
      </c>
      <c r="C38">
        <v>229</v>
      </c>
      <c r="D38">
        <v>236.45</v>
      </c>
      <c r="E38">
        <v>225.17</v>
      </c>
      <c r="F38" t="s">
        <v>42</v>
      </c>
      <c r="G38" s="2"/>
    </row>
    <row r="39" spans="1:7" x14ac:dyDescent="0.35">
      <c r="A39" s="1">
        <v>45872</v>
      </c>
      <c r="B39">
        <v>229.12</v>
      </c>
      <c r="C39">
        <v>220.15</v>
      </c>
      <c r="D39">
        <v>230.9</v>
      </c>
      <c r="E39">
        <v>218.03</v>
      </c>
      <c r="F39" t="s">
        <v>43</v>
      </c>
      <c r="G39" s="2"/>
    </row>
    <row r="40" spans="1:7" x14ac:dyDescent="0.35">
      <c r="A40" s="1">
        <v>45865</v>
      </c>
      <c r="B40">
        <v>221.9</v>
      </c>
      <c r="C40">
        <v>233.24</v>
      </c>
      <c r="D40">
        <v>242.69</v>
      </c>
      <c r="E40">
        <v>215.9</v>
      </c>
      <c r="F40" t="s">
        <v>44</v>
      </c>
      <c r="G40" s="2"/>
    </row>
    <row r="41" spans="1:7" x14ac:dyDescent="0.35">
      <c r="A41" s="1">
        <v>45858</v>
      </c>
      <c r="B41">
        <v>233.06</v>
      </c>
      <c r="C41">
        <v>229.4</v>
      </c>
      <c r="D41">
        <v>235.27</v>
      </c>
      <c r="E41">
        <v>225.55</v>
      </c>
      <c r="F41" t="s">
        <v>45</v>
      </c>
      <c r="G41" s="2"/>
    </row>
    <row r="42" spans="1:7" x14ac:dyDescent="0.35">
      <c r="A42" s="1">
        <v>45851</v>
      </c>
      <c r="B42">
        <v>229.34</v>
      </c>
      <c r="C42">
        <v>231.4</v>
      </c>
      <c r="D42">
        <v>233.61</v>
      </c>
      <c r="E42">
        <v>227.27</v>
      </c>
      <c r="F42" t="s">
        <v>46</v>
      </c>
      <c r="G42" s="2"/>
    </row>
    <row r="43" spans="1:7" x14ac:dyDescent="0.35">
      <c r="A43" s="1">
        <v>45844</v>
      </c>
      <c r="B43">
        <v>226.84</v>
      </c>
      <c r="C43">
        <v>215.6</v>
      </c>
      <c r="D43">
        <v>230.2</v>
      </c>
      <c r="E43">
        <v>214.5</v>
      </c>
      <c r="F43" t="s">
        <v>47</v>
      </c>
      <c r="G43" s="2"/>
    </row>
    <row r="44" spans="1:7" x14ac:dyDescent="0.35">
      <c r="A44" s="1">
        <v>45837</v>
      </c>
      <c r="B44">
        <v>215.92</v>
      </c>
      <c r="C44">
        <v>213.88</v>
      </c>
      <c r="D44">
        <v>217.68</v>
      </c>
      <c r="E44">
        <v>206.77</v>
      </c>
      <c r="F44" t="s">
        <v>48</v>
      </c>
      <c r="G44" s="2"/>
    </row>
    <row r="45" spans="1:7" x14ac:dyDescent="0.35">
      <c r="A45" s="1">
        <v>45830</v>
      </c>
      <c r="B45">
        <v>214.55</v>
      </c>
      <c r="C45">
        <v>197.82</v>
      </c>
      <c r="D45">
        <v>214.81</v>
      </c>
      <c r="E45">
        <v>197.47</v>
      </c>
      <c r="F45" t="s">
        <v>49</v>
      </c>
      <c r="G45" s="2"/>
    </row>
    <row r="46" spans="1:7" x14ac:dyDescent="0.35">
      <c r="A46" s="1">
        <v>45823</v>
      </c>
      <c r="B46">
        <v>198.75</v>
      </c>
      <c r="C46">
        <v>200.57</v>
      </c>
      <c r="D46">
        <v>205.31</v>
      </c>
      <c r="E46">
        <v>196.8</v>
      </c>
      <c r="F46" t="s">
        <v>50</v>
      </c>
      <c r="G46" s="2"/>
    </row>
    <row r="47" spans="1:7" x14ac:dyDescent="0.35">
      <c r="A47" s="1">
        <v>45816</v>
      </c>
      <c r="B47">
        <v>200.32</v>
      </c>
      <c r="C47">
        <v>211.23</v>
      </c>
      <c r="D47">
        <v>218.8</v>
      </c>
      <c r="E47">
        <v>195.28</v>
      </c>
      <c r="F47" t="s">
        <v>51</v>
      </c>
      <c r="G47" s="2"/>
    </row>
    <row r="48" spans="1:7" x14ac:dyDescent="0.35">
      <c r="A48" s="1">
        <v>45809</v>
      </c>
      <c r="B48">
        <v>210.8</v>
      </c>
      <c r="C48">
        <v>210.98</v>
      </c>
      <c r="D48">
        <v>215.8</v>
      </c>
      <c r="E48">
        <v>207.9</v>
      </c>
      <c r="F48" t="s">
        <v>52</v>
      </c>
      <c r="G48" s="2"/>
    </row>
    <row r="49" spans="1:7" x14ac:dyDescent="0.35">
      <c r="A49" s="1">
        <v>45802</v>
      </c>
      <c r="B49">
        <v>207.32</v>
      </c>
      <c r="C49">
        <v>204.28</v>
      </c>
      <c r="D49">
        <v>212.28</v>
      </c>
      <c r="E49">
        <v>200.21</v>
      </c>
      <c r="F49" t="s">
        <v>53</v>
      </c>
      <c r="G49" s="2"/>
    </row>
    <row r="50" spans="1:7" x14ac:dyDescent="0.35">
      <c r="A50" s="1">
        <v>45795</v>
      </c>
      <c r="B50">
        <v>202.36</v>
      </c>
      <c r="C50">
        <v>203</v>
      </c>
      <c r="D50">
        <v>208.62</v>
      </c>
      <c r="E50">
        <v>198.75</v>
      </c>
      <c r="F50" t="s">
        <v>54</v>
      </c>
      <c r="G50" s="2"/>
    </row>
    <row r="51" spans="1:7" x14ac:dyDescent="0.35">
      <c r="A51" s="1">
        <v>45788</v>
      </c>
      <c r="B51">
        <v>205.82</v>
      </c>
      <c r="C51">
        <v>198.16</v>
      </c>
      <c r="D51">
        <v>209.66</v>
      </c>
      <c r="E51">
        <v>193.06</v>
      </c>
      <c r="F51" t="s">
        <v>55</v>
      </c>
      <c r="G51" s="2"/>
    </row>
    <row r="52" spans="1:7" x14ac:dyDescent="0.35">
      <c r="A52" s="1">
        <v>45781</v>
      </c>
      <c r="B52">
        <v>194.85</v>
      </c>
      <c r="C52">
        <v>184.39</v>
      </c>
      <c r="D52">
        <v>195.3</v>
      </c>
      <c r="E52">
        <v>183.5</v>
      </c>
      <c r="F52" t="s">
        <v>56</v>
      </c>
      <c r="G52" s="2"/>
    </row>
    <row r="53" spans="1:7" x14ac:dyDescent="0.35">
      <c r="A53" s="1">
        <v>45774</v>
      </c>
      <c r="B53">
        <v>185.46</v>
      </c>
      <c r="C53">
        <v>182.75</v>
      </c>
      <c r="D53">
        <v>187.58</v>
      </c>
      <c r="E53">
        <v>177.63</v>
      </c>
      <c r="F53" t="s">
        <v>57</v>
      </c>
      <c r="G53" s="2"/>
    </row>
    <row r="54" spans="1:7" x14ac:dyDescent="0.35">
      <c r="A54" s="1">
        <v>45767</v>
      </c>
      <c r="B54">
        <v>177.95</v>
      </c>
      <c r="C54">
        <v>160</v>
      </c>
      <c r="D54">
        <v>180.32</v>
      </c>
      <c r="E54">
        <v>156.47</v>
      </c>
      <c r="F54" t="s">
        <v>58</v>
      </c>
      <c r="G54" s="2"/>
    </row>
    <row r="55" spans="1:7" x14ac:dyDescent="0.35">
      <c r="A55" s="1">
        <v>45760</v>
      </c>
      <c r="B55">
        <v>161.9</v>
      </c>
      <c r="C55">
        <v>159.82</v>
      </c>
      <c r="D55">
        <v>163.9</v>
      </c>
      <c r="E55">
        <v>153.54</v>
      </c>
      <c r="F55" t="s">
        <v>59</v>
      </c>
      <c r="G55" s="2"/>
    </row>
    <row r="56" spans="1:7" x14ac:dyDescent="0.35">
      <c r="A56" s="1">
        <v>45753</v>
      </c>
      <c r="B56">
        <v>156.84</v>
      </c>
      <c r="C56">
        <v>132.05000000000001</v>
      </c>
      <c r="D56">
        <v>162.43</v>
      </c>
      <c r="E56">
        <v>128.88</v>
      </c>
      <c r="F56" t="s">
        <v>60</v>
      </c>
      <c r="G56" s="2"/>
    </row>
    <row r="57" spans="1:7" x14ac:dyDescent="0.35">
      <c r="A57" s="1">
        <v>45746</v>
      </c>
      <c r="B57">
        <v>136.59</v>
      </c>
      <c r="C57">
        <v>170.65</v>
      </c>
      <c r="D57">
        <v>172.21</v>
      </c>
      <c r="E57">
        <v>132.79</v>
      </c>
      <c r="F57" t="s">
        <v>61</v>
      </c>
      <c r="G57" s="2"/>
    </row>
    <row r="58" spans="1:7" x14ac:dyDescent="0.35">
      <c r="A58" s="1">
        <v>45739</v>
      </c>
      <c r="B58">
        <v>173.31</v>
      </c>
      <c r="C58">
        <v>182.03</v>
      </c>
      <c r="D58">
        <v>184.4</v>
      </c>
      <c r="E58">
        <v>172.45</v>
      </c>
      <c r="F58" t="s">
        <v>62</v>
      </c>
      <c r="G58" s="2"/>
    </row>
    <row r="59" spans="1:7" x14ac:dyDescent="0.35">
      <c r="A59" s="1">
        <v>45732</v>
      </c>
      <c r="B59">
        <v>178.11</v>
      </c>
      <c r="C59">
        <v>160.5</v>
      </c>
      <c r="D59">
        <v>183.46</v>
      </c>
      <c r="E59">
        <v>158.79</v>
      </c>
      <c r="F59" t="s">
        <v>63</v>
      </c>
      <c r="G59" s="2"/>
    </row>
    <row r="60" spans="1:7" x14ac:dyDescent="0.35">
      <c r="A60" s="1">
        <v>45725</v>
      </c>
      <c r="B60">
        <v>161.81</v>
      </c>
      <c r="C60">
        <v>150.03</v>
      </c>
      <c r="D60">
        <v>162.32</v>
      </c>
      <c r="E60">
        <v>145.44999999999999</v>
      </c>
      <c r="F60" t="s">
        <v>64</v>
      </c>
      <c r="G60" s="2"/>
    </row>
    <row r="61" spans="1:7" x14ac:dyDescent="0.35">
      <c r="A61" s="1">
        <v>45718</v>
      </c>
      <c r="B61">
        <v>154.18</v>
      </c>
      <c r="C61">
        <v>177.02</v>
      </c>
      <c r="D61">
        <v>178.4</v>
      </c>
      <c r="E61">
        <v>149.05000000000001</v>
      </c>
      <c r="F61" t="s">
        <v>65</v>
      </c>
      <c r="G61" s="2"/>
    </row>
    <row r="62" spans="1:7" x14ac:dyDescent="0.35">
      <c r="A62" s="1">
        <v>45711</v>
      </c>
      <c r="B62">
        <v>174.63</v>
      </c>
      <c r="C62">
        <v>177.48</v>
      </c>
      <c r="D62">
        <v>183.04</v>
      </c>
      <c r="E62">
        <v>171.83</v>
      </c>
      <c r="F62" t="s">
        <v>66</v>
      </c>
      <c r="G62" s="2"/>
    </row>
    <row r="63" spans="1:7" x14ac:dyDescent="0.35">
      <c r="A63" s="1">
        <v>45704</v>
      </c>
      <c r="B63">
        <v>177.15</v>
      </c>
      <c r="C63">
        <v>185.68</v>
      </c>
      <c r="D63">
        <v>188.66</v>
      </c>
      <c r="E63">
        <v>174.71</v>
      </c>
      <c r="F63" t="s">
        <v>67</v>
      </c>
      <c r="G63" s="2"/>
    </row>
    <row r="64" spans="1:7" x14ac:dyDescent="0.35">
      <c r="A64" s="1">
        <v>45697</v>
      </c>
      <c r="B64">
        <v>184.42</v>
      </c>
      <c r="C64">
        <v>183.12</v>
      </c>
      <c r="D64">
        <v>188.24</v>
      </c>
      <c r="E64">
        <v>177.6</v>
      </c>
      <c r="F64" t="s">
        <v>68</v>
      </c>
      <c r="G64" s="2"/>
    </row>
    <row r="65" spans="1:7" x14ac:dyDescent="0.35">
      <c r="A65" s="1">
        <v>45690</v>
      </c>
      <c r="B65">
        <v>181.49</v>
      </c>
      <c r="C65">
        <v>174.11</v>
      </c>
      <c r="D65">
        <v>186.11</v>
      </c>
      <c r="E65">
        <v>173.13</v>
      </c>
      <c r="F65" t="s">
        <v>69</v>
      </c>
      <c r="G65" s="2"/>
    </row>
    <row r="66" spans="1:7" x14ac:dyDescent="0.35">
      <c r="A66" s="1">
        <v>45683</v>
      </c>
      <c r="B66">
        <v>176.52</v>
      </c>
      <c r="C66">
        <v>175.55</v>
      </c>
      <c r="D66">
        <v>188.48</v>
      </c>
      <c r="E66">
        <v>170.65</v>
      </c>
      <c r="F66" t="s">
        <v>70</v>
      </c>
      <c r="G66" s="2"/>
    </row>
    <row r="67" spans="1:7" x14ac:dyDescent="0.35">
      <c r="A67" s="1">
        <v>45676</v>
      </c>
      <c r="B67">
        <v>176.06</v>
      </c>
      <c r="C67">
        <v>172.38</v>
      </c>
      <c r="D67">
        <v>180.43</v>
      </c>
      <c r="E67">
        <v>171.93</v>
      </c>
      <c r="F67" t="s">
        <v>71</v>
      </c>
      <c r="G67" s="2"/>
    </row>
    <row r="68" spans="1:7" x14ac:dyDescent="0.35">
      <c r="A68" s="1">
        <v>45669</v>
      </c>
      <c r="B68">
        <v>171.09</v>
      </c>
      <c r="C68">
        <v>171.18</v>
      </c>
      <c r="D68">
        <v>172.5</v>
      </c>
      <c r="E68">
        <v>164.62</v>
      </c>
      <c r="F68" t="s">
        <v>72</v>
      </c>
      <c r="G68" s="2"/>
    </row>
    <row r="69" spans="1:7" x14ac:dyDescent="0.35">
      <c r="A69" s="1">
        <v>45662</v>
      </c>
      <c r="B69">
        <v>172</v>
      </c>
      <c r="C69">
        <v>173.5</v>
      </c>
      <c r="D69">
        <v>175.02</v>
      </c>
      <c r="E69">
        <v>167.41</v>
      </c>
      <c r="F69" t="s">
        <v>73</v>
      </c>
      <c r="G69" s="2"/>
    </row>
    <row r="70" spans="1:7" x14ac:dyDescent="0.35">
      <c r="A70" s="1">
        <v>45655</v>
      </c>
      <c r="B70">
        <v>169.9</v>
      </c>
      <c r="C70">
        <v>173.72</v>
      </c>
      <c r="D70">
        <v>179.35</v>
      </c>
      <c r="E70">
        <v>169.8</v>
      </c>
      <c r="F70" t="s">
        <v>74</v>
      </c>
      <c r="G70" s="2"/>
    </row>
    <row r="71" spans="1:7" x14ac:dyDescent="0.35">
      <c r="A71" s="1">
        <v>45648</v>
      </c>
      <c r="B71">
        <v>180.72</v>
      </c>
      <c r="C71">
        <v>178.12</v>
      </c>
      <c r="D71">
        <v>182.57</v>
      </c>
      <c r="E71">
        <v>174.29</v>
      </c>
      <c r="F71" t="s">
        <v>75</v>
      </c>
      <c r="G71" s="2"/>
    </row>
    <row r="72" spans="1:7" x14ac:dyDescent="0.35">
      <c r="A72" s="1">
        <v>45641</v>
      </c>
      <c r="B72">
        <v>177.35</v>
      </c>
      <c r="C72">
        <v>168.09</v>
      </c>
      <c r="D72">
        <v>182</v>
      </c>
      <c r="E72">
        <v>166.1</v>
      </c>
      <c r="F72" t="s">
        <v>76</v>
      </c>
      <c r="G72" s="2"/>
    </row>
    <row r="73" spans="1:7" x14ac:dyDescent="0.35">
      <c r="A73" s="1">
        <v>45634</v>
      </c>
      <c r="B73">
        <v>169.65</v>
      </c>
      <c r="C73">
        <v>154.27000000000001</v>
      </c>
      <c r="D73">
        <v>170.43</v>
      </c>
      <c r="E73">
        <v>154.27000000000001</v>
      </c>
      <c r="F73" t="s">
        <v>77</v>
      </c>
      <c r="G73" s="2"/>
    </row>
    <row r="74" spans="1:7" x14ac:dyDescent="0.35">
      <c r="A74" s="1">
        <v>45627</v>
      </c>
      <c r="B74">
        <v>153.93</v>
      </c>
      <c r="C74">
        <v>155.91</v>
      </c>
      <c r="D74">
        <v>160.35</v>
      </c>
      <c r="E74">
        <v>153.37</v>
      </c>
      <c r="F74" t="s">
        <v>78</v>
      </c>
      <c r="G74" s="2"/>
    </row>
    <row r="75" spans="1:7" x14ac:dyDescent="0.35">
      <c r="A75" s="1">
        <v>45620</v>
      </c>
      <c r="B75">
        <v>155.44</v>
      </c>
      <c r="C75">
        <v>150.69999999999999</v>
      </c>
      <c r="D75">
        <v>157.5</v>
      </c>
      <c r="E75">
        <v>149.80000000000001</v>
      </c>
      <c r="F75" t="s">
        <v>79</v>
      </c>
      <c r="G75" s="2"/>
    </row>
    <row r="76" spans="1:7" x14ac:dyDescent="0.35">
      <c r="A76" s="1">
        <v>45613</v>
      </c>
      <c r="B76">
        <v>149.29</v>
      </c>
      <c r="C76">
        <v>140.26</v>
      </c>
      <c r="D76">
        <v>150.34</v>
      </c>
      <c r="E76">
        <v>138.19999999999999</v>
      </c>
      <c r="F76" t="s">
        <v>80</v>
      </c>
      <c r="G76" s="2"/>
    </row>
    <row r="77" spans="1:7" x14ac:dyDescent="0.35">
      <c r="A77" s="1">
        <v>45606</v>
      </c>
      <c r="B77">
        <v>140.19</v>
      </c>
      <c r="C77">
        <v>152</v>
      </c>
      <c r="D77">
        <v>152.5</v>
      </c>
      <c r="E77">
        <v>137.03</v>
      </c>
      <c r="F77" t="s">
        <v>81</v>
      </c>
      <c r="G77" s="2"/>
    </row>
    <row r="78" spans="1:7" x14ac:dyDescent="0.35">
      <c r="A78" s="1">
        <v>45599</v>
      </c>
      <c r="B78">
        <v>151.68</v>
      </c>
      <c r="C78">
        <v>154.62</v>
      </c>
      <c r="D78">
        <v>157.66</v>
      </c>
      <c r="E78">
        <v>144.13</v>
      </c>
      <c r="F78" t="s">
        <v>82</v>
      </c>
      <c r="G78" s="2"/>
    </row>
    <row r="79" spans="1:7" x14ac:dyDescent="0.35">
      <c r="A79" s="1">
        <v>45592</v>
      </c>
      <c r="B79">
        <v>154.59</v>
      </c>
      <c r="C79">
        <v>153.5</v>
      </c>
      <c r="D79">
        <v>156.91</v>
      </c>
      <c r="E79">
        <v>147.58000000000001</v>
      </c>
      <c r="F79" t="s">
        <v>83</v>
      </c>
      <c r="G79" s="2"/>
    </row>
    <row r="80" spans="1:7" x14ac:dyDescent="0.35">
      <c r="A80" s="1">
        <v>45585</v>
      </c>
      <c r="B80">
        <v>155.01</v>
      </c>
      <c r="C80">
        <v>160.25</v>
      </c>
      <c r="D80">
        <v>163.44</v>
      </c>
      <c r="E80">
        <v>151.97999999999999</v>
      </c>
      <c r="F80" t="s">
        <v>84</v>
      </c>
      <c r="G80" s="2"/>
    </row>
    <row r="81" spans="1:7" x14ac:dyDescent="0.35">
      <c r="A81" s="1">
        <v>45578</v>
      </c>
      <c r="B81">
        <v>155</v>
      </c>
      <c r="C81">
        <v>148</v>
      </c>
      <c r="D81">
        <v>157.13999999999999</v>
      </c>
      <c r="E81">
        <v>146.02000000000001</v>
      </c>
      <c r="F81" t="s">
        <v>85</v>
      </c>
      <c r="G81" s="2"/>
    </row>
    <row r="82" spans="1:7" x14ac:dyDescent="0.35">
      <c r="A82" s="1">
        <v>45571</v>
      </c>
      <c r="B82">
        <v>151.02000000000001</v>
      </c>
      <c r="C82">
        <v>155</v>
      </c>
      <c r="D82">
        <v>158.76</v>
      </c>
      <c r="E82">
        <v>146.26</v>
      </c>
      <c r="F82" t="s">
        <v>86</v>
      </c>
      <c r="G82" s="2"/>
    </row>
    <row r="83" spans="1:7" x14ac:dyDescent="0.35">
      <c r="A83" s="1">
        <v>45564</v>
      </c>
      <c r="B83">
        <v>155</v>
      </c>
      <c r="C83">
        <v>154.79</v>
      </c>
      <c r="D83">
        <v>156.4</v>
      </c>
      <c r="E83">
        <v>149.49</v>
      </c>
      <c r="F83" t="s">
        <v>87</v>
      </c>
      <c r="G83" s="2"/>
    </row>
    <row r="84" spans="1:7" x14ac:dyDescent="0.35">
      <c r="A84" s="1">
        <v>45557</v>
      </c>
      <c r="B84">
        <v>156.32</v>
      </c>
      <c r="C84">
        <v>153</v>
      </c>
      <c r="D84">
        <v>158.43</v>
      </c>
      <c r="E84">
        <v>151.65</v>
      </c>
      <c r="F84" t="s">
        <v>88</v>
      </c>
      <c r="G84" s="2"/>
    </row>
    <row r="85" spans="1:7" x14ac:dyDescent="0.35">
      <c r="A85" s="1">
        <v>45550</v>
      </c>
      <c r="B85">
        <v>153.29</v>
      </c>
      <c r="C85">
        <v>156.25</v>
      </c>
      <c r="D85">
        <v>158.88</v>
      </c>
      <c r="E85">
        <v>152.6</v>
      </c>
      <c r="F85" t="s">
        <v>89</v>
      </c>
      <c r="G85" s="2"/>
    </row>
    <row r="86" spans="1:7" x14ac:dyDescent="0.35">
      <c r="A86" s="1">
        <v>45543</v>
      </c>
      <c r="B86">
        <v>156.77000000000001</v>
      </c>
      <c r="C86">
        <v>162.30000000000001</v>
      </c>
      <c r="D86">
        <v>164.55</v>
      </c>
      <c r="E86">
        <v>155.6</v>
      </c>
      <c r="F86" t="s">
        <v>90</v>
      </c>
      <c r="G86" s="2"/>
    </row>
    <row r="87" spans="1:7" x14ac:dyDescent="0.35">
      <c r="A87" s="1">
        <v>45536</v>
      </c>
      <c r="B87">
        <v>157.62</v>
      </c>
      <c r="C87">
        <v>167.03</v>
      </c>
      <c r="D87">
        <v>169.6</v>
      </c>
      <c r="E87">
        <v>156.69999999999999</v>
      </c>
      <c r="F87" t="s">
        <v>91</v>
      </c>
      <c r="G87" s="2"/>
    </row>
    <row r="88" spans="1:7" x14ac:dyDescent="0.35">
      <c r="A88" s="1">
        <v>45529</v>
      </c>
      <c r="B88">
        <v>173.74</v>
      </c>
      <c r="C88">
        <v>173</v>
      </c>
      <c r="D88">
        <v>175.28</v>
      </c>
      <c r="E88">
        <v>170.15</v>
      </c>
      <c r="F88" t="s">
        <v>92</v>
      </c>
      <c r="G88" s="2"/>
    </row>
    <row r="89" spans="1:7" x14ac:dyDescent="0.35">
      <c r="A89" s="1">
        <v>45522</v>
      </c>
      <c r="B89">
        <v>174.96</v>
      </c>
      <c r="C89">
        <v>180.04</v>
      </c>
      <c r="D89">
        <v>180.7</v>
      </c>
      <c r="E89">
        <v>170.04</v>
      </c>
      <c r="F89" t="s">
        <v>93</v>
      </c>
      <c r="G89" s="2"/>
    </row>
    <row r="90" spans="1:7" x14ac:dyDescent="0.35">
      <c r="A90" s="1">
        <v>45515</v>
      </c>
      <c r="B90">
        <v>179.99</v>
      </c>
      <c r="C90">
        <v>167.73</v>
      </c>
      <c r="D90">
        <v>180.51</v>
      </c>
      <c r="E90">
        <v>162.62</v>
      </c>
      <c r="F90" t="s">
        <v>94</v>
      </c>
      <c r="G90" s="2"/>
    </row>
    <row r="91" spans="1:7" x14ac:dyDescent="0.35">
      <c r="A91" s="1">
        <v>45508</v>
      </c>
      <c r="B91">
        <v>167.91</v>
      </c>
      <c r="C91">
        <v>162.52000000000001</v>
      </c>
      <c r="D91">
        <v>169.85</v>
      </c>
      <c r="E91">
        <v>162.5</v>
      </c>
      <c r="F91" t="s">
        <v>95</v>
      </c>
      <c r="G91" s="2"/>
    </row>
    <row r="92" spans="1:7" x14ac:dyDescent="0.35">
      <c r="A92" s="1">
        <v>45501</v>
      </c>
      <c r="B92">
        <v>169.95</v>
      </c>
      <c r="C92">
        <v>186.7</v>
      </c>
      <c r="D92">
        <v>196.95</v>
      </c>
      <c r="E92">
        <v>167.25</v>
      </c>
      <c r="F92" t="s">
        <v>96</v>
      </c>
      <c r="G92" s="2"/>
    </row>
    <row r="93" spans="1:7" x14ac:dyDescent="0.35">
      <c r="A93" s="1">
        <v>45494</v>
      </c>
      <c r="B93">
        <v>186.89</v>
      </c>
      <c r="C93">
        <v>181.36</v>
      </c>
      <c r="D93">
        <v>189.59</v>
      </c>
      <c r="E93">
        <v>177.23</v>
      </c>
      <c r="F93" t="s">
        <v>97</v>
      </c>
      <c r="G93" s="2"/>
    </row>
    <row r="94" spans="1:7" x14ac:dyDescent="0.35">
      <c r="A94" s="1">
        <v>45487</v>
      </c>
      <c r="B94">
        <v>179.67</v>
      </c>
      <c r="C94">
        <v>183.5</v>
      </c>
      <c r="D94">
        <v>188.45</v>
      </c>
      <c r="E94">
        <v>177.39</v>
      </c>
      <c r="F94" t="s">
        <v>98</v>
      </c>
      <c r="G94" s="2"/>
    </row>
    <row r="95" spans="1:7" x14ac:dyDescent="0.35">
      <c r="A95" s="1">
        <v>45480</v>
      </c>
      <c r="B95">
        <v>182.31</v>
      </c>
      <c r="C95">
        <v>186.94</v>
      </c>
      <c r="D95">
        <v>191.5</v>
      </c>
      <c r="E95">
        <v>180.45</v>
      </c>
      <c r="F95" t="s">
        <v>99</v>
      </c>
      <c r="G95" s="2"/>
    </row>
    <row r="96" spans="1:7" x14ac:dyDescent="0.35">
      <c r="A96" s="1">
        <v>45473</v>
      </c>
      <c r="B96">
        <v>184.83</v>
      </c>
      <c r="C96">
        <v>182.2</v>
      </c>
      <c r="D96">
        <v>189.47</v>
      </c>
      <c r="E96">
        <v>182.2</v>
      </c>
      <c r="F96" t="s">
        <v>100</v>
      </c>
      <c r="G96" s="2"/>
    </row>
    <row r="97" spans="1:7" x14ac:dyDescent="0.35">
      <c r="A97" s="1">
        <v>45466</v>
      </c>
      <c r="B97">
        <v>182.01</v>
      </c>
      <c r="C97">
        <v>176.15</v>
      </c>
      <c r="D97">
        <v>184.43</v>
      </c>
      <c r="E97">
        <v>173.29</v>
      </c>
      <c r="F97" t="s">
        <v>101</v>
      </c>
      <c r="G97" s="2"/>
    </row>
    <row r="98" spans="1:7" x14ac:dyDescent="0.35">
      <c r="A98" s="1">
        <v>45459</v>
      </c>
      <c r="B98">
        <v>176.56</v>
      </c>
      <c r="C98">
        <v>176.75</v>
      </c>
      <c r="D98">
        <v>180.45</v>
      </c>
      <c r="E98">
        <v>172.04</v>
      </c>
      <c r="F98" t="s">
        <v>102</v>
      </c>
      <c r="G98" s="2"/>
    </row>
    <row r="99" spans="1:7" x14ac:dyDescent="0.35">
      <c r="A99" s="1">
        <v>45452</v>
      </c>
      <c r="B99">
        <v>177.27</v>
      </c>
      <c r="C99">
        <v>190</v>
      </c>
      <c r="D99">
        <v>192.63</v>
      </c>
      <c r="E99">
        <v>175.22</v>
      </c>
      <c r="F99" t="s">
        <v>103</v>
      </c>
      <c r="G99" s="2"/>
    </row>
    <row r="100" spans="1:7" x14ac:dyDescent="0.35">
      <c r="A100" s="1">
        <v>45445</v>
      </c>
      <c r="B100">
        <v>190.24</v>
      </c>
      <c r="C100">
        <v>178.09</v>
      </c>
      <c r="D100">
        <v>192.1</v>
      </c>
      <c r="E100">
        <v>178.02</v>
      </c>
      <c r="F100" t="s">
        <v>104</v>
      </c>
      <c r="G100" s="2"/>
    </row>
    <row r="101" spans="1:7" x14ac:dyDescent="0.35">
      <c r="A101" s="1">
        <v>45438</v>
      </c>
      <c r="B101">
        <v>177.61</v>
      </c>
      <c r="C101">
        <v>174.73</v>
      </c>
      <c r="D101">
        <v>178.49</v>
      </c>
      <c r="E101">
        <v>171.55</v>
      </c>
      <c r="F101" t="s">
        <v>105</v>
      </c>
      <c r="G101" s="2"/>
    </row>
    <row r="102" spans="1:7" x14ac:dyDescent="0.35">
      <c r="A102" s="1">
        <v>45431</v>
      </c>
      <c r="B102">
        <v>174.52</v>
      </c>
      <c r="C102">
        <v>184.65</v>
      </c>
      <c r="D102">
        <v>188.63</v>
      </c>
      <c r="E102">
        <v>169.57</v>
      </c>
      <c r="F102" t="s">
        <v>106</v>
      </c>
      <c r="G102" s="2"/>
    </row>
    <row r="103" spans="1:7" x14ac:dyDescent="0.35">
      <c r="A103" s="1">
        <v>45424</v>
      </c>
      <c r="B103">
        <v>184.95</v>
      </c>
      <c r="C103">
        <v>179.04</v>
      </c>
      <c r="D103">
        <v>185.38</v>
      </c>
      <c r="E103">
        <v>176.17</v>
      </c>
      <c r="F103" t="s">
        <v>107</v>
      </c>
      <c r="G103" s="2"/>
    </row>
    <row r="104" spans="1:7" x14ac:dyDescent="0.35">
      <c r="A104" s="1">
        <v>45417</v>
      </c>
      <c r="B104">
        <v>178.51</v>
      </c>
      <c r="C104">
        <v>180.88</v>
      </c>
      <c r="D104">
        <v>183.98</v>
      </c>
      <c r="E104">
        <v>174.71</v>
      </c>
      <c r="F104" t="s">
        <v>108</v>
      </c>
      <c r="G104" s="2"/>
    </row>
    <row r="105" spans="1:7" x14ac:dyDescent="0.35">
      <c r="A105" s="1">
        <v>45410</v>
      </c>
      <c r="B105">
        <v>179.79</v>
      </c>
      <c r="C105">
        <v>167.9</v>
      </c>
      <c r="D105">
        <v>180.49</v>
      </c>
      <c r="E105">
        <v>167.5</v>
      </c>
      <c r="F105" t="s">
        <v>109</v>
      </c>
      <c r="G105" s="2"/>
    </row>
    <row r="106" spans="1:7" x14ac:dyDescent="0.35">
      <c r="A106" s="1">
        <v>45403</v>
      </c>
      <c r="B106">
        <v>167.22</v>
      </c>
      <c r="C106">
        <v>169.82</v>
      </c>
      <c r="D106">
        <v>177.64</v>
      </c>
      <c r="E106">
        <v>159.69999999999999</v>
      </c>
      <c r="F106" t="s">
        <v>110</v>
      </c>
      <c r="G106" s="2"/>
    </row>
    <row r="107" spans="1:7" x14ac:dyDescent="0.35">
      <c r="A107" s="1">
        <v>45396</v>
      </c>
      <c r="B107">
        <v>169.82</v>
      </c>
      <c r="C107">
        <v>170.74</v>
      </c>
      <c r="D107">
        <v>172.04</v>
      </c>
      <c r="E107">
        <v>167.53</v>
      </c>
      <c r="F107" t="s">
        <v>111</v>
      </c>
      <c r="G107" s="2"/>
    </row>
    <row r="108" spans="1:7" x14ac:dyDescent="0.35">
      <c r="A108" s="1">
        <v>45389</v>
      </c>
      <c r="B108">
        <v>169.55</v>
      </c>
      <c r="C108">
        <v>182.14</v>
      </c>
      <c r="D108">
        <v>184.55</v>
      </c>
      <c r="E108">
        <v>169.37</v>
      </c>
      <c r="F108" t="s">
        <v>112</v>
      </c>
      <c r="G108" s="2"/>
    </row>
    <row r="109" spans="1:7" x14ac:dyDescent="0.35">
      <c r="A109" s="1">
        <v>45382</v>
      </c>
      <c r="B109">
        <v>183.14</v>
      </c>
      <c r="C109">
        <v>192.24</v>
      </c>
      <c r="D109">
        <v>192.87</v>
      </c>
      <c r="E109">
        <v>182.44</v>
      </c>
      <c r="F109" t="s">
        <v>113</v>
      </c>
      <c r="G109" s="2"/>
    </row>
    <row r="110" spans="1:7" x14ac:dyDescent="0.35">
      <c r="A110" s="1">
        <v>45375</v>
      </c>
      <c r="B110">
        <v>192.99</v>
      </c>
      <c r="C110">
        <v>196.01</v>
      </c>
      <c r="D110">
        <v>196.18</v>
      </c>
      <c r="E110">
        <v>186.81</v>
      </c>
      <c r="F110" t="s">
        <v>114</v>
      </c>
      <c r="G110" s="2"/>
    </row>
    <row r="111" spans="1:7" x14ac:dyDescent="0.35">
      <c r="A111" s="1">
        <v>45368</v>
      </c>
      <c r="B111">
        <v>188.85</v>
      </c>
      <c r="C111">
        <v>180.26</v>
      </c>
      <c r="D111">
        <v>192.94</v>
      </c>
      <c r="E111">
        <v>177.52</v>
      </c>
      <c r="F111" t="s">
        <v>115</v>
      </c>
      <c r="G111" s="2"/>
    </row>
    <row r="112" spans="1:7" x14ac:dyDescent="0.35">
      <c r="A112" s="1">
        <v>45361</v>
      </c>
      <c r="B112">
        <v>182.53</v>
      </c>
      <c r="C112">
        <v>194.21</v>
      </c>
      <c r="D112">
        <v>196.07</v>
      </c>
      <c r="E112">
        <v>180.52</v>
      </c>
      <c r="F112" t="s">
        <v>116</v>
      </c>
      <c r="G112" s="2"/>
    </row>
    <row r="113" spans="1:7" x14ac:dyDescent="0.35">
      <c r="A113" s="1">
        <v>45354</v>
      </c>
      <c r="B113">
        <v>198.49</v>
      </c>
      <c r="C113">
        <v>199.5</v>
      </c>
      <c r="D113">
        <v>203.8</v>
      </c>
      <c r="E113">
        <v>196.92</v>
      </c>
      <c r="F113" t="s">
        <v>117</v>
      </c>
      <c r="G113" s="2"/>
    </row>
    <row r="114" spans="1:7" x14ac:dyDescent="0.35">
      <c r="A114" s="1">
        <v>45347</v>
      </c>
      <c r="B114">
        <v>200</v>
      </c>
      <c r="C114">
        <v>201.01</v>
      </c>
      <c r="D114">
        <v>208.1</v>
      </c>
      <c r="E114">
        <v>199.01</v>
      </c>
      <c r="F114" t="s">
        <v>118</v>
      </c>
      <c r="G114" s="2"/>
    </row>
    <row r="115" spans="1:7" x14ac:dyDescent="0.35">
      <c r="A115" s="1">
        <v>45340</v>
      </c>
      <c r="B115">
        <v>200.83</v>
      </c>
      <c r="C115">
        <v>203.55</v>
      </c>
      <c r="D115">
        <v>205.58</v>
      </c>
      <c r="E115">
        <v>197.15</v>
      </c>
      <c r="F115" t="s">
        <v>119</v>
      </c>
      <c r="G115" s="2"/>
    </row>
    <row r="116" spans="1:7" x14ac:dyDescent="0.35">
      <c r="A116" s="1">
        <v>45333</v>
      </c>
      <c r="B116">
        <v>203.89</v>
      </c>
      <c r="C116">
        <v>208.7</v>
      </c>
      <c r="D116">
        <v>209.8</v>
      </c>
      <c r="E116">
        <v>202.21</v>
      </c>
      <c r="F116" t="s">
        <v>120</v>
      </c>
      <c r="G116" s="2"/>
    </row>
    <row r="117" spans="1:7" x14ac:dyDescent="0.35">
      <c r="A117" s="1">
        <v>45326</v>
      </c>
      <c r="B117">
        <v>209.2</v>
      </c>
      <c r="C117">
        <v>204.64</v>
      </c>
      <c r="D117">
        <v>213.77</v>
      </c>
      <c r="E117">
        <v>202</v>
      </c>
      <c r="F117" t="s">
        <v>121</v>
      </c>
      <c r="G117" s="2"/>
    </row>
    <row r="118" spans="1:7" x14ac:dyDescent="0.35">
      <c r="A118" s="1">
        <v>45319</v>
      </c>
      <c r="B118">
        <v>209.38</v>
      </c>
      <c r="C118">
        <v>206.06</v>
      </c>
      <c r="D118">
        <v>214.63</v>
      </c>
      <c r="E118">
        <v>199.14</v>
      </c>
      <c r="F118" t="s">
        <v>122</v>
      </c>
      <c r="G118" s="2"/>
    </row>
    <row r="119" spans="1:7" x14ac:dyDescent="0.35">
      <c r="A119" s="1">
        <v>45312</v>
      </c>
      <c r="B119">
        <v>205.47</v>
      </c>
      <c r="C119">
        <v>213.07</v>
      </c>
      <c r="D119">
        <v>217.59</v>
      </c>
      <c r="E119">
        <v>198.32</v>
      </c>
      <c r="F119" t="s">
        <v>123</v>
      </c>
      <c r="G119" s="2"/>
    </row>
    <row r="120" spans="1:7" x14ac:dyDescent="0.35">
      <c r="A120" s="1">
        <v>45305</v>
      </c>
      <c r="B120">
        <v>215.02</v>
      </c>
      <c r="C120">
        <v>210.07</v>
      </c>
      <c r="D120">
        <v>215.16</v>
      </c>
      <c r="E120">
        <v>199.5</v>
      </c>
      <c r="F120" t="s">
        <v>124</v>
      </c>
      <c r="G120" s="2"/>
    </row>
    <row r="121" spans="1:7" x14ac:dyDescent="0.35">
      <c r="A121" s="1">
        <v>45298</v>
      </c>
      <c r="B121">
        <v>217.7</v>
      </c>
      <c r="C121">
        <v>228</v>
      </c>
      <c r="D121">
        <v>233.85</v>
      </c>
      <c r="E121">
        <v>217.04</v>
      </c>
      <c r="F121" t="s">
        <v>125</v>
      </c>
      <c r="G121" s="2"/>
    </row>
    <row r="122" spans="1:7" x14ac:dyDescent="0.35">
      <c r="A122" s="1">
        <v>45291</v>
      </c>
      <c r="B122">
        <v>249</v>
      </c>
      <c r="C122">
        <v>257.27999999999997</v>
      </c>
      <c r="D122">
        <v>258.58999999999997</v>
      </c>
      <c r="E122">
        <v>243</v>
      </c>
      <c r="F122" t="s">
        <v>126</v>
      </c>
      <c r="G122" s="2"/>
    </row>
    <row r="123" spans="1:7" x14ac:dyDescent="0.35">
      <c r="A123" s="1">
        <v>45284</v>
      </c>
      <c r="B123">
        <v>260.66000000000003</v>
      </c>
      <c r="C123">
        <v>259.8</v>
      </c>
      <c r="D123">
        <v>264.66000000000003</v>
      </c>
      <c r="E123">
        <v>257.68</v>
      </c>
      <c r="F123" t="s">
        <v>127</v>
      </c>
      <c r="G123" s="2"/>
    </row>
    <row r="124" spans="1:7" x14ac:dyDescent="0.35">
      <c r="A124" s="1">
        <v>45277</v>
      </c>
      <c r="B124">
        <v>260.44</v>
      </c>
      <c r="C124">
        <v>260.63</v>
      </c>
      <c r="D124">
        <v>267.54000000000002</v>
      </c>
      <c r="E124">
        <v>259.2</v>
      </c>
      <c r="F124" t="s">
        <v>128</v>
      </c>
      <c r="G124" s="2"/>
    </row>
    <row r="125" spans="1:7" x14ac:dyDescent="0.35">
      <c r="A125" s="1">
        <v>45270</v>
      </c>
      <c r="B125">
        <v>264.27</v>
      </c>
      <c r="C125">
        <v>243.5</v>
      </c>
      <c r="D125">
        <v>265.52</v>
      </c>
      <c r="E125">
        <v>243.31</v>
      </c>
      <c r="F125" t="s">
        <v>85</v>
      </c>
      <c r="G125" s="2"/>
    </row>
    <row r="126" spans="1:7" x14ac:dyDescent="0.35">
      <c r="A126" s="1">
        <v>45263</v>
      </c>
      <c r="B126">
        <v>244.7</v>
      </c>
      <c r="C126">
        <v>231.3</v>
      </c>
      <c r="D126">
        <v>244.7</v>
      </c>
      <c r="E126">
        <v>230</v>
      </c>
      <c r="F126" t="s">
        <v>129</v>
      </c>
      <c r="G126" s="2"/>
    </row>
    <row r="127" spans="1:7" x14ac:dyDescent="0.35">
      <c r="A127" s="1">
        <v>45256</v>
      </c>
      <c r="B127">
        <v>233.87</v>
      </c>
      <c r="C127">
        <v>218.81</v>
      </c>
      <c r="D127">
        <v>235.38</v>
      </c>
      <c r="E127">
        <v>217.66</v>
      </c>
      <c r="F127" t="s">
        <v>130</v>
      </c>
      <c r="G127" s="2"/>
    </row>
    <row r="128" spans="1:7" x14ac:dyDescent="0.35">
      <c r="A128" s="1">
        <v>45249</v>
      </c>
      <c r="B128">
        <v>220</v>
      </c>
      <c r="C128">
        <v>211.01</v>
      </c>
      <c r="D128">
        <v>221.59</v>
      </c>
      <c r="E128">
        <v>210.94</v>
      </c>
      <c r="F128" t="s">
        <v>131</v>
      </c>
      <c r="G128" s="2"/>
    </row>
    <row r="129" spans="1:7" x14ac:dyDescent="0.35">
      <c r="A129" s="1">
        <v>45242</v>
      </c>
      <c r="B129">
        <v>208.04</v>
      </c>
      <c r="C129">
        <v>203.49</v>
      </c>
      <c r="D129">
        <v>211.09</v>
      </c>
      <c r="E129">
        <v>202.51</v>
      </c>
      <c r="F129" t="s">
        <v>132</v>
      </c>
      <c r="G129" s="2"/>
    </row>
    <row r="130" spans="1:7" x14ac:dyDescent="0.35">
      <c r="A130" s="1">
        <v>45235</v>
      </c>
      <c r="B130">
        <v>196.65</v>
      </c>
      <c r="C130">
        <v>195.88</v>
      </c>
      <c r="D130">
        <v>197.26</v>
      </c>
      <c r="E130">
        <v>189.57</v>
      </c>
      <c r="F130" t="s">
        <v>133</v>
      </c>
      <c r="G130" s="2"/>
    </row>
    <row r="131" spans="1:7" x14ac:dyDescent="0.35">
      <c r="A131" s="1">
        <v>45228</v>
      </c>
      <c r="B131">
        <v>195.05</v>
      </c>
      <c r="C131">
        <v>179.42</v>
      </c>
      <c r="D131">
        <v>197.14</v>
      </c>
      <c r="E131">
        <v>179.42</v>
      </c>
      <c r="F131" t="s">
        <v>134</v>
      </c>
      <c r="G131" s="2"/>
    </row>
    <row r="132" spans="1:7" x14ac:dyDescent="0.35">
      <c r="A132" s="1">
        <v>45221</v>
      </c>
      <c r="B132">
        <v>179.69</v>
      </c>
      <c r="C132">
        <v>179.44</v>
      </c>
      <c r="D132">
        <v>187</v>
      </c>
      <c r="E132">
        <v>176.25</v>
      </c>
      <c r="F132" t="s">
        <v>135</v>
      </c>
      <c r="G132" s="2"/>
    </row>
    <row r="133" spans="1:7" x14ac:dyDescent="0.35">
      <c r="A133" s="1">
        <v>45214</v>
      </c>
      <c r="B133">
        <v>180.04</v>
      </c>
      <c r="C133">
        <v>185.91</v>
      </c>
      <c r="D133">
        <v>190.25</v>
      </c>
      <c r="E133">
        <v>179.85</v>
      </c>
      <c r="F133" t="s">
        <v>136</v>
      </c>
      <c r="G133" s="2"/>
    </row>
    <row r="134" spans="1:7" x14ac:dyDescent="0.35">
      <c r="A134" s="1">
        <v>45207</v>
      </c>
      <c r="B134">
        <v>184.91</v>
      </c>
      <c r="C134">
        <v>188</v>
      </c>
      <c r="D134">
        <v>199.62</v>
      </c>
      <c r="E134">
        <v>183.18</v>
      </c>
      <c r="F134" t="s">
        <v>137</v>
      </c>
      <c r="G134" s="2"/>
    </row>
    <row r="135" spans="1:7" x14ac:dyDescent="0.35">
      <c r="A135" s="1">
        <v>45200</v>
      </c>
      <c r="B135">
        <v>187.38</v>
      </c>
      <c r="C135">
        <v>191.47</v>
      </c>
      <c r="D135">
        <v>192.49</v>
      </c>
      <c r="E135">
        <v>182.55</v>
      </c>
      <c r="F135" t="s">
        <v>138</v>
      </c>
      <c r="G135" s="2"/>
    </row>
    <row r="136" spans="1:7" x14ac:dyDescent="0.35">
      <c r="A136" s="1">
        <v>45193</v>
      </c>
      <c r="B136">
        <v>191.68</v>
      </c>
      <c r="C136">
        <v>196.84</v>
      </c>
      <c r="D136">
        <v>199.39</v>
      </c>
      <c r="E136">
        <v>190.03</v>
      </c>
      <c r="F136" t="s">
        <v>139</v>
      </c>
      <c r="G136" s="2"/>
    </row>
    <row r="137" spans="1:7" x14ac:dyDescent="0.35">
      <c r="A137" s="1">
        <v>45186</v>
      </c>
      <c r="B137">
        <v>197.71</v>
      </c>
      <c r="C137">
        <v>207.91</v>
      </c>
      <c r="D137">
        <v>207.91</v>
      </c>
      <c r="E137">
        <v>197.14</v>
      </c>
      <c r="F137" t="s">
        <v>140</v>
      </c>
      <c r="G137" s="2"/>
    </row>
    <row r="138" spans="1:7" x14ac:dyDescent="0.35">
      <c r="A138" s="1">
        <v>45179</v>
      </c>
      <c r="B138">
        <v>208.11</v>
      </c>
      <c r="C138">
        <v>213.76</v>
      </c>
      <c r="D138">
        <v>214.2</v>
      </c>
      <c r="E138">
        <v>206.88</v>
      </c>
      <c r="F138" t="s">
        <v>141</v>
      </c>
      <c r="G138" s="2"/>
    </row>
    <row r="139" spans="1:7" x14ac:dyDescent="0.35">
      <c r="A139" s="1">
        <v>45172</v>
      </c>
      <c r="B139">
        <v>211.27</v>
      </c>
      <c r="C139">
        <v>223.1</v>
      </c>
      <c r="D139">
        <v>224.09</v>
      </c>
      <c r="E139">
        <v>210.51</v>
      </c>
      <c r="F139" t="s">
        <v>142</v>
      </c>
      <c r="G139" s="2"/>
    </row>
    <row r="140" spans="1:7" x14ac:dyDescent="0.35">
      <c r="A140" s="1">
        <v>45165</v>
      </c>
      <c r="B140">
        <v>223.4</v>
      </c>
      <c r="C140">
        <v>224.21</v>
      </c>
      <c r="D140">
        <v>231.17</v>
      </c>
      <c r="E140">
        <v>221.95</v>
      </c>
      <c r="F140" t="s">
        <v>143</v>
      </c>
      <c r="G140" s="2"/>
    </row>
    <row r="141" spans="1:7" x14ac:dyDescent="0.35">
      <c r="A141" s="1">
        <v>45158</v>
      </c>
      <c r="B141">
        <v>223.41</v>
      </c>
      <c r="C141">
        <v>226.8</v>
      </c>
      <c r="D141">
        <v>230.54</v>
      </c>
      <c r="E141">
        <v>212.88</v>
      </c>
      <c r="F141" t="s">
        <v>144</v>
      </c>
      <c r="G141" s="2"/>
    </row>
    <row r="142" spans="1:7" x14ac:dyDescent="0.35">
      <c r="A142" s="1">
        <v>45151</v>
      </c>
      <c r="B142">
        <v>226.65</v>
      </c>
      <c r="C142">
        <v>237</v>
      </c>
      <c r="D142">
        <v>238.65</v>
      </c>
      <c r="E142">
        <v>221.68</v>
      </c>
      <c r="F142" t="s">
        <v>145</v>
      </c>
      <c r="G142" s="2"/>
    </row>
    <row r="143" spans="1:7" x14ac:dyDescent="0.35">
      <c r="A143" s="1">
        <v>45144</v>
      </c>
      <c r="B143">
        <v>235.72</v>
      </c>
      <c r="C143">
        <v>232.74</v>
      </c>
      <c r="D143">
        <v>241.58</v>
      </c>
      <c r="E143">
        <v>232.74</v>
      </c>
      <c r="F143" t="s">
        <v>146</v>
      </c>
      <c r="G143" s="2"/>
    </row>
    <row r="144" spans="1:7" x14ac:dyDescent="0.35">
      <c r="A144" s="1">
        <v>45137</v>
      </c>
      <c r="B144">
        <v>231.36</v>
      </c>
      <c r="C144">
        <v>238.99</v>
      </c>
      <c r="D144">
        <v>243.1</v>
      </c>
      <c r="E144">
        <v>230.08</v>
      </c>
      <c r="F144" t="s">
        <v>147</v>
      </c>
      <c r="G144" s="2"/>
    </row>
    <row r="145" spans="1:7" x14ac:dyDescent="0.35">
      <c r="A145" s="1">
        <v>45130</v>
      </c>
      <c r="B145">
        <v>238.69</v>
      </c>
      <c r="C145">
        <v>212.06</v>
      </c>
      <c r="D145">
        <v>240.13</v>
      </c>
      <c r="E145">
        <v>210.81</v>
      </c>
      <c r="F145" t="s">
        <v>148</v>
      </c>
      <c r="G145" s="2"/>
    </row>
    <row r="146" spans="1:7" x14ac:dyDescent="0.35">
      <c r="A146" s="1">
        <v>45123</v>
      </c>
      <c r="B146">
        <v>211.8</v>
      </c>
      <c r="C146">
        <v>212.5</v>
      </c>
      <c r="D146">
        <v>215.6</v>
      </c>
      <c r="E146">
        <v>208.24</v>
      </c>
      <c r="F146" t="s">
        <v>149</v>
      </c>
      <c r="G146" s="2"/>
    </row>
    <row r="147" spans="1:7" x14ac:dyDescent="0.35">
      <c r="A147" s="1">
        <v>45116</v>
      </c>
      <c r="B147">
        <v>213.12</v>
      </c>
      <c r="C147">
        <v>211.84</v>
      </c>
      <c r="D147">
        <v>221.56</v>
      </c>
      <c r="E147">
        <v>211.22</v>
      </c>
      <c r="F147" t="s">
        <v>150</v>
      </c>
      <c r="G147" s="2"/>
    </row>
    <row r="148" spans="1:7" x14ac:dyDescent="0.35">
      <c r="A148" s="1">
        <v>45109</v>
      </c>
      <c r="B148">
        <v>212.1</v>
      </c>
      <c r="C148">
        <v>210.5</v>
      </c>
      <c r="D148">
        <v>215.66</v>
      </c>
      <c r="E148">
        <v>207.89</v>
      </c>
      <c r="F148" t="s">
        <v>151</v>
      </c>
      <c r="G148" s="2"/>
    </row>
    <row r="149" spans="1:7" x14ac:dyDescent="0.35">
      <c r="A149" s="1">
        <v>45102</v>
      </c>
      <c r="B149">
        <v>211.16</v>
      </c>
      <c r="C149">
        <v>206.11</v>
      </c>
      <c r="D149">
        <v>213.24</v>
      </c>
      <c r="E149">
        <v>204.66</v>
      </c>
      <c r="F149" t="s">
        <v>152</v>
      </c>
      <c r="G149" s="2"/>
    </row>
    <row r="150" spans="1:7" x14ac:dyDescent="0.35">
      <c r="A150" s="1">
        <v>45095</v>
      </c>
      <c r="B150">
        <v>205.41</v>
      </c>
      <c r="C150">
        <v>218.89</v>
      </c>
      <c r="D150">
        <v>219.29</v>
      </c>
      <c r="E150">
        <v>202.55</v>
      </c>
      <c r="F150" t="s">
        <v>153</v>
      </c>
      <c r="G150" s="2"/>
    </row>
    <row r="151" spans="1:7" x14ac:dyDescent="0.35">
      <c r="A151" s="1">
        <v>45088</v>
      </c>
      <c r="B151">
        <v>219.99</v>
      </c>
      <c r="C151">
        <v>217.16</v>
      </c>
      <c r="D151">
        <v>223.91</v>
      </c>
      <c r="E151">
        <v>215.31</v>
      </c>
      <c r="F151" t="s">
        <v>154</v>
      </c>
      <c r="G151" s="2"/>
    </row>
    <row r="152" spans="1:7" x14ac:dyDescent="0.35">
      <c r="A152" s="1">
        <v>45081</v>
      </c>
      <c r="B152">
        <v>217.31</v>
      </c>
      <c r="C152">
        <v>213.28</v>
      </c>
      <c r="D152">
        <v>220</v>
      </c>
      <c r="E152">
        <v>200.61</v>
      </c>
      <c r="F152" t="s">
        <v>155</v>
      </c>
      <c r="G152" s="2"/>
    </row>
    <row r="153" spans="1:7" x14ac:dyDescent="0.35">
      <c r="A153" s="1">
        <v>45074</v>
      </c>
      <c r="B153">
        <v>213.32</v>
      </c>
      <c r="C153">
        <v>204.09</v>
      </c>
      <c r="D153">
        <v>215.24</v>
      </c>
      <c r="E153">
        <v>200.91</v>
      </c>
      <c r="F153" t="s">
        <v>156</v>
      </c>
      <c r="G153" s="2"/>
    </row>
    <row r="154" spans="1:7" x14ac:dyDescent="0.35">
      <c r="A154" s="1">
        <v>45067</v>
      </c>
      <c r="B154">
        <v>203.63</v>
      </c>
      <c r="C154">
        <v>205.51</v>
      </c>
      <c r="D154">
        <v>207.49</v>
      </c>
      <c r="E154">
        <v>196.6</v>
      </c>
      <c r="F154" t="s">
        <v>157</v>
      </c>
      <c r="G154" s="2"/>
    </row>
    <row r="155" spans="1:7" x14ac:dyDescent="0.35">
      <c r="A155" s="1">
        <v>45060</v>
      </c>
      <c r="B155">
        <v>205.49</v>
      </c>
      <c r="C155">
        <v>200.01</v>
      </c>
      <c r="D155">
        <v>208.58</v>
      </c>
      <c r="E155">
        <v>198.65</v>
      </c>
      <c r="F155" t="s">
        <v>158</v>
      </c>
      <c r="G155" s="2"/>
    </row>
    <row r="156" spans="1:7" x14ac:dyDescent="0.35">
      <c r="A156" s="1">
        <v>45053</v>
      </c>
      <c r="B156">
        <v>200.7</v>
      </c>
      <c r="C156">
        <v>199.16</v>
      </c>
      <c r="D156">
        <v>204.61</v>
      </c>
      <c r="E156">
        <v>196.4</v>
      </c>
      <c r="F156" t="s">
        <v>159</v>
      </c>
      <c r="G156" s="2"/>
    </row>
    <row r="157" spans="1:7" x14ac:dyDescent="0.35">
      <c r="A157" s="1">
        <v>45046</v>
      </c>
      <c r="B157">
        <v>198.34</v>
      </c>
      <c r="C157">
        <v>206.25</v>
      </c>
      <c r="D157">
        <v>208.52</v>
      </c>
      <c r="E157">
        <v>193.27</v>
      </c>
      <c r="F157" t="s">
        <v>160</v>
      </c>
      <c r="G157" s="2"/>
    </row>
    <row r="158" spans="1:7" x14ac:dyDescent="0.35">
      <c r="A158" s="1">
        <v>45039</v>
      </c>
      <c r="B158">
        <v>206.78</v>
      </c>
      <c r="C158">
        <v>204.87</v>
      </c>
      <c r="D158">
        <v>211.7</v>
      </c>
      <c r="E158">
        <v>201.12</v>
      </c>
      <c r="F158" t="s">
        <v>161</v>
      </c>
      <c r="G158" s="2"/>
    </row>
    <row r="159" spans="1:7" x14ac:dyDescent="0.35">
      <c r="A159" s="1">
        <v>45032</v>
      </c>
      <c r="B159">
        <v>205.15</v>
      </c>
      <c r="C159">
        <v>202</v>
      </c>
      <c r="D159">
        <v>210.87</v>
      </c>
      <c r="E159">
        <v>200.8</v>
      </c>
      <c r="F159" t="s">
        <v>162</v>
      </c>
      <c r="G159" s="2"/>
    </row>
    <row r="160" spans="1:7" x14ac:dyDescent="0.35">
      <c r="A160" s="1">
        <v>45025</v>
      </c>
      <c r="B160">
        <v>201.71</v>
      </c>
      <c r="C160">
        <v>211</v>
      </c>
      <c r="D160">
        <v>214.5</v>
      </c>
      <c r="E160">
        <v>198.15</v>
      </c>
      <c r="F160" t="s">
        <v>163</v>
      </c>
      <c r="G160" s="2"/>
    </row>
    <row r="161" spans="1:7" x14ac:dyDescent="0.35">
      <c r="A161" s="1">
        <v>45018</v>
      </c>
      <c r="B161">
        <v>211.37</v>
      </c>
      <c r="C161">
        <v>212.8</v>
      </c>
      <c r="D161">
        <v>218.57</v>
      </c>
      <c r="E161">
        <v>208.22</v>
      </c>
      <c r="F161" t="s">
        <v>164</v>
      </c>
      <c r="G161" s="2"/>
    </row>
    <row r="162" spans="1:7" x14ac:dyDescent="0.35">
      <c r="A162" s="1">
        <v>45011</v>
      </c>
      <c r="B162">
        <v>212.43</v>
      </c>
      <c r="C162">
        <v>198.63</v>
      </c>
      <c r="D162">
        <v>214.8</v>
      </c>
      <c r="E162">
        <v>198.63</v>
      </c>
      <c r="F162" t="s">
        <v>136</v>
      </c>
      <c r="G162" s="2"/>
    </row>
    <row r="163" spans="1:7" x14ac:dyDescent="0.35">
      <c r="A163" s="1">
        <v>45004</v>
      </c>
      <c r="B163">
        <v>197.53</v>
      </c>
      <c r="C163">
        <v>201.12</v>
      </c>
      <c r="D163">
        <v>207.86</v>
      </c>
      <c r="E163">
        <v>193.92</v>
      </c>
      <c r="F163" t="s">
        <v>165</v>
      </c>
      <c r="G163" s="2"/>
    </row>
    <row r="164" spans="1:7" x14ac:dyDescent="0.35">
      <c r="A164" s="1">
        <v>44997</v>
      </c>
      <c r="B164">
        <v>201.05</v>
      </c>
      <c r="C164">
        <v>200.2</v>
      </c>
      <c r="D164">
        <v>213.56</v>
      </c>
      <c r="E164">
        <v>192.41</v>
      </c>
      <c r="F164" t="s">
        <v>166</v>
      </c>
      <c r="G164" s="2"/>
    </row>
    <row r="165" spans="1:7" x14ac:dyDescent="0.35">
      <c r="A165" s="1">
        <v>44990</v>
      </c>
      <c r="B165">
        <v>203.07</v>
      </c>
      <c r="C165">
        <v>214.12</v>
      </c>
      <c r="D165">
        <v>214.75</v>
      </c>
      <c r="E165">
        <v>197.79</v>
      </c>
      <c r="F165" t="s">
        <v>167</v>
      </c>
      <c r="G165" s="2"/>
    </row>
    <row r="166" spans="1:7" x14ac:dyDescent="0.35">
      <c r="A166" s="1">
        <v>44983</v>
      </c>
      <c r="B166">
        <v>215.11</v>
      </c>
      <c r="C166">
        <v>199.87</v>
      </c>
      <c r="D166">
        <v>216.12</v>
      </c>
      <c r="E166">
        <v>199.06</v>
      </c>
      <c r="F166" t="s">
        <v>168</v>
      </c>
      <c r="G166" s="2"/>
    </row>
    <row r="167" spans="1:7" x14ac:dyDescent="0.35">
      <c r="A167" s="1">
        <v>44976</v>
      </c>
      <c r="B167">
        <v>198.15</v>
      </c>
      <c r="C167">
        <v>208.99</v>
      </c>
      <c r="D167">
        <v>210.84</v>
      </c>
      <c r="E167">
        <v>197.36</v>
      </c>
      <c r="F167" t="s">
        <v>169</v>
      </c>
      <c r="G167" s="2"/>
    </row>
    <row r="168" spans="1:7" x14ac:dyDescent="0.35">
      <c r="A168" s="1">
        <v>44969</v>
      </c>
      <c r="B168">
        <v>211.66</v>
      </c>
      <c r="C168">
        <v>213.6</v>
      </c>
      <c r="D168">
        <v>221.33</v>
      </c>
      <c r="E168">
        <v>207.62</v>
      </c>
      <c r="F168" t="s">
        <v>170</v>
      </c>
      <c r="G168" s="2"/>
    </row>
    <row r="169" spans="1:7" x14ac:dyDescent="0.35">
      <c r="A169" s="1">
        <v>44962</v>
      </c>
      <c r="B169">
        <v>212.89</v>
      </c>
      <c r="C169">
        <v>205.19</v>
      </c>
      <c r="D169">
        <v>215.77</v>
      </c>
      <c r="E169">
        <v>203.69</v>
      </c>
      <c r="F169" t="s">
        <v>171</v>
      </c>
      <c r="G169" s="2"/>
    </row>
    <row r="170" spans="1:7" x14ac:dyDescent="0.35">
      <c r="A170" s="1">
        <v>44955</v>
      </c>
      <c r="B170">
        <v>206.01</v>
      </c>
      <c r="C170">
        <v>209.19</v>
      </c>
      <c r="D170">
        <v>218.97</v>
      </c>
      <c r="E170">
        <v>205.62</v>
      </c>
      <c r="F170" t="s">
        <v>172</v>
      </c>
      <c r="G170" s="2"/>
    </row>
    <row r="171" spans="1:7" x14ac:dyDescent="0.35">
      <c r="A171" s="1">
        <v>44948</v>
      </c>
      <c r="B171">
        <v>211.17</v>
      </c>
      <c r="C171">
        <v>208.36</v>
      </c>
      <c r="D171">
        <v>214.75</v>
      </c>
      <c r="E171">
        <v>203.11</v>
      </c>
      <c r="F171" t="s">
        <v>173</v>
      </c>
      <c r="G171" s="2"/>
    </row>
    <row r="172" spans="1:7" x14ac:dyDescent="0.35">
      <c r="A172" s="1">
        <v>44941</v>
      </c>
      <c r="B172">
        <v>206.76</v>
      </c>
      <c r="C172">
        <v>212.71</v>
      </c>
      <c r="D172">
        <v>213.42</v>
      </c>
      <c r="E172">
        <v>204.78</v>
      </c>
      <c r="F172" t="s">
        <v>174</v>
      </c>
      <c r="G172" s="2"/>
    </row>
    <row r="173" spans="1:7" x14ac:dyDescent="0.35">
      <c r="A173" s="1">
        <v>44934</v>
      </c>
      <c r="B173">
        <v>214.13</v>
      </c>
      <c r="C173">
        <v>212.36</v>
      </c>
      <c r="D173">
        <v>216.64</v>
      </c>
      <c r="E173">
        <v>203.46</v>
      </c>
      <c r="F173" t="s">
        <v>175</v>
      </c>
      <c r="G173" s="2"/>
    </row>
    <row r="174" spans="1:7" x14ac:dyDescent="0.35">
      <c r="A174" s="1">
        <v>44927</v>
      </c>
      <c r="B174">
        <v>213</v>
      </c>
      <c r="C174">
        <v>192.95</v>
      </c>
      <c r="D174">
        <v>213.04</v>
      </c>
      <c r="E174">
        <v>192.4</v>
      </c>
      <c r="F174" t="s">
        <v>176</v>
      </c>
      <c r="G174" s="2"/>
    </row>
    <row r="175" spans="1:7" x14ac:dyDescent="0.35">
      <c r="A175" s="1">
        <v>44920</v>
      </c>
      <c r="B175">
        <v>190.49</v>
      </c>
      <c r="C175">
        <v>189.58</v>
      </c>
      <c r="D175">
        <v>192.44</v>
      </c>
      <c r="E175">
        <v>186.19</v>
      </c>
      <c r="F175" t="s">
        <v>177</v>
      </c>
      <c r="G175" s="2"/>
    </row>
    <row r="176" spans="1:7" x14ac:dyDescent="0.35">
      <c r="A176" s="1">
        <v>44913</v>
      </c>
      <c r="B176">
        <v>189.06</v>
      </c>
      <c r="C176">
        <v>184.92</v>
      </c>
      <c r="D176">
        <v>196.4</v>
      </c>
      <c r="E176">
        <v>184.71</v>
      </c>
      <c r="F176" t="s">
        <v>178</v>
      </c>
      <c r="G176" s="2"/>
    </row>
    <row r="177" spans="1:7" x14ac:dyDescent="0.35">
      <c r="A177" s="1">
        <v>44906</v>
      </c>
      <c r="B177">
        <v>184.7</v>
      </c>
      <c r="C177">
        <v>180.8</v>
      </c>
      <c r="D177">
        <v>191.11</v>
      </c>
      <c r="E177">
        <v>180.5</v>
      </c>
      <c r="F177" t="s">
        <v>179</v>
      </c>
      <c r="G177" s="2"/>
    </row>
    <row r="178" spans="1:7" x14ac:dyDescent="0.35">
      <c r="A178" s="1">
        <v>44899</v>
      </c>
      <c r="B178">
        <v>179.54</v>
      </c>
      <c r="C178">
        <v>182</v>
      </c>
      <c r="D178">
        <v>188.45</v>
      </c>
      <c r="E178">
        <v>174.62</v>
      </c>
      <c r="F178" t="s">
        <v>180</v>
      </c>
      <c r="G178" s="2"/>
    </row>
    <row r="179" spans="1:7" x14ac:dyDescent="0.35">
      <c r="A179" s="1">
        <v>44892</v>
      </c>
      <c r="B179">
        <v>182.87</v>
      </c>
      <c r="C179">
        <v>176.17</v>
      </c>
      <c r="D179">
        <v>183.45</v>
      </c>
      <c r="E179">
        <v>171.7</v>
      </c>
      <c r="F179" t="s">
        <v>181</v>
      </c>
      <c r="G179" s="2"/>
    </row>
    <row r="180" spans="1:7" x14ac:dyDescent="0.35">
      <c r="A180" s="1">
        <v>44885</v>
      </c>
      <c r="B180">
        <v>178.36</v>
      </c>
      <c r="C180">
        <v>172.53</v>
      </c>
      <c r="D180">
        <v>178.46</v>
      </c>
      <c r="E180">
        <v>171</v>
      </c>
      <c r="F180" t="s">
        <v>182</v>
      </c>
      <c r="G180" s="2"/>
    </row>
    <row r="181" spans="1:7" x14ac:dyDescent="0.35">
      <c r="A181" s="1">
        <v>44878</v>
      </c>
      <c r="B181">
        <v>173.89</v>
      </c>
      <c r="C181">
        <v>176.5</v>
      </c>
      <c r="D181">
        <v>178.19</v>
      </c>
      <c r="E181">
        <v>168.52</v>
      </c>
      <c r="F181" t="s">
        <v>183</v>
      </c>
      <c r="G181" s="2"/>
    </row>
    <row r="182" spans="1:7" x14ac:dyDescent="0.35">
      <c r="A182" s="1">
        <v>44871</v>
      </c>
      <c r="B182">
        <v>177.49</v>
      </c>
      <c r="C182">
        <v>161.4</v>
      </c>
      <c r="D182">
        <v>179.32</v>
      </c>
      <c r="E182">
        <v>160.63</v>
      </c>
      <c r="F182" t="s">
        <v>184</v>
      </c>
      <c r="G182" s="2"/>
    </row>
    <row r="183" spans="1:7" x14ac:dyDescent="0.35">
      <c r="A183" s="1">
        <v>44864</v>
      </c>
      <c r="B183">
        <v>160.01</v>
      </c>
      <c r="C183">
        <v>141.88</v>
      </c>
      <c r="D183">
        <v>160.97999999999999</v>
      </c>
      <c r="E183">
        <v>139.52000000000001</v>
      </c>
      <c r="F183" t="s">
        <v>185</v>
      </c>
      <c r="G183" s="2"/>
    </row>
    <row r="184" spans="1:7" x14ac:dyDescent="0.35">
      <c r="A184" s="1">
        <v>44857</v>
      </c>
      <c r="B184">
        <v>143.84</v>
      </c>
      <c r="C184">
        <v>142.85</v>
      </c>
      <c r="D184">
        <v>150.13999999999999</v>
      </c>
      <c r="E184">
        <v>132.21</v>
      </c>
      <c r="F184" t="s">
        <v>186</v>
      </c>
      <c r="G184" s="2"/>
    </row>
    <row r="185" spans="1:7" x14ac:dyDescent="0.35">
      <c r="A185" s="1">
        <v>44850</v>
      </c>
      <c r="B185">
        <v>141.32</v>
      </c>
      <c r="C185">
        <v>136.97999999999999</v>
      </c>
      <c r="D185">
        <v>141.88</v>
      </c>
      <c r="E185">
        <v>133.26</v>
      </c>
      <c r="F185" t="s">
        <v>187</v>
      </c>
      <c r="G185" s="2"/>
    </row>
    <row r="186" spans="1:7" x14ac:dyDescent="0.35">
      <c r="A186" s="1">
        <v>44843</v>
      </c>
      <c r="B186">
        <v>133.15</v>
      </c>
      <c r="C186">
        <v>131.41999999999999</v>
      </c>
      <c r="D186">
        <v>136.41</v>
      </c>
      <c r="E186">
        <v>124.17</v>
      </c>
      <c r="F186" t="s">
        <v>188</v>
      </c>
      <c r="G186" s="2"/>
    </row>
    <row r="187" spans="1:7" x14ac:dyDescent="0.35">
      <c r="A187" s="1">
        <v>44836</v>
      </c>
      <c r="B187">
        <v>129.79</v>
      </c>
      <c r="C187">
        <v>122</v>
      </c>
      <c r="D187">
        <v>133.57</v>
      </c>
      <c r="E187">
        <v>121.02</v>
      </c>
      <c r="F187" t="s">
        <v>189</v>
      </c>
      <c r="G187" s="2"/>
    </row>
    <row r="188" spans="1:7" x14ac:dyDescent="0.35">
      <c r="A188" s="1">
        <v>44829</v>
      </c>
      <c r="B188">
        <v>121.08</v>
      </c>
      <c r="C188">
        <v>129.77000000000001</v>
      </c>
      <c r="D188">
        <v>133.88999999999999</v>
      </c>
      <c r="E188">
        <v>120.99</v>
      </c>
      <c r="F188" t="s">
        <v>190</v>
      </c>
      <c r="G188" s="2"/>
    </row>
    <row r="189" spans="1:7" x14ac:dyDescent="0.35">
      <c r="A189" s="1">
        <v>44822</v>
      </c>
      <c r="B189">
        <v>131.26</v>
      </c>
      <c r="C189">
        <v>142.62</v>
      </c>
      <c r="D189">
        <v>149.87</v>
      </c>
      <c r="E189">
        <v>129.5</v>
      </c>
      <c r="F189" t="s">
        <v>191</v>
      </c>
      <c r="G189" s="2"/>
    </row>
    <row r="190" spans="1:7" x14ac:dyDescent="0.35">
      <c r="A190" s="1">
        <v>44815</v>
      </c>
      <c r="B190">
        <v>144.29</v>
      </c>
      <c r="C190">
        <v>158.46</v>
      </c>
      <c r="D190">
        <v>160.97</v>
      </c>
      <c r="E190">
        <v>141.35</v>
      </c>
      <c r="F190" t="s">
        <v>35</v>
      </c>
      <c r="G190" s="2"/>
    </row>
    <row r="191" spans="1:7" x14ac:dyDescent="0.35">
      <c r="A191" s="1">
        <v>44808</v>
      </c>
      <c r="B191">
        <v>157.52000000000001</v>
      </c>
      <c r="C191">
        <v>152.38999999999999</v>
      </c>
      <c r="D191">
        <v>159.75</v>
      </c>
      <c r="E191">
        <v>150.46</v>
      </c>
      <c r="F191" t="s">
        <v>192</v>
      </c>
      <c r="G191" s="2"/>
    </row>
    <row r="192" spans="1:7" x14ac:dyDescent="0.35">
      <c r="A192" s="1">
        <v>44801</v>
      </c>
      <c r="B192">
        <v>151.82</v>
      </c>
      <c r="C192">
        <v>162.28</v>
      </c>
      <c r="D192">
        <v>169.92</v>
      </c>
      <c r="E192">
        <v>150.82</v>
      </c>
      <c r="F192" t="s">
        <v>193</v>
      </c>
      <c r="G192" s="2"/>
    </row>
    <row r="193" spans="1:7" x14ac:dyDescent="0.35">
      <c r="A193" s="1">
        <v>44794</v>
      </c>
      <c r="B193">
        <v>164.53</v>
      </c>
      <c r="C193">
        <v>159.4</v>
      </c>
      <c r="D193">
        <v>171.37</v>
      </c>
      <c r="E193">
        <v>157.91</v>
      </c>
      <c r="F193" t="s">
        <v>194</v>
      </c>
      <c r="G193" s="2"/>
    </row>
    <row r="194" spans="1:7" x14ac:dyDescent="0.35">
      <c r="A194" s="1">
        <v>44787</v>
      </c>
      <c r="B194">
        <v>162.91999999999999</v>
      </c>
      <c r="C194">
        <v>169.29</v>
      </c>
      <c r="D194">
        <v>173.85</v>
      </c>
      <c r="E194">
        <v>162.58000000000001</v>
      </c>
      <c r="F194" t="s">
        <v>195</v>
      </c>
      <c r="G194" s="2"/>
    </row>
    <row r="195" spans="1:7" x14ac:dyDescent="0.35">
      <c r="A195" s="1">
        <v>44780</v>
      </c>
      <c r="B195">
        <v>169.99</v>
      </c>
      <c r="C195">
        <v>166.41</v>
      </c>
      <c r="D195">
        <v>171.76</v>
      </c>
      <c r="E195">
        <v>163.44999999999999</v>
      </c>
      <c r="F195" t="s">
        <v>196</v>
      </c>
      <c r="G195" s="2"/>
    </row>
    <row r="196" spans="1:7" x14ac:dyDescent="0.35">
      <c r="A196" s="1">
        <v>44773</v>
      </c>
      <c r="B196">
        <v>165.04</v>
      </c>
      <c r="C196">
        <v>165.95</v>
      </c>
      <c r="D196">
        <v>171.76</v>
      </c>
      <c r="E196">
        <v>162.33000000000001</v>
      </c>
      <c r="F196" t="s">
        <v>197</v>
      </c>
      <c r="G196" s="2"/>
    </row>
    <row r="197" spans="1:7" x14ac:dyDescent="0.35">
      <c r="A197" s="1">
        <v>44766</v>
      </c>
      <c r="B197">
        <v>159.31</v>
      </c>
      <c r="C197">
        <v>156.94</v>
      </c>
      <c r="D197">
        <v>162.74</v>
      </c>
      <c r="E197">
        <v>152.80000000000001</v>
      </c>
      <c r="F197" t="s">
        <v>198</v>
      </c>
      <c r="G197" s="2"/>
    </row>
    <row r="198" spans="1:7" x14ac:dyDescent="0.35">
      <c r="A198" s="1">
        <v>44759</v>
      </c>
      <c r="B198">
        <v>158.16</v>
      </c>
      <c r="C198">
        <v>153.30000000000001</v>
      </c>
      <c r="D198">
        <v>163.34</v>
      </c>
      <c r="E198">
        <v>147.19999999999999</v>
      </c>
      <c r="F198" t="s">
        <v>199</v>
      </c>
      <c r="G198" s="2"/>
    </row>
    <row r="199" spans="1:7" x14ac:dyDescent="0.35">
      <c r="A199" s="1">
        <v>44752</v>
      </c>
      <c r="B199">
        <v>147.74</v>
      </c>
      <c r="C199">
        <v>137.77000000000001</v>
      </c>
      <c r="D199">
        <v>149.74</v>
      </c>
      <c r="E199">
        <v>134.88999999999999</v>
      </c>
      <c r="F199" t="s">
        <v>200</v>
      </c>
      <c r="G199" s="2"/>
    </row>
    <row r="200" spans="1:7" x14ac:dyDescent="0.35">
      <c r="A200" s="1">
        <v>44745</v>
      </c>
      <c r="B200">
        <v>139.07</v>
      </c>
      <c r="C200">
        <v>136.25</v>
      </c>
      <c r="D200">
        <v>142.27000000000001</v>
      </c>
      <c r="E200">
        <v>131.29</v>
      </c>
      <c r="F200" t="s">
        <v>97</v>
      </c>
      <c r="G200" s="2"/>
    </row>
    <row r="201" spans="1:7" x14ac:dyDescent="0.35">
      <c r="A201" s="1">
        <v>44738</v>
      </c>
      <c r="B201">
        <v>139.84</v>
      </c>
      <c r="C201">
        <v>140.28</v>
      </c>
      <c r="D201">
        <v>147.18</v>
      </c>
      <c r="E201">
        <v>131.6</v>
      </c>
      <c r="F201" t="s">
        <v>201</v>
      </c>
      <c r="G201" s="2"/>
    </row>
    <row r="202" spans="1:7" x14ac:dyDescent="0.35">
      <c r="A202" s="1">
        <v>44731</v>
      </c>
      <c r="B202">
        <v>141.53</v>
      </c>
      <c r="C202">
        <v>139.16999999999999</v>
      </c>
      <c r="D202">
        <v>141.87</v>
      </c>
      <c r="E202">
        <v>130.09</v>
      </c>
      <c r="F202" t="s">
        <v>202</v>
      </c>
      <c r="G202" s="2"/>
    </row>
    <row r="203" spans="1:7" x14ac:dyDescent="0.35">
      <c r="A203" s="1">
        <v>44724</v>
      </c>
      <c r="B203">
        <v>136.80000000000001</v>
      </c>
      <c r="C203">
        <v>123</v>
      </c>
      <c r="D203">
        <v>138.97999999999999</v>
      </c>
      <c r="E203">
        <v>113.02</v>
      </c>
      <c r="F203" t="s">
        <v>203</v>
      </c>
      <c r="G203" s="2"/>
    </row>
    <row r="204" spans="1:7" x14ac:dyDescent="0.35">
      <c r="A204" s="1">
        <v>44717</v>
      </c>
      <c r="B204">
        <v>127</v>
      </c>
      <c r="C204">
        <v>139.99</v>
      </c>
      <c r="D204">
        <v>142.21</v>
      </c>
      <c r="E204">
        <v>126.85</v>
      </c>
      <c r="F204" t="s">
        <v>204</v>
      </c>
      <c r="G204" s="2"/>
    </row>
    <row r="205" spans="1:7" x14ac:dyDescent="0.35">
      <c r="A205" s="1">
        <v>44710</v>
      </c>
      <c r="B205">
        <v>139.25</v>
      </c>
      <c r="C205">
        <v>131.03</v>
      </c>
      <c r="D205">
        <v>140.69999999999999</v>
      </c>
      <c r="E205">
        <v>127.01</v>
      </c>
      <c r="F205" t="s">
        <v>205</v>
      </c>
      <c r="G205" s="2"/>
    </row>
    <row r="206" spans="1:7" x14ac:dyDescent="0.35">
      <c r="A206" s="1">
        <v>44703</v>
      </c>
      <c r="B206">
        <v>132.22999999999999</v>
      </c>
      <c r="C206">
        <v>121.7</v>
      </c>
      <c r="D206">
        <v>132.22999999999999</v>
      </c>
      <c r="E206">
        <v>117.29</v>
      </c>
      <c r="F206" t="s">
        <v>206</v>
      </c>
      <c r="G206" s="2"/>
    </row>
    <row r="207" spans="1:7" x14ac:dyDescent="0.35">
      <c r="A207" s="1">
        <v>44696</v>
      </c>
      <c r="B207">
        <v>120.7</v>
      </c>
      <c r="C207">
        <v>127.05</v>
      </c>
      <c r="D207">
        <v>132.83000000000001</v>
      </c>
      <c r="E207">
        <v>117.08</v>
      </c>
      <c r="F207" t="s">
        <v>207</v>
      </c>
      <c r="G207" s="2"/>
    </row>
    <row r="208" spans="1:7" x14ac:dyDescent="0.35">
      <c r="A208" s="1">
        <v>44689</v>
      </c>
      <c r="B208">
        <v>127.2</v>
      </c>
      <c r="C208">
        <v>146</v>
      </c>
      <c r="D208">
        <v>146.94999999999999</v>
      </c>
      <c r="E208">
        <v>120.28</v>
      </c>
      <c r="F208" t="s">
        <v>208</v>
      </c>
      <c r="G208" s="2"/>
    </row>
    <row r="209" spans="1:7" x14ac:dyDescent="0.35">
      <c r="A209" s="1">
        <v>44682</v>
      </c>
      <c r="B209">
        <v>148.9</v>
      </c>
      <c r="C209">
        <v>148.02000000000001</v>
      </c>
      <c r="D209">
        <v>157.99</v>
      </c>
      <c r="E209">
        <v>143.38</v>
      </c>
      <c r="F209" t="s">
        <v>209</v>
      </c>
      <c r="G209" s="2"/>
    </row>
    <row r="210" spans="1:7" x14ac:dyDescent="0.35">
      <c r="A210" s="1">
        <v>44675</v>
      </c>
      <c r="B210">
        <v>148.84</v>
      </c>
      <c r="C210">
        <v>174.51</v>
      </c>
      <c r="D210">
        <v>176.08</v>
      </c>
      <c r="E210">
        <v>146</v>
      </c>
      <c r="F210" t="s">
        <v>210</v>
      </c>
      <c r="G210" s="2"/>
    </row>
    <row r="211" spans="1:7" x14ac:dyDescent="0.35">
      <c r="A211" s="1">
        <v>44668</v>
      </c>
      <c r="B211">
        <v>176.92</v>
      </c>
      <c r="C211">
        <v>181.45</v>
      </c>
      <c r="D211">
        <v>189.85</v>
      </c>
      <c r="E211">
        <v>176.5</v>
      </c>
      <c r="F211" t="s">
        <v>211</v>
      </c>
      <c r="G211" s="2"/>
    </row>
    <row r="212" spans="1:7" x14ac:dyDescent="0.35">
      <c r="A212" s="1">
        <v>44661</v>
      </c>
      <c r="B212">
        <v>181.94</v>
      </c>
      <c r="C212">
        <v>173.84</v>
      </c>
      <c r="D212">
        <v>185.54</v>
      </c>
      <c r="E212">
        <v>173.4</v>
      </c>
      <c r="F212" t="s">
        <v>150</v>
      </c>
      <c r="G212" s="2"/>
    </row>
    <row r="213" spans="1:7" x14ac:dyDescent="0.35">
      <c r="A213" s="1">
        <v>44654</v>
      </c>
      <c r="B213">
        <v>175.2</v>
      </c>
      <c r="C213">
        <v>190.02</v>
      </c>
      <c r="D213">
        <v>192.35</v>
      </c>
      <c r="E213">
        <v>173.87</v>
      </c>
      <c r="F213" t="s">
        <v>212</v>
      </c>
      <c r="G213" s="2"/>
    </row>
    <row r="214" spans="1:7" x14ac:dyDescent="0.35">
      <c r="A214" s="1">
        <v>44647</v>
      </c>
      <c r="B214">
        <v>190.76</v>
      </c>
      <c r="C214">
        <v>188.43</v>
      </c>
      <c r="D214">
        <v>197.58</v>
      </c>
      <c r="E214">
        <v>184.47</v>
      </c>
      <c r="F214" t="s">
        <v>213</v>
      </c>
      <c r="G214" s="2"/>
    </row>
    <row r="215" spans="1:7" x14ac:dyDescent="0.35">
      <c r="A215" s="1">
        <v>44640</v>
      </c>
      <c r="B215">
        <v>188.95</v>
      </c>
      <c r="C215">
        <v>184.4</v>
      </c>
      <c r="D215">
        <v>192.86</v>
      </c>
      <c r="E215">
        <v>180.61</v>
      </c>
      <c r="F215" t="s">
        <v>214</v>
      </c>
      <c r="G215" s="2"/>
    </row>
    <row r="216" spans="1:7" x14ac:dyDescent="0.35">
      <c r="A216" s="1">
        <v>44633</v>
      </c>
      <c r="B216">
        <v>192.83</v>
      </c>
      <c r="C216">
        <v>175.88</v>
      </c>
      <c r="D216">
        <v>193.38</v>
      </c>
      <c r="E216">
        <v>172.57</v>
      </c>
      <c r="F216" t="s">
        <v>215</v>
      </c>
      <c r="G216" s="2"/>
    </row>
    <row r="217" spans="1:7" x14ac:dyDescent="0.35">
      <c r="A217" s="1">
        <v>44626</v>
      </c>
      <c r="B217">
        <v>176.23</v>
      </c>
      <c r="C217">
        <v>181.03</v>
      </c>
      <c r="D217">
        <v>184.86</v>
      </c>
      <c r="E217">
        <v>167.58</v>
      </c>
      <c r="F217" t="s">
        <v>216</v>
      </c>
      <c r="G217" s="2"/>
    </row>
    <row r="218" spans="1:7" x14ac:dyDescent="0.35">
      <c r="A218" s="1">
        <v>44619</v>
      </c>
      <c r="B218">
        <v>180.84</v>
      </c>
      <c r="C218">
        <v>198.58</v>
      </c>
      <c r="D218">
        <v>207.31</v>
      </c>
      <c r="E218">
        <v>178.97</v>
      </c>
      <c r="F218" t="s">
        <v>217</v>
      </c>
      <c r="G218" s="2"/>
    </row>
    <row r="219" spans="1:7" x14ac:dyDescent="0.35">
      <c r="A219" s="1">
        <v>44612</v>
      </c>
      <c r="B219">
        <v>201.48</v>
      </c>
      <c r="C219">
        <v>205</v>
      </c>
      <c r="D219">
        <v>206.9</v>
      </c>
      <c r="E219">
        <v>186.88</v>
      </c>
      <c r="F219" t="s">
        <v>218</v>
      </c>
      <c r="G219" s="2"/>
    </row>
    <row r="220" spans="1:7" x14ac:dyDescent="0.35">
      <c r="A220" s="1">
        <v>44605</v>
      </c>
      <c r="B220">
        <v>209.03</v>
      </c>
      <c r="C220">
        <v>213</v>
      </c>
      <c r="D220">
        <v>219.68</v>
      </c>
      <c r="E220">
        <v>208.6</v>
      </c>
      <c r="F220" t="s">
        <v>219</v>
      </c>
      <c r="G220" s="2"/>
    </row>
    <row r="221" spans="1:7" x14ac:dyDescent="0.35">
      <c r="A221" s="1">
        <v>44598</v>
      </c>
      <c r="B221">
        <v>212.3</v>
      </c>
      <c r="C221">
        <v>205.79</v>
      </c>
      <c r="D221">
        <v>223.23</v>
      </c>
      <c r="E221">
        <v>205.42</v>
      </c>
      <c r="F221" t="s">
        <v>220</v>
      </c>
      <c r="G221" s="2"/>
    </row>
    <row r="222" spans="1:7" x14ac:dyDescent="0.35">
      <c r="A222" s="1">
        <v>44591</v>
      </c>
      <c r="B222">
        <v>206.45</v>
      </c>
      <c r="C222">
        <v>190.73</v>
      </c>
      <c r="D222">
        <v>209.1</v>
      </c>
      <c r="E222">
        <v>190</v>
      </c>
      <c r="F222" t="s">
        <v>221</v>
      </c>
      <c r="G222" s="2"/>
    </row>
    <row r="223" spans="1:7" x14ac:dyDescent="0.35">
      <c r="A223" s="1">
        <v>44584</v>
      </c>
      <c r="B223">
        <v>190.57</v>
      </c>
      <c r="C223">
        <v>199.85</v>
      </c>
      <c r="D223">
        <v>206.21</v>
      </c>
      <c r="E223">
        <v>183.77</v>
      </c>
      <c r="F223" t="s">
        <v>222</v>
      </c>
      <c r="G223" s="2"/>
    </row>
    <row r="224" spans="1:7" x14ac:dyDescent="0.35">
      <c r="A224" s="1">
        <v>44577</v>
      </c>
      <c r="B224">
        <v>205.44</v>
      </c>
      <c r="C224">
        <v>224.5</v>
      </c>
      <c r="D224">
        <v>229.67</v>
      </c>
      <c r="E224">
        <v>204.57</v>
      </c>
      <c r="F224" t="s">
        <v>223</v>
      </c>
      <c r="G224" s="2"/>
    </row>
    <row r="225" spans="1:7" x14ac:dyDescent="0.35">
      <c r="A225" s="1">
        <v>44570</v>
      </c>
      <c r="B225">
        <v>225.96</v>
      </c>
      <c r="C225">
        <v>214.26</v>
      </c>
      <c r="D225">
        <v>226.89</v>
      </c>
      <c r="E225">
        <v>207.13</v>
      </c>
      <c r="F225" t="s">
        <v>224</v>
      </c>
      <c r="G225" s="2"/>
    </row>
    <row r="226" spans="1:7" x14ac:dyDescent="0.35">
      <c r="A226" s="1">
        <v>44563</v>
      </c>
      <c r="B226">
        <v>215.5</v>
      </c>
      <c r="C226">
        <v>204</v>
      </c>
      <c r="D226">
        <v>218.93</v>
      </c>
      <c r="E226">
        <v>203.34</v>
      </c>
      <c r="F226" t="s">
        <v>225</v>
      </c>
      <c r="G226" s="2"/>
    </row>
    <row r="227" spans="1:7" x14ac:dyDescent="0.35">
      <c r="A227" s="1">
        <v>44556</v>
      </c>
      <c r="B227">
        <v>201.32</v>
      </c>
      <c r="C227">
        <v>201.99</v>
      </c>
      <c r="D227">
        <v>208.94</v>
      </c>
      <c r="E227">
        <v>199.1</v>
      </c>
      <c r="F227" t="s">
        <v>109</v>
      </c>
      <c r="G227" s="2"/>
    </row>
    <row r="228" spans="1:7" x14ac:dyDescent="0.35">
      <c r="A228" s="1">
        <v>44549</v>
      </c>
      <c r="B228">
        <v>204.22</v>
      </c>
      <c r="C228">
        <v>188.11</v>
      </c>
      <c r="D228">
        <v>205.13</v>
      </c>
      <c r="E228">
        <v>185.26</v>
      </c>
      <c r="F228" t="s">
        <v>109</v>
      </c>
      <c r="G228" s="2"/>
    </row>
    <row r="229" spans="1:7" x14ac:dyDescent="0.35">
      <c r="A229" s="1">
        <v>44542</v>
      </c>
      <c r="B229">
        <v>192.63</v>
      </c>
      <c r="C229">
        <v>202.5</v>
      </c>
      <c r="D229">
        <v>202.81</v>
      </c>
      <c r="E229">
        <v>187.88</v>
      </c>
      <c r="F229" t="s">
        <v>28</v>
      </c>
      <c r="G229" s="2"/>
    </row>
    <row r="230" spans="1:7" x14ac:dyDescent="0.35">
      <c r="A230" s="1">
        <v>44535</v>
      </c>
      <c r="B230">
        <v>205.06</v>
      </c>
      <c r="C230">
        <v>199.77</v>
      </c>
      <c r="D230">
        <v>212.68</v>
      </c>
      <c r="E230">
        <v>199.2</v>
      </c>
      <c r="F230" t="s">
        <v>226</v>
      </c>
      <c r="G230" s="2"/>
    </row>
    <row r="231" spans="1:7" x14ac:dyDescent="0.35">
      <c r="A231" s="1">
        <v>44528</v>
      </c>
      <c r="B231">
        <v>198.49</v>
      </c>
      <c r="C231">
        <v>201.87</v>
      </c>
      <c r="D231">
        <v>204.28</v>
      </c>
      <c r="E231">
        <v>188</v>
      </c>
      <c r="F231" t="s">
        <v>227</v>
      </c>
      <c r="G231" s="2"/>
    </row>
    <row r="232" spans="1:7" x14ac:dyDescent="0.35">
      <c r="A232" s="1">
        <v>44521</v>
      </c>
      <c r="B232">
        <v>199.21</v>
      </c>
      <c r="C232">
        <v>215</v>
      </c>
      <c r="D232">
        <v>215.02</v>
      </c>
      <c r="E232">
        <v>194</v>
      </c>
      <c r="F232" t="s">
        <v>228</v>
      </c>
      <c r="G232" s="2"/>
    </row>
    <row r="233" spans="1:7" x14ac:dyDescent="0.35">
      <c r="A233" s="1">
        <v>44514</v>
      </c>
      <c r="B233">
        <v>214.13</v>
      </c>
      <c r="C233">
        <v>227.37</v>
      </c>
      <c r="D233">
        <v>233.94</v>
      </c>
      <c r="E233">
        <v>213.23</v>
      </c>
      <c r="F233" t="s">
        <v>229</v>
      </c>
      <c r="G233" s="2"/>
    </row>
    <row r="234" spans="1:7" x14ac:dyDescent="0.35">
      <c r="A234" s="1">
        <v>44507</v>
      </c>
      <c r="B234">
        <v>220.96</v>
      </c>
      <c r="C234">
        <v>225.24</v>
      </c>
      <c r="D234">
        <v>226.99</v>
      </c>
      <c r="E234">
        <v>217.27</v>
      </c>
      <c r="F234" t="s">
        <v>230</v>
      </c>
      <c r="G234" s="2"/>
    </row>
    <row r="235" spans="1:7" x14ac:dyDescent="0.35">
      <c r="A235" s="1">
        <v>44500</v>
      </c>
      <c r="B235">
        <v>224.46</v>
      </c>
      <c r="C235">
        <v>207</v>
      </c>
      <c r="D235">
        <v>224.58</v>
      </c>
      <c r="E235">
        <v>206.81</v>
      </c>
      <c r="F235" t="s">
        <v>231</v>
      </c>
      <c r="G235" s="2"/>
    </row>
    <row r="236" spans="1:7" x14ac:dyDescent="0.35">
      <c r="A236" s="1">
        <v>44493</v>
      </c>
      <c r="B236">
        <v>207.03</v>
      </c>
      <c r="C236">
        <v>213.25</v>
      </c>
      <c r="D236">
        <v>214.85</v>
      </c>
      <c r="E236">
        <v>204.6</v>
      </c>
      <c r="F236" t="s">
        <v>232</v>
      </c>
      <c r="G236" s="2"/>
    </row>
    <row r="237" spans="1:7" x14ac:dyDescent="0.35">
      <c r="A237" s="1">
        <v>44486</v>
      </c>
      <c r="B237">
        <v>212.97</v>
      </c>
      <c r="C237">
        <v>216</v>
      </c>
      <c r="D237">
        <v>218.66</v>
      </c>
      <c r="E237">
        <v>212.57</v>
      </c>
      <c r="F237" t="s">
        <v>233</v>
      </c>
      <c r="G237" s="2"/>
    </row>
    <row r="238" spans="1:7" x14ac:dyDescent="0.35">
      <c r="A238" s="1">
        <v>44479</v>
      </c>
      <c r="B238">
        <v>217.04</v>
      </c>
      <c r="C238">
        <v>226.5</v>
      </c>
      <c r="D238">
        <v>232.1</v>
      </c>
      <c r="E238">
        <v>216.28</v>
      </c>
      <c r="F238" t="s">
        <v>234</v>
      </c>
      <c r="G238" s="2"/>
    </row>
    <row r="239" spans="1:7" x14ac:dyDescent="0.35">
      <c r="A239" s="1">
        <v>44472</v>
      </c>
      <c r="B239">
        <v>226.39</v>
      </c>
      <c r="C239">
        <v>225.68</v>
      </c>
      <c r="D239">
        <v>229</v>
      </c>
      <c r="E239">
        <v>219.2</v>
      </c>
      <c r="F239" t="s">
        <v>235</v>
      </c>
      <c r="G239" s="2"/>
    </row>
    <row r="240" spans="1:7" x14ac:dyDescent="0.35">
      <c r="A240" s="1">
        <v>44465</v>
      </c>
      <c r="B240">
        <v>226</v>
      </c>
      <c r="C240">
        <v>224</v>
      </c>
      <c r="D240">
        <v>229.94</v>
      </c>
      <c r="E240">
        <v>216.42</v>
      </c>
      <c r="F240" t="s">
        <v>236</v>
      </c>
      <c r="G240" s="2"/>
    </row>
    <row r="241" spans="1:7" x14ac:dyDescent="0.35">
      <c r="A241" s="1">
        <v>44458</v>
      </c>
      <c r="B241">
        <v>221.39</v>
      </c>
      <c r="C241">
        <v>210.81</v>
      </c>
      <c r="D241">
        <v>222.62</v>
      </c>
      <c r="E241">
        <v>206.53</v>
      </c>
      <c r="F241" t="s">
        <v>237</v>
      </c>
      <c r="G241" s="2"/>
    </row>
    <row r="242" spans="1:7" x14ac:dyDescent="0.35">
      <c r="A242" s="1">
        <v>44451</v>
      </c>
      <c r="B242">
        <v>213.36</v>
      </c>
      <c r="C242">
        <v>211.35</v>
      </c>
      <c r="D242">
        <v>216.31</v>
      </c>
      <c r="E242">
        <v>209.88</v>
      </c>
      <c r="F242" t="s">
        <v>238</v>
      </c>
      <c r="G242" s="2"/>
    </row>
    <row r="243" spans="1:7" x14ac:dyDescent="0.35">
      <c r="A243" s="1">
        <v>44444</v>
      </c>
      <c r="B243">
        <v>210.3</v>
      </c>
      <c r="C243">
        <v>215.91</v>
      </c>
      <c r="D243">
        <v>216.71</v>
      </c>
      <c r="E243">
        <v>210.12</v>
      </c>
      <c r="F243" t="s">
        <v>239</v>
      </c>
      <c r="G243" s="2"/>
    </row>
    <row r="244" spans="1:7" x14ac:dyDescent="0.35">
      <c r="A244" s="1">
        <v>44437</v>
      </c>
      <c r="B244">
        <v>218.17</v>
      </c>
      <c r="C244">
        <v>222.35</v>
      </c>
      <c r="D244">
        <v>223.84</v>
      </c>
      <c r="E244">
        <v>217.09</v>
      </c>
      <c r="F244" t="s">
        <v>240</v>
      </c>
      <c r="G244" s="2"/>
    </row>
    <row r="245" spans="1:7" x14ac:dyDescent="0.35">
      <c r="A245" s="1">
        <v>44430</v>
      </c>
      <c r="B245">
        <v>221.75</v>
      </c>
      <c r="C245">
        <v>215.83</v>
      </c>
      <c r="D245">
        <v>223.1</v>
      </c>
      <c r="E245">
        <v>215.38</v>
      </c>
      <c r="F245" t="s">
        <v>241</v>
      </c>
      <c r="G245" s="2"/>
    </row>
    <row r="246" spans="1:7" x14ac:dyDescent="0.35">
      <c r="A246" s="1">
        <v>44423</v>
      </c>
      <c r="B246">
        <v>212.67</v>
      </c>
      <c r="C246">
        <v>231.9</v>
      </c>
      <c r="D246">
        <v>232.03</v>
      </c>
      <c r="E246">
        <v>210.94</v>
      </c>
      <c r="F246" t="s">
        <v>242</v>
      </c>
      <c r="G246" s="2"/>
    </row>
    <row r="247" spans="1:7" x14ac:dyDescent="0.35">
      <c r="A247" s="1">
        <v>44416</v>
      </c>
      <c r="B247">
        <v>234.46</v>
      </c>
      <c r="C247">
        <v>229</v>
      </c>
      <c r="D247">
        <v>241.15</v>
      </c>
      <c r="E247">
        <v>226.89</v>
      </c>
      <c r="F247" t="s">
        <v>243</v>
      </c>
      <c r="G247" s="2"/>
    </row>
    <row r="248" spans="1:7" x14ac:dyDescent="0.35">
      <c r="A248" s="1">
        <v>44409</v>
      </c>
      <c r="B248">
        <v>231.33</v>
      </c>
      <c r="C248">
        <v>227.19</v>
      </c>
      <c r="D248">
        <v>233.57</v>
      </c>
      <c r="E248">
        <v>221.3</v>
      </c>
      <c r="F248" t="s">
        <v>244</v>
      </c>
      <c r="G248" s="2"/>
    </row>
    <row r="249" spans="1:7" x14ac:dyDescent="0.35">
      <c r="A249" s="1">
        <v>44402</v>
      </c>
      <c r="B249">
        <v>226.48</v>
      </c>
      <c r="C249">
        <v>220</v>
      </c>
      <c r="D249">
        <v>237.49</v>
      </c>
      <c r="E249">
        <v>219.89</v>
      </c>
      <c r="F249" t="s">
        <v>245</v>
      </c>
      <c r="G249" s="2"/>
    </row>
    <row r="250" spans="1:7" x14ac:dyDescent="0.35">
      <c r="A250" s="1">
        <v>44395</v>
      </c>
      <c r="B250">
        <v>221.52</v>
      </c>
      <c r="C250">
        <v>211.18</v>
      </c>
      <c r="D250">
        <v>224.63</v>
      </c>
      <c r="E250">
        <v>204.8</v>
      </c>
      <c r="F250" t="s">
        <v>246</v>
      </c>
      <c r="G250" s="2"/>
    </row>
    <row r="251" spans="1:7" x14ac:dyDescent="0.35">
      <c r="A251" s="1">
        <v>44388</v>
      </c>
      <c r="B251">
        <v>217.74</v>
      </c>
      <c r="C251">
        <v>237.99</v>
      </c>
      <c r="D251">
        <v>240.77</v>
      </c>
      <c r="E251">
        <v>217.03</v>
      </c>
      <c r="F251" t="s">
        <v>247</v>
      </c>
      <c r="G251" s="2"/>
    </row>
    <row r="252" spans="1:7" x14ac:dyDescent="0.35">
      <c r="A252" s="1">
        <v>44381</v>
      </c>
      <c r="B252">
        <v>239.59</v>
      </c>
      <c r="C252">
        <v>236.85</v>
      </c>
      <c r="D252">
        <v>240.38</v>
      </c>
      <c r="E252">
        <v>226.16</v>
      </c>
      <c r="F252" t="s">
        <v>248</v>
      </c>
      <c r="G252" s="2"/>
    </row>
    <row r="253" spans="1:7" x14ac:dyDescent="0.35">
      <c r="A253" s="1">
        <v>44374</v>
      </c>
      <c r="B253">
        <v>236.68</v>
      </c>
      <c r="C253">
        <v>244.73</v>
      </c>
      <c r="D253">
        <v>245.08</v>
      </c>
      <c r="E253">
        <v>233.47</v>
      </c>
      <c r="F253" t="s">
        <v>249</v>
      </c>
      <c r="G253" s="2"/>
    </row>
    <row r="254" spans="1:7" x14ac:dyDescent="0.35">
      <c r="A254" s="1">
        <v>44367</v>
      </c>
      <c r="B254">
        <v>248.38</v>
      </c>
      <c r="C254">
        <v>238.66</v>
      </c>
      <c r="D254">
        <v>252.3</v>
      </c>
      <c r="E254">
        <v>237.25</v>
      </c>
      <c r="F254" t="s">
        <v>250</v>
      </c>
      <c r="G254" s="2"/>
    </row>
    <row r="255" spans="1:7" x14ac:dyDescent="0.35">
      <c r="A255" s="1">
        <v>44360</v>
      </c>
      <c r="B255">
        <v>237.35</v>
      </c>
      <c r="C255">
        <v>246.44</v>
      </c>
      <c r="D255">
        <v>249.2</v>
      </c>
      <c r="E255">
        <v>235.8</v>
      </c>
      <c r="F255" t="s">
        <v>251</v>
      </c>
      <c r="G255" s="2"/>
    </row>
    <row r="256" spans="1:7" x14ac:dyDescent="0.35">
      <c r="A256" s="1">
        <v>44353</v>
      </c>
      <c r="B256">
        <v>247.28</v>
      </c>
      <c r="C256">
        <v>251.5</v>
      </c>
      <c r="D256">
        <v>256.31</v>
      </c>
      <c r="E256">
        <v>245.78</v>
      </c>
      <c r="F256" t="s">
        <v>252</v>
      </c>
      <c r="G256" s="2"/>
    </row>
    <row r="257" spans="1:7" x14ac:dyDescent="0.35">
      <c r="A257" s="1">
        <v>44346</v>
      </c>
      <c r="B257">
        <v>249.92</v>
      </c>
      <c r="C257">
        <v>253</v>
      </c>
      <c r="D257">
        <v>258.39999999999998</v>
      </c>
      <c r="E257">
        <v>248.49</v>
      </c>
      <c r="F257" t="s">
        <v>253</v>
      </c>
      <c r="G257" s="2"/>
    </row>
    <row r="258" spans="1:7" x14ac:dyDescent="0.35">
      <c r="A258" s="1">
        <v>44339</v>
      </c>
      <c r="B258">
        <v>247.02</v>
      </c>
      <c r="C258">
        <v>235.14</v>
      </c>
      <c r="D258">
        <v>252.6</v>
      </c>
      <c r="E258">
        <v>232.6</v>
      </c>
      <c r="F258" t="s">
        <v>254</v>
      </c>
      <c r="G258" s="2"/>
    </row>
    <row r="259" spans="1:7" x14ac:dyDescent="0.35">
      <c r="A259" s="1">
        <v>44332</v>
      </c>
      <c r="B259">
        <v>234.82</v>
      </c>
      <c r="C259">
        <v>226.24</v>
      </c>
      <c r="D259">
        <v>236.3</v>
      </c>
      <c r="E259">
        <v>220.28</v>
      </c>
      <c r="F259" t="s">
        <v>250</v>
      </c>
      <c r="G259" s="2"/>
    </row>
    <row r="260" spans="1:7" x14ac:dyDescent="0.35">
      <c r="A260" s="1">
        <v>44325</v>
      </c>
      <c r="B260">
        <v>228.47</v>
      </c>
      <c r="C260">
        <v>236.84</v>
      </c>
      <c r="D260">
        <v>241.1</v>
      </c>
      <c r="E260">
        <v>219.07</v>
      </c>
      <c r="F260" t="s">
        <v>255</v>
      </c>
      <c r="G260" s="2"/>
    </row>
    <row r="261" spans="1:7" x14ac:dyDescent="0.35">
      <c r="A261" s="1">
        <v>44318</v>
      </c>
      <c r="B261">
        <v>235.47</v>
      </c>
      <c r="C261">
        <v>234.11</v>
      </c>
      <c r="D261">
        <v>237.1</v>
      </c>
      <c r="E261">
        <v>225.65</v>
      </c>
      <c r="F261" t="s">
        <v>256</v>
      </c>
      <c r="G261" s="2"/>
    </row>
    <row r="262" spans="1:7" x14ac:dyDescent="0.35">
      <c r="A262" s="1">
        <v>44311</v>
      </c>
      <c r="B262">
        <v>234.31</v>
      </c>
      <c r="C262">
        <v>240.24</v>
      </c>
      <c r="D262">
        <v>244.65</v>
      </c>
      <c r="E262">
        <v>231.8</v>
      </c>
      <c r="F262" t="s">
        <v>257</v>
      </c>
      <c r="G262" s="2"/>
    </row>
    <row r="263" spans="1:7" x14ac:dyDescent="0.35">
      <c r="A263" s="1">
        <v>44304</v>
      </c>
      <c r="B263">
        <v>238.38</v>
      </c>
      <c r="C263">
        <v>247</v>
      </c>
      <c r="D263">
        <v>247</v>
      </c>
      <c r="E263">
        <v>230.22</v>
      </c>
      <c r="F263" t="s">
        <v>258</v>
      </c>
      <c r="G263" s="2"/>
    </row>
    <row r="264" spans="1:7" x14ac:dyDescent="0.35">
      <c r="A264" s="1">
        <v>44297</v>
      </c>
      <c r="B264">
        <v>248.18</v>
      </c>
      <c r="C264">
        <v>250.57</v>
      </c>
      <c r="D264">
        <v>258.37</v>
      </c>
      <c r="E264">
        <v>246.1</v>
      </c>
      <c r="F264" t="s">
        <v>259</v>
      </c>
      <c r="G264" s="2"/>
    </row>
    <row r="265" spans="1:7" x14ac:dyDescent="0.35">
      <c r="A265" s="1">
        <v>44290</v>
      </c>
      <c r="B265">
        <v>252.36</v>
      </c>
      <c r="C265">
        <v>256.56</v>
      </c>
      <c r="D265">
        <v>260.48</v>
      </c>
      <c r="E265">
        <v>249.31</v>
      </c>
      <c r="F265" t="s">
        <v>260</v>
      </c>
      <c r="G265" s="2"/>
    </row>
    <row r="266" spans="1:7" x14ac:dyDescent="0.35">
      <c r="A266" s="1">
        <v>44283</v>
      </c>
      <c r="B266">
        <v>252.96</v>
      </c>
      <c r="C266">
        <v>251.3</v>
      </c>
      <c r="D266">
        <v>257.88</v>
      </c>
      <c r="E266">
        <v>248.03</v>
      </c>
      <c r="F266" t="s">
        <v>261</v>
      </c>
      <c r="G266" s="2"/>
    </row>
    <row r="267" spans="1:7" x14ac:dyDescent="0.35">
      <c r="A267" s="1">
        <v>44276</v>
      </c>
      <c r="B267">
        <v>244.87</v>
      </c>
      <c r="C267">
        <v>255.82</v>
      </c>
      <c r="D267">
        <v>257.67</v>
      </c>
      <c r="E267">
        <v>231.7</v>
      </c>
      <c r="F267" t="s">
        <v>262</v>
      </c>
      <c r="G267" s="2"/>
    </row>
    <row r="268" spans="1:7" x14ac:dyDescent="0.35">
      <c r="A268" s="1">
        <v>44269</v>
      </c>
      <c r="B268">
        <v>255.82</v>
      </c>
      <c r="C268">
        <v>274.14999999999998</v>
      </c>
      <c r="D268">
        <v>278.57</v>
      </c>
      <c r="E268">
        <v>251.31</v>
      </c>
      <c r="F268" t="s">
        <v>263</v>
      </c>
      <c r="G268" s="2"/>
    </row>
    <row r="269" spans="1:7" x14ac:dyDescent="0.35">
      <c r="A269" s="1">
        <v>44262</v>
      </c>
      <c r="B269">
        <v>269.19</v>
      </c>
      <c r="C269">
        <v>226.67</v>
      </c>
      <c r="D269">
        <v>269.72000000000003</v>
      </c>
      <c r="E269">
        <v>222.58</v>
      </c>
      <c r="F269" t="s">
        <v>264</v>
      </c>
      <c r="G269" s="2"/>
    </row>
    <row r="270" spans="1:7" x14ac:dyDescent="0.35">
      <c r="A270" s="1">
        <v>44255</v>
      </c>
      <c r="B270">
        <v>223.22</v>
      </c>
      <c r="C270">
        <v>219.6</v>
      </c>
      <c r="D270">
        <v>237.1</v>
      </c>
      <c r="E270">
        <v>213.8</v>
      </c>
      <c r="F270" t="s">
        <v>265</v>
      </c>
      <c r="G270" s="2"/>
    </row>
    <row r="271" spans="1:7" x14ac:dyDescent="0.35">
      <c r="A271" s="1">
        <v>44248</v>
      </c>
      <c r="B271">
        <v>212.01</v>
      </c>
      <c r="C271">
        <v>211.89</v>
      </c>
      <c r="D271">
        <v>229.61</v>
      </c>
      <c r="E271">
        <v>206.6</v>
      </c>
      <c r="F271" t="s">
        <v>266</v>
      </c>
      <c r="G271" s="2"/>
    </row>
    <row r="272" spans="1:7" x14ac:dyDescent="0.35">
      <c r="A272" s="1">
        <v>44241</v>
      </c>
      <c r="B272">
        <v>217.47</v>
      </c>
      <c r="C272">
        <v>213.08</v>
      </c>
      <c r="D272">
        <v>218.71</v>
      </c>
      <c r="E272">
        <v>208.08</v>
      </c>
      <c r="F272" t="s">
        <v>267</v>
      </c>
      <c r="G272" s="2"/>
    </row>
    <row r="273" spans="1:7" x14ac:dyDescent="0.35">
      <c r="A273" s="1">
        <v>44234</v>
      </c>
      <c r="B273">
        <v>210.98</v>
      </c>
      <c r="C273">
        <v>209.55</v>
      </c>
      <c r="D273">
        <v>217.49</v>
      </c>
      <c r="E273">
        <v>208.3</v>
      </c>
      <c r="F273" t="s">
        <v>268</v>
      </c>
      <c r="G273" s="2"/>
    </row>
    <row r="274" spans="1:7" x14ac:dyDescent="0.35">
      <c r="A274" s="1">
        <v>44227</v>
      </c>
      <c r="B274">
        <v>207.93</v>
      </c>
      <c r="C274">
        <v>196</v>
      </c>
      <c r="D274">
        <v>213.2</v>
      </c>
      <c r="E274">
        <v>192.86</v>
      </c>
      <c r="F274" t="s">
        <v>269</v>
      </c>
      <c r="G274" s="2"/>
    </row>
    <row r="275" spans="1:7" x14ac:dyDescent="0.35">
      <c r="A275" s="1">
        <v>44220</v>
      </c>
      <c r="B275">
        <v>194.19</v>
      </c>
      <c r="C275">
        <v>203.26</v>
      </c>
      <c r="D275">
        <v>208.35</v>
      </c>
      <c r="E275">
        <v>191.85</v>
      </c>
      <c r="F275" t="s">
        <v>270</v>
      </c>
      <c r="G275" s="2"/>
    </row>
    <row r="276" spans="1:7" x14ac:dyDescent="0.35">
      <c r="A276" s="1">
        <v>44213</v>
      </c>
      <c r="B276">
        <v>205.84</v>
      </c>
      <c r="C276">
        <v>206.99</v>
      </c>
      <c r="D276">
        <v>215.59</v>
      </c>
      <c r="E276">
        <v>204.27</v>
      </c>
      <c r="F276" t="s">
        <v>271</v>
      </c>
      <c r="G276" s="2"/>
    </row>
    <row r="277" spans="1:7" x14ac:dyDescent="0.35">
      <c r="A277" s="1">
        <v>44206</v>
      </c>
      <c r="B277">
        <v>204.32</v>
      </c>
      <c r="C277">
        <v>203.03</v>
      </c>
      <c r="D277">
        <v>214.19</v>
      </c>
      <c r="E277">
        <v>201.01</v>
      </c>
      <c r="F277" t="s">
        <v>272</v>
      </c>
      <c r="G277" s="2"/>
    </row>
    <row r="278" spans="1:7" x14ac:dyDescent="0.35">
      <c r="A278" s="1">
        <v>44199</v>
      </c>
      <c r="B278">
        <v>209.9</v>
      </c>
      <c r="C278">
        <v>210</v>
      </c>
      <c r="D278">
        <v>216.6</v>
      </c>
      <c r="E278">
        <v>202.49</v>
      </c>
      <c r="F278" t="s">
        <v>273</v>
      </c>
      <c r="G278" s="2"/>
    </row>
    <row r="279" spans="1:7" x14ac:dyDescent="0.35">
      <c r="A279" s="1">
        <v>44192</v>
      </c>
      <c r="B279">
        <v>214.06</v>
      </c>
      <c r="C279">
        <v>218.19</v>
      </c>
      <c r="D279">
        <v>221.68</v>
      </c>
      <c r="E279">
        <v>212.7</v>
      </c>
      <c r="F279" t="s">
        <v>274</v>
      </c>
      <c r="G279" s="2"/>
    </row>
    <row r="280" spans="1:7" x14ac:dyDescent="0.35">
      <c r="A280" s="1">
        <v>44185</v>
      </c>
      <c r="B280">
        <v>217.15</v>
      </c>
      <c r="C280">
        <v>212.34</v>
      </c>
      <c r="D280">
        <v>224.4</v>
      </c>
      <c r="E280">
        <v>211.1</v>
      </c>
      <c r="F280" t="s">
        <v>275</v>
      </c>
      <c r="G280" s="2"/>
    </row>
    <row r="281" spans="1:7" x14ac:dyDescent="0.35">
      <c r="A281" s="1">
        <v>44178</v>
      </c>
      <c r="B281">
        <v>219.75</v>
      </c>
      <c r="C281">
        <v>235</v>
      </c>
      <c r="D281">
        <v>237.63</v>
      </c>
      <c r="E281">
        <v>218.61</v>
      </c>
      <c r="F281" t="s">
        <v>276</v>
      </c>
      <c r="G281" s="2"/>
    </row>
    <row r="282" spans="1:7" x14ac:dyDescent="0.35">
      <c r="A282" s="1">
        <v>44171</v>
      </c>
      <c r="B282">
        <v>230.33</v>
      </c>
      <c r="C282">
        <v>238.5</v>
      </c>
      <c r="D282">
        <v>244.08</v>
      </c>
      <c r="E282">
        <v>228.02</v>
      </c>
      <c r="F282" t="s">
        <v>277</v>
      </c>
      <c r="G282" s="2"/>
    </row>
    <row r="283" spans="1:7" x14ac:dyDescent="0.35">
      <c r="A283" s="1">
        <v>44164</v>
      </c>
      <c r="B283">
        <v>232.71</v>
      </c>
      <c r="C283">
        <v>215.7</v>
      </c>
      <c r="D283">
        <v>242</v>
      </c>
      <c r="E283">
        <v>208.52</v>
      </c>
      <c r="F283" t="s">
        <v>278</v>
      </c>
      <c r="G283" s="2"/>
    </row>
    <row r="284" spans="1:7" x14ac:dyDescent="0.35">
      <c r="A284" s="1">
        <v>44157</v>
      </c>
      <c r="B284">
        <v>216.5</v>
      </c>
      <c r="C284">
        <v>203.24</v>
      </c>
      <c r="D284">
        <v>222.95</v>
      </c>
      <c r="E284">
        <v>201.87</v>
      </c>
      <c r="F284" t="s">
        <v>279</v>
      </c>
      <c r="G284" s="2"/>
    </row>
    <row r="285" spans="1:7" x14ac:dyDescent="0.35">
      <c r="A285" s="1">
        <v>44150</v>
      </c>
      <c r="B285">
        <v>199.62</v>
      </c>
      <c r="C285">
        <v>194.56</v>
      </c>
      <c r="D285">
        <v>223.02</v>
      </c>
      <c r="E285">
        <v>191.35</v>
      </c>
      <c r="F285" t="s">
        <v>280</v>
      </c>
      <c r="G285" s="2"/>
    </row>
    <row r="286" spans="1:7" x14ac:dyDescent="0.35">
      <c r="A286" s="1">
        <v>44143</v>
      </c>
      <c r="B286">
        <v>187.11</v>
      </c>
      <c r="C286">
        <v>179</v>
      </c>
      <c r="D286">
        <v>193.95</v>
      </c>
      <c r="E286">
        <v>172.16</v>
      </c>
      <c r="F286" t="s">
        <v>281</v>
      </c>
      <c r="G286" s="2"/>
    </row>
    <row r="287" spans="1:7" x14ac:dyDescent="0.35">
      <c r="A287" s="1">
        <v>44136</v>
      </c>
      <c r="B287">
        <v>157.74</v>
      </c>
      <c r="C287">
        <v>145.75</v>
      </c>
      <c r="D287">
        <v>158.47</v>
      </c>
      <c r="E287">
        <v>143.38</v>
      </c>
      <c r="F287" t="s">
        <v>282</v>
      </c>
      <c r="G287" s="2"/>
    </row>
    <row r="288" spans="1:7" x14ac:dyDescent="0.35">
      <c r="A288" s="1">
        <v>44129</v>
      </c>
      <c r="B288">
        <v>144.38999999999999</v>
      </c>
      <c r="C288">
        <v>164.95</v>
      </c>
      <c r="D288">
        <v>165.5</v>
      </c>
      <c r="E288">
        <v>141.58000000000001</v>
      </c>
      <c r="F288" t="s">
        <v>283</v>
      </c>
      <c r="G288" s="2"/>
    </row>
    <row r="289" spans="1:7" x14ac:dyDescent="0.35">
      <c r="A289" s="1">
        <v>44122</v>
      </c>
      <c r="B289">
        <v>167.36</v>
      </c>
      <c r="C289">
        <v>169.09</v>
      </c>
      <c r="D289">
        <v>170.84</v>
      </c>
      <c r="E289">
        <v>163.82</v>
      </c>
      <c r="F289" t="s">
        <v>284</v>
      </c>
      <c r="G289" s="2"/>
    </row>
    <row r="290" spans="1:7" x14ac:dyDescent="0.35">
      <c r="A290" s="1">
        <v>44115</v>
      </c>
      <c r="B290">
        <v>167.35</v>
      </c>
      <c r="C290">
        <v>167.75</v>
      </c>
      <c r="D290">
        <v>173.42</v>
      </c>
      <c r="E290">
        <v>158.72999999999999</v>
      </c>
      <c r="F290" t="s">
        <v>285</v>
      </c>
      <c r="G290" s="2"/>
    </row>
    <row r="291" spans="1:7" x14ac:dyDescent="0.35">
      <c r="A291" s="1">
        <v>44108</v>
      </c>
      <c r="B291">
        <v>167.33</v>
      </c>
      <c r="C291">
        <v>169.49</v>
      </c>
      <c r="D291">
        <v>175.56</v>
      </c>
      <c r="E291">
        <v>159.33000000000001</v>
      </c>
      <c r="F291" t="s">
        <v>286</v>
      </c>
      <c r="G291" s="2"/>
    </row>
    <row r="292" spans="1:7" x14ac:dyDescent="0.35">
      <c r="A292" s="1">
        <v>44101</v>
      </c>
      <c r="B292">
        <v>168.08</v>
      </c>
      <c r="C292">
        <v>160.33000000000001</v>
      </c>
      <c r="D292">
        <v>172.76</v>
      </c>
      <c r="E292">
        <v>159.19999999999999</v>
      </c>
      <c r="F292" t="s">
        <v>287</v>
      </c>
      <c r="G292" s="2"/>
    </row>
    <row r="293" spans="1:7" x14ac:dyDescent="0.35">
      <c r="A293" s="1">
        <v>44094</v>
      </c>
      <c r="B293">
        <v>156.03</v>
      </c>
      <c r="C293">
        <v>157.83000000000001</v>
      </c>
      <c r="D293">
        <v>160.41999999999999</v>
      </c>
      <c r="E293">
        <v>145.02000000000001</v>
      </c>
      <c r="F293" t="s">
        <v>288</v>
      </c>
      <c r="G293" s="2"/>
    </row>
    <row r="294" spans="1:7" x14ac:dyDescent="0.35">
      <c r="A294" s="1">
        <v>44087</v>
      </c>
      <c r="B294">
        <v>161.13999999999999</v>
      </c>
      <c r="C294">
        <v>161.75</v>
      </c>
      <c r="D294">
        <v>170.57</v>
      </c>
      <c r="E294">
        <v>158.9</v>
      </c>
      <c r="F294" t="s">
        <v>289</v>
      </c>
      <c r="G294" s="2"/>
    </row>
    <row r="295" spans="1:7" x14ac:dyDescent="0.35">
      <c r="A295" s="1">
        <v>44080</v>
      </c>
      <c r="B295">
        <v>160.22999999999999</v>
      </c>
      <c r="C295">
        <v>165.8</v>
      </c>
      <c r="D295">
        <v>166.9</v>
      </c>
      <c r="E295">
        <v>156.32</v>
      </c>
      <c r="F295" t="s">
        <v>290</v>
      </c>
      <c r="G295" s="2"/>
    </row>
    <row r="296" spans="1:7" x14ac:dyDescent="0.35">
      <c r="A296" s="1">
        <v>44073</v>
      </c>
      <c r="B296">
        <v>171.05</v>
      </c>
      <c r="C296">
        <v>174.65</v>
      </c>
      <c r="D296">
        <v>180.85</v>
      </c>
      <c r="E296">
        <v>164</v>
      </c>
      <c r="F296" t="s">
        <v>291</v>
      </c>
      <c r="G296" s="2"/>
    </row>
    <row r="297" spans="1:7" x14ac:dyDescent="0.35">
      <c r="A297" s="1">
        <v>44066</v>
      </c>
      <c r="B297">
        <v>175.8</v>
      </c>
      <c r="C297">
        <v>168.78</v>
      </c>
      <c r="D297">
        <v>181.31</v>
      </c>
      <c r="E297">
        <v>167.93</v>
      </c>
      <c r="F297" t="s">
        <v>292</v>
      </c>
      <c r="G297" s="2"/>
    </row>
    <row r="298" spans="1:7" x14ac:dyDescent="0.35">
      <c r="A298" s="1">
        <v>44059</v>
      </c>
      <c r="B298">
        <v>167.5</v>
      </c>
      <c r="C298">
        <v>178.24</v>
      </c>
      <c r="D298">
        <v>178.29</v>
      </c>
      <c r="E298">
        <v>165.86</v>
      </c>
      <c r="F298" t="s">
        <v>293</v>
      </c>
      <c r="G298" s="2"/>
    </row>
    <row r="299" spans="1:7" x14ac:dyDescent="0.35">
      <c r="A299" s="1">
        <v>44052</v>
      </c>
      <c r="B299">
        <v>178.08</v>
      </c>
      <c r="C299">
        <v>171.36</v>
      </c>
      <c r="D299">
        <v>189.97</v>
      </c>
      <c r="E299">
        <v>171.33</v>
      </c>
      <c r="F299" t="s">
        <v>294</v>
      </c>
      <c r="G299" s="2"/>
    </row>
    <row r="300" spans="1:7" x14ac:dyDescent="0.35">
      <c r="A300" s="1">
        <v>44045</v>
      </c>
      <c r="B300">
        <v>170.02</v>
      </c>
      <c r="C300">
        <v>156.51</v>
      </c>
      <c r="D300">
        <v>175.57</v>
      </c>
      <c r="E300">
        <v>153.41</v>
      </c>
      <c r="F300" t="s">
        <v>295</v>
      </c>
      <c r="G300" s="2"/>
    </row>
    <row r="301" spans="1:7" x14ac:dyDescent="0.35">
      <c r="A301" s="1">
        <v>44038</v>
      </c>
      <c r="B301">
        <v>158</v>
      </c>
      <c r="C301">
        <v>173.19</v>
      </c>
      <c r="D301">
        <v>174.14</v>
      </c>
      <c r="E301">
        <v>156.26</v>
      </c>
      <c r="F301" t="s">
        <v>296</v>
      </c>
      <c r="G301" s="2"/>
    </row>
    <row r="302" spans="1:7" x14ac:dyDescent="0.35">
      <c r="A302" s="1">
        <v>44031</v>
      </c>
      <c r="B302">
        <v>173.76</v>
      </c>
      <c r="C302">
        <v>175.13</v>
      </c>
      <c r="D302">
        <v>182.95</v>
      </c>
      <c r="E302">
        <v>171.62</v>
      </c>
      <c r="F302" t="s">
        <v>297</v>
      </c>
      <c r="G302" s="2"/>
    </row>
    <row r="303" spans="1:7" x14ac:dyDescent="0.35">
      <c r="A303" s="1">
        <v>44024</v>
      </c>
      <c r="B303">
        <v>175.66</v>
      </c>
      <c r="C303">
        <v>180.2</v>
      </c>
      <c r="D303">
        <v>189.53</v>
      </c>
      <c r="E303">
        <v>173.41</v>
      </c>
      <c r="F303" t="s">
        <v>298</v>
      </c>
      <c r="G303" s="2"/>
    </row>
    <row r="304" spans="1:7" x14ac:dyDescent="0.35">
      <c r="A304" s="1">
        <v>44017</v>
      </c>
      <c r="B304">
        <v>178.44</v>
      </c>
      <c r="C304">
        <v>184.52</v>
      </c>
      <c r="D304">
        <v>189.36</v>
      </c>
      <c r="E304">
        <v>169.75</v>
      </c>
      <c r="F304" t="s">
        <v>299</v>
      </c>
      <c r="G304" s="2"/>
    </row>
    <row r="305" spans="1:7" x14ac:dyDescent="0.35">
      <c r="A305" s="1">
        <v>44010</v>
      </c>
      <c r="B305">
        <v>180.81</v>
      </c>
      <c r="C305">
        <v>181</v>
      </c>
      <c r="D305">
        <v>194.5</v>
      </c>
      <c r="E305">
        <v>176.27</v>
      </c>
      <c r="F305" t="s">
        <v>300</v>
      </c>
      <c r="G305" s="2"/>
    </row>
    <row r="306" spans="1:7" x14ac:dyDescent="0.35">
      <c r="A306" s="1">
        <v>44003</v>
      </c>
      <c r="B306">
        <v>170.01</v>
      </c>
      <c r="C306">
        <v>184.56</v>
      </c>
      <c r="D306">
        <v>190.12</v>
      </c>
      <c r="E306">
        <v>167.6</v>
      </c>
      <c r="F306" t="s">
        <v>301</v>
      </c>
      <c r="G306" s="2"/>
    </row>
    <row r="307" spans="1:7" x14ac:dyDescent="0.35">
      <c r="A307" s="1">
        <v>43996</v>
      </c>
      <c r="B307">
        <v>187.02</v>
      </c>
      <c r="C307">
        <v>177.18</v>
      </c>
      <c r="D307">
        <v>208.3</v>
      </c>
      <c r="E307">
        <v>175.89</v>
      </c>
      <c r="F307" t="s">
        <v>302</v>
      </c>
      <c r="G307" s="2"/>
    </row>
    <row r="308" spans="1:7" x14ac:dyDescent="0.35">
      <c r="A308" s="1">
        <v>43989</v>
      </c>
      <c r="B308">
        <v>189.51</v>
      </c>
      <c r="C308">
        <v>222.94</v>
      </c>
      <c r="D308">
        <v>234.2</v>
      </c>
      <c r="E308">
        <v>166.01</v>
      </c>
      <c r="F308" t="s">
        <v>303</v>
      </c>
      <c r="G308" s="2"/>
    </row>
    <row r="309" spans="1:7" x14ac:dyDescent="0.35">
      <c r="A309" s="1">
        <v>43982</v>
      </c>
      <c r="B309">
        <v>205.43</v>
      </c>
      <c r="C309">
        <v>145.44999999999999</v>
      </c>
      <c r="D309">
        <v>218.79</v>
      </c>
      <c r="E309">
        <v>144.55000000000001</v>
      </c>
      <c r="F309" t="s">
        <v>304</v>
      </c>
      <c r="G309" s="2"/>
    </row>
    <row r="310" spans="1:7" x14ac:dyDescent="0.35">
      <c r="A310" s="1">
        <v>43975</v>
      </c>
      <c r="B310">
        <v>145.85</v>
      </c>
      <c r="C310">
        <v>145.21</v>
      </c>
      <c r="D310">
        <v>156.69999999999999</v>
      </c>
      <c r="E310">
        <v>141.24</v>
      </c>
      <c r="F310" t="s">
        <v>305</v>
      </c>
      <c r="G310" s="2"/>
    </row>
    <row r="311" spans="1:7" x14ac:dyDescent="0.35">
      <c r="A311" s="1">
        <v>43968</v>
      </c>
      <c r="B311">
        <v>137.53</v>
      </c>
      <c r="C311">
        <v>126.18</v>
      </c>
      <c r="D311">
        <v>144.24</v>
      </c>
      <c r="E311">
        <v>125.8</v>
      </c>
      <c r="F311" t="s">
        <v>306</v>
      </c>
      <c r="G311" s="2"/>
    </row>
    <row r="312" spans="1:7" x14ac:dyDescent="0.35">
      <c r="A312" s="1">
        <v>43961</v>
      </c>
      <c r="B312">
        <v>120</v>
      </c>
      <c r="C312">
        <v>130.91999999999999</v>
      </c>
      <c r="D312">
        <v>133.12</v>
      </c>
      <c r="E312">
        <v>113.89</v>
      </c>
      <c r="F312" t="s">
        <v>307</v>
      </c>
      <c r="G312" s="2"/>
    </row>
    <row r="313" spans="1:7" x14ac:dyDescent="0.35">
      <c r="A313" s="1">
        <v>43954</v>
      </c>
      <c r="B313">
        <v>133.44</v>
      </c>
      <c r="C313">
        <v>127.11</v>
      </c>
      <c r="D313">
        <v>135.55000000000001</v>
      </c>
      <c r="E313">
        <v>121.37</v>
      </c>
      <c r="F313" t="s">
        <v>308</v>
      </c>
      <c r="G313" s="2"/>
    </row>
    <row r="314" spans="1:7" x14ac:dyDescent="0.35">
      <c r="A314" s="1">
        <v>43947</v>
      </c>
      <c r="B314">
        <v>133.37</v>
      </c>
      <c r="C314">
        <v>129.97</v>
      </c>
      <c r="D314">
        <v>147.18</v>
      </c>
      <c r="E314">
        <v>123.83</v>
      </c>
      <c r="F314" t="s">
        <v>309</v>
      </c>
      <c r="G31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F7A27-5E3D-4EEC-8EEF-36105CECA7BB}">
  <dimension ref="A1:F47"/>
  <sheetViews>
    <sheetView topLeftCell="A29" workbookViewId="0">
      <selection sqref="A1:C47"/>
    </sheetView>
  </sheetViews>
  <sheetFormatPr defaultRowHeight="15.5" x14ac:dyDescent="0.35"/>
  <cols>
    <col min="1" max="1" width="29.6328125" style="5" bestFit="1" customWidth="1"/>
    <col min="2" max="2" width="17.54296875" style="5" bestFit="1" customWidth="1"/>
    <col min="3" max="3" width="45.08984375" style="5" bestFit="1" customWidth="1"/>
    <col min="4" max="16384" width="8.7265625" style="5"/>
  </cols>
  <sheetData>
    <row r="1" spans="1:3" x14ac:dyDescent="0.35">
      <c r="A1" s="4" t="s">
        <v>310</v>
      </c>
      <c r="B1" s="4" t="s">
        <v>311</v>
      </c>
      <c r="C1" s="4" t="s">
        <v>312</v>
      </c>
    </row>
    <row r="2" spans="1:3" x14ac:dyDescent="0.35">
      <c r="A2" s="5" t="s">
        <v>313</v>
      </c>
      <c r="B2" s="5">
        <v>4.258E-2</v>
      </c>
      <c r="C2" s="5" t="s">
        <v>326</v>
      </c>
    </row>
    <row r="3" spans="1:3" x14ac:dyDescent="0.35">
      <c r="A3" s="5" t="s">
        <v>314</v>
      </c>
      <c r="B3" s="5">
        <v>5.5E-2</v>
      </c>
      <c r="C3" s="5" t="s">
        <v>315</v>
      </c>
    </row>
    <row r="4" spans="1:3" x14ac:dyDescent="0.35">
      <c r="A4" s="5" t="s">
        <v>316</v>
      </c>
      <c r="B4" s="5">
        <v>1.1299999999999999</v>
      </c>
      <c r="C4" s="5" t="s">
        <v>317</v>
      </c>
    </row>
    <row r="5" spans="1:3" x14ac:dyDescent="0.35">
      <c r="A5" s="5" t="s">
        <v>318</v>
      </c>
      <c r="B5" s="5">
        <v>5.1999999999999998E-2</v>
      </c>
      <c r="C5" s="5" t="s">
        <v>319</v>
      </c>
    </row>
    <row r="6" spans="1:3" s="4" customFormat="1" x14ac:dyDescent="0.35">
      <c r="A6" s="5" t="s">
        <v>320</v>
      </c>
      <c r="B6" s="5">
        <v>0.21</v>
      </c>
      <c r="C6" s="5" t="s">
        <v>321</v>
      </c>
    </row>
    <row r="7" spans="1:3" x14ac:dyDescent="0.35">
      <c r="A7" s="5" t="s">
        <v>322</v>
      </c>
      <c r="B7" s="5">
        <v>170370000000</v>
      </c>
      <c r="C7" s="5" t="s">
        <v>323</v>
      </c>
    </row>
    <row r="8" spans="1:3" x14ac:dyDescent="0.35">
      <c r="A8" s="5" t="s">
        <v>324</v>
      </c>
      <c r="B8" s="5">
        <v>54100000000</v>
      </c>
      <c r="C8" s="5" t="s">
        <v>325</v>
      </c>
    </row>
    <row r="10" spans="1:3" x14ac:dyDescent="0.35">
      <c r="A10" s="3" t="s">
        <v>332</v>
      </c>
    </row>
    <row r="11" spans="1:3" x14ac:dyDescent="0.35">
      <c r="A11" s="4" t="s">
        <v>327</v>
      </c>
    </row>
    <row r="15" spans="1:3" x14ac:dyDescent="0.35">
      <c r="A15" s="4" t="s">
        <v>328</v>
      </c>
      <c r="B15" s="4" t="s">
        <v>311</v>
      </c>
    </row>
    <row r="16" spans="1:3" x14ac:dyDescent="0.35">
      <c r="A16" s="5" t="s">
        <v>313</v>
      </c>
      <c r="B16" s="6">
        <f>B2</f>
        <v>4.258E-2</v>
      </c>
    </row>
    <row r="17" spans="1:6" x14ac:dyDescent="0.35">
      <c r="A17" s="5" t="s">
        <v>329</v>
      </c>
      <c r="B17" s="5">
        <f>B4</f>
        <v>1.1299999999999999</v>
      </c>
    </row>
    <row r="18" spans="1:6" x14ac:dyDescent="0.35">
      <c r="A18" s="5" t="s">
        <v>330</v>
      </c>
      <c r="B18" s="6">
        <f>B3</f>
        <v>5.5E-2</v>
      </c>
    </row>
    <row r="19" spans="1:6" x14ac:dyDescent="0.35">
      <c r="A19" s="5" t="s">
        <v>331</v>
      </c>
      <c r="B19" s="6">
        <f>B16+(B17*B18)</f>
        <v>0.10472999999999999</v>
      </c>
    </row>
    <row r="22" spans="1:6" x14ac:dyDescent="0.35">
      <c r="A22" s="4" t="s">
        <v>333</v>
      </c>
    </row>
    <row r="23" spans="1:6" x14ac:dyDescent="0.35">
      <c r="A23" s="5" t="s">
        <v>334</v>
      </c>
      <c r="B23" s="7">
        <f>B5</f>
        <v>5.1999999999999998E-2</v>
      </c>
      <c r="F23" s="6"/>
    </row>
    <row r="24" spans="1:6" x14ac:dyDescent="0.35">
      <c r="A24" s="5" t="s">
        <v>335</v>
      </c>
      <c r="B24" s="7">
        <f>B6</f>
        <v>0.21</v>
      </c>
      <c r="F24" s="6"/>
    </row>
    <row r="25" spans="1:6" x14ac:dyDescent="0.35">
      <c r="A25" s="5" t="s">
        <v>336</v>
      </c>
      <c r="B25" s="7">
        <f>B2*(1-B3)</f>
        <v>4.0238099999999999E-2</v>
      </c>
      <c r="F25" s="6"/>
    </row>
    <row r="27" spans="1:6" x14ac:dyDescent="0.35">
      <c r="A27" s="4" t="s">
        <v>337</v>
      </c>
    </row>
    <row r="28" spans="1:6" x14ac:dyDescent="0.35">
      <c r="A28" s="4" t="s">
        <v>328</v>
      </c>
      <c r="B28" s="4" t="s">
        <v>311</v>
      </c>
    </row>
    <row r="29" spans="1:6" x14ac:dyDescent="0.35">
      <c r="A29" s="5" t="s">
        <v>322</v>
      </c>
      <c r="B29" s="8">
        <f>B7</f>
        <v>170370000000</v>
      </c>
    </row>
    <row r="30" spans="1:6" x14ac:dyDescent="0.35">
      <c r="A30" s="5" t="s">
        <v>324</v>
      </c>
      <c r="B30" s="8">
        <f>B8</f>
        <v>54100000000</v>
      </c>
    </row>
    <row r="31" spans="1:6" x14ac:dyDescent="0.35">
      <c r="A31" s="5" t="s">
        <v>338</v>
      </c>
      <c r="B31" s="8">
        <f>SUM(B29:B30)</f>
        <v>224470000000</v>
      </c>
    </row>
    <row r="32" spans="1:6" x14ac:dyDescent="0.35">
      <c r="A32" s="5" t="s">
        <v>339</v>
      </c>
      <c r="B32" s="6">
        <f>B29/B31</f>
        <v>0.75898783801844349</v>
      </c>
    </row>
    <row r="33" spans="1:2" x14ac:dyDescent="0.35">
      <c r="A33" s="5" t="s">
        <v>340</v>
      </c>
      <c r="B33" s="6">
        <f>B30/B31</f>
        <v>0.24101216198155656</v>
      </c>
    </row>
    <row r="39" spans="1:2" x14ac:dyDescent="0.35">
      <c r="A39" s="4" t="s">
        <v>341</v>
      </c>
    </row>
    <row r="40" spans="1:2" x14ac:dyDescent="0.35">
      <c r="A40" s="4" t="s">
        <v>328</v>
      </c>
      <c r="B40" s="4" t="s">
        <v>311</v>
      </c>
    </row>
    <row r="41" spans="1:2" x14ac:dyDescent="0.35">
      <c r="A41" s="5" t="s">
        <v>342</v>
      </c>
      <c r="B41" s="6">
        <f>B19</f>
        <v>0.10472999999999999</v>
      </c>
    </row>
    <row r="42" spans="1:2" x14ac:dyDescent="0.35">
      <c r="A42" s="5" t="s">
        <v>339</v>
      </c>
      <c r="B42" s="6">
        <f>B32</f>
        <v>0.75898783801844349</v>
      </c>
    </row>
    <row r="43" spans="1:2" x14ac:dyDescent="0.35">
      <c r="A43" s="5" t="s">
        <v>343</v>
      </c>
      <c r="B43" s="6">
        <f>B41*B42</f>
        <v>7.9488796275671583E-2</v>
      </c>
    </row>
    <row r="44" spans="1:2" x14ac:dyDescent="0.35">
      <c r="A44" s="5" t="s">
        <v>336</v>
      </c>
      <c r="B44" s="6">
        <f>B25</f>
        <v>4.0238099999999999E-2</v>
      </c>
    </row>
    <row r="45" spans="1:2" x14ac:dyDescent="0.35">
      <c r="A45" s="5" t="s">
        <v>340</v>
      </c>
      <c r="B45" s="6">
        <f>B33</f>
        <v>0.24101216198155656</v>
      </c>
    </row>
    <row r="46" spans="1:2" x14ac:dyDescent="0.35">
      <c r="A46" s="5" t="s">
        <v>344</v>
      </c>
      <c r="B46" s="6">
        <f>B44*B45</f>
        <v>9.6978714750300711E-3</v>
      </c>
    </row>
    <row r="47" spans="1:2" x14ac:dyDescent="0.35">
      <c r="A47" s="4" t="s">
        <v>345</v>
      </c>
      <c r="B47" s="9">
        <f>B46+B43</f>
        <v>8.9186667750701651E-2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CF5FB-6BCF-488F-BD4A-DA10C3C8640F}">
  <dimension ref="A1:K19"/>
  <sheetViews>
    <sheetView workbookViewId="0">
      <selection activeCell="A8" sqref="A8:G19"/>
    </sheetView>
  </sheetViews>
  <sheetFormatPr defaultRowHeight="14.5" x14ac:dyDescent="0.35"/>
  <cols>
    <col min="1" max="1" width="26.54296875" bestFit="1" customWidth="1"/>
    <col min="2" max="2" width="10.36328125" bestFit="1" customWidth="1"/>
    <col min="3" max="3" width="11.54296875" customWidth="1"/>
    <col min="4" max="7" width="10.36328125" bestFit="1" customWidth="1"/>
    <col min="10" max="10" width="18" bestFit="1" customWidth="1"/>
    <col min="11" max="11" width="10.36328125" bestFit="1" customWidth="1"/>
    <col min="12" max="12" width="12.36328125" bestFit="1" customWidth="1"/>
  </cols>
  <sheetData>
    <row r="1" spans="1:11" x14ac:dyDescent="0.35">
      <c r="A1" t="s">
        <v>310</v>
      </c>
      <c r="B1" t="s">
        <v>311</v>
      </c>
      <c r="C1" t="s">
        <v>346</v>
      </c>
      <c r="J1" t="s">
        <v>328</v>
      </c>
      <c r="K1" t="s">
        <v>311</v>
      </c>
    </row>
    <row r="2" spans="1:11" x14ac:dyDescent="0.35">
      <c r="A2" t="s">
        <v>347</v>
      </c>
      <c r="B2" s="10">
        <v>5000000</v>
      </c>
      <c r="C2" t="s">
        <v>348</v>
      </c>
      <c r="J2" t="s">
        <v>361</v>
      </c>
      <c r="K2" s="10">
        <f>B2</f>
        <v>5000000</v>
      </c>
    </row>
    <row r="3" spans="1:11" x14ac:dyDescent="0.35">
      <c r="A3" t="s">
        <v>349</v>
      </c>
      <c r="B3" s="10">
        <v>1000000</v>
      </c>
      <c r="C3" t="s">
        <v>348</v>
      </c>
      <c r="J3" t="s">
        <v>362</v>
      </c>
      <c r="K3" s="10">
        <f>B3</f>
        <v>1000000</v>
      </c>
    </row>
    <row r="4" spans="1:11" x14ac:dyDescent="0.35">
      <c r="A4" t="s">
        <v>350</v>
      </c>
      <c r="B4">
        <v>5</v>
      </c>
      <c r="C4" t="s">
        <v>348</v>
      </c>
      <c r="J4" t="s">
        <v>363</v>
      </c>
      <c r="K4" s="10">
        <f>B2-B3</f>
        <v>4000000</v>
      </c>
    </row>
    <row r="5" spans="1:11" x14ac:dyDescent="0.35">
      <c r="A5" t="s">
        <v>351</v>
      </c>
      <c r="B5">
        <f>WACC!B6</f>
        <v>0.21</v>
      </c>
      <c r="C5" t="s">
        <v>354</v>
      </c>
      <c r="J5" t="s">
        <v>350</v>
      </c>
      <c r="K5">
        <f>B4</f>
        <v>5</v>
      </c>
    </row>
    <row r="6" spans="1:11" x14ac:dyDescent="0.35">
      <c r="A6" t="s">
        <v>352</v>
      </c>
      <c r="B6">
        <v>0.6</v>
      </c>
      <c r="C6" t="s">
        <v>353</v>
      </c>
      <c r="J6" t="s">
        <v>364</v>
      </c>
      <c r="K6" s="10">
        <f>K4/K5</f>
        <v>800000</v>
      </c>
    </row>
    <row r="8" spans="1:11" x14ac:dyDescent="0.35">
      <c r="A8" s="11"/>
      <c r="B8" s="11" t="s">
        <v>374</v>
      </c>
      <c r="C8" s="11" t="s">
        <v>355</v>
      </c>
      <c r="D8" s="11" t="s">
        <v>356</v>
      </c>
      <c r="E8" s="11" t="s">
        <v>357</v>
      </c>
      <c r="F8" s="11" t="s">
        <v>358</v>
      </c>
      <c r="G8" s="11" t="s">
        <v>359</v>
      </c>
    </row>
    <row r="9" spans="1:11" x14ac:dyDescent="0.35">
      <c r="A9" s="11" t="s">
        <v>360</v>
      </c>
      <c r="B9" s="11"/>
      <c r="C9" s="12">
        <v>2000000</v>
      </c>
      <c r="D9" s="12">
        <v>4000000</v>
      </c>
      <c r="E9" s="12">
        <v>5000000</v>
      </c>
      <c r="F9" s="12">
        <v>5500000</v>
      </c>
      <c r="G9" s="12">
        <v>6000000</v>
      </c>
    </row>
    <row r="10" spans="1:11" x14ac:dyDescent="0.35">
      <c r="A10" t="s">
        <v>365</v>
      </c>
      <c r="C10" s="10">
        <f>$K$6</f>
        <v>800000</v>
      </c>
      <c r="D10" s="10">
        <f>$K$6</f>
        <v>800000</v>
      </c>
      <c r="E10" s="10">
        <f>$K$6</f>
        <v>800000</v>
      </c>
      <c r="F10" s="10">
        <f>$K$6</f>
        <v>800000</v>
      </c>
      <c r="G10" s="10">
        <f>$K$6</f>
        <v>800000</v>
      </c>
    </row>
    <row r="11" spans="1:11" x14ac:dyDescent="0.35">
      <c r="A11" t="s">
        <v>366</v>
      </c>
      <c r="C11" s="10">
        <f>$B$6*C9</f>
        <v>1200000</v>
      </c>
      <c r="D11" s="10">
        <f>$B$6*D9</f>
        <v>2400000</v>
      </c>
      <c r="E11" s="10">
        <f>$B$6*E9</f>
        <v>3000000</v>
      </c>
      <c r="F11" s="10">
        <f>$B$6*F9</f>
        <v>3300000</v>
      </c>
      <c r="G11" s="10">
        <f>$B$6*G9</f>
        <v>3600000</v>
      </c>
    </row>
    <row r="12" spans="1:11" x14ac:dyDescent="0.35">
      <c r="A12" s="11" t="s">
        <v>367</v>
      </c>
      <c r="B12" s="11"/>
      <c r="C12" s="12">
        <f>C9-C10-C11</f>
        <v>0</v>
      </c>
      <c r="D12" s="12">
        <f>D9-D10-D11</f>
        <v>800000</v>
      </c>
      <c r="E12" s="12">
        <f>E9-E10-E11</f>
        <v>1200000</v>
      </c>
      <c r="F12" s="12">
        <f>F9-F10-F11</f>
        <v>1400000</v>
      </c>
      <c r="G12" s="12">
        <f>G9-G10-G11</f>
        <v>1600000</v>
      </c>
    </row>
    <row r="13" spans="1:11" x14ac:dyDescent="0.35">
      <c r="A13" t="s">
        <v>368</v>
      </c>
      <c r="C13" s="10">
        <f>$B$5*C12</f>
        <v>0</v>
      </c>
      <c r="D13" s="10">
        <f>$B$5*D12</f>
        <v>168000</v>
      </c>
      <c r="E13" s="10">
        <f>$B$5*E12</f>
        <v>252000</v>
      </c>
      <c r="F13" s="10">
        <f>$B$5*F12</f>
        <v>294000</v>
      </c>
      <c r="G13" s="10">
        <f>$B$5*G12</f>
        <v>336000</v>
      </c>
    </row>
    <row r="14" spans="1:11" x14ac:dyDescent="0.35">
      <c r="A14" s="11" t="s">
        <v>369</v>
      </c>
      <c r="B14" s="11"/>
      <c r="C14" s="12">
        <f>C12-C13</f>
        <v>0</v>
      </c>
      <c r="D14" s="12">
        <f>D12-D13</f>
        <v>632000</v>
      </c>
      <c r="E14" s="12">
        <f>E12-E13</f>
        <v>948000</v>
      </c>
      <c r="F14" s="12">
        <f>F12-F13</f>
        <v>1106000</v>
      </c>
      <c r="G14" s="12">
        <f>G12-G13</f>
        <v>1264000</v>
      </c>
    </row>
    <row r="15" spans="1:11" x14ac:dyDescent="0.35">
      <c r="A15" t="s">
        <v>370</v>
      </c>
      <c r="C15" s="10">
        <f>$K$6</f>
        <v>800000</v>
      </c>
      <c r="D15" s="10">
        <f>$K$6</f>
        <v>800000</v>
      </c>
      <c r="E15" s="10">
        <f>$K$6</f>
        <v>800000</v>
      </c>
      <c r="F15" s="10">
        <f>$K$6</f>
        <v>800000</v>
      </c>
      <c r="G15" s="10">
        <f>$K$6</f>
        <v>800000</v>
      </c>
    </row>
    <row r="16" spans="1:11" x14ac:dyDescent="0.35">
      <c r="A16" s="11" t="s">
        <v>371</v>
      </c>
      <c r="B16" s="11"/>
      <c r="C16" s="12">
        <f>C15+C14</f>
        <v>800000</v>
      </c>
      <c r="D16" s="12">
        <f>D15+D14</f>
        <v>1432000</v>
      </c>
      <c r="E16" s="12">
        <f>E15+E14</f>
        <v>1748000</v>
      </c>
      <c r="F16" s="12">
        <f>F15+F14</f>
        <v>1906000</v>
      </c>
      <c r="G16" s="12">
        <f>G15+G14</f>
        <v>2064000</v>
      </c>
    </row>
    <row r="17" spans="1:7" x14ac:dyDescent="0.35">
      <c r="A17" t="s">
        <v>361</v>
      </c>
      <c r="B17" s="10">
        <f>(B2)</f>
        <v>5000000</v>
      </c>
    </row>
    <row r="18" spans="1:7" x14ac:dyDescent="0.35">
      <c r="A18" t="s">
        <v>372</v>
      </c>
      <c r="G18" s="10">
        <f>B3</f>
        <v>1000000</v>
      </c>
    </row>
    <row r="19" spans="1:7" x14ac:dyDescent="0.35">
      <c r="A19" s="11" t="s">
        <v>373</v>
      </c>
      <c r="B19" s="12">
        <f>B17</f>
        <v>5000000</v>
      </c>
      <c r="C19" s="12">
        <f>C16</f>
        <v>800000</v>
      </c>
      <c r="D19" s="12">
        <f>D16</f>
        <v>1432000</v>
      </c>
      <c r="E19" s="12">
        <f>E16</f>
        <v>1748000</v>
      </c>
      <c r="F19" s="12">
        <f>F16</f>
        <v>1906000</v>
      </c>
      <c r="G19" s="12">
        <f>G16+G18</f>
        <v>3064000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34402-2B4F-4C98-9B9B-A96B13E26813}">
  <dimension ref="A1:G43"/>
  <sheetViews>
    <sheetView tabSelected="1" workbookViewId="0">
      <selection activeCell="J16" sqref="J16"/>
    </sheetView>
  </sheetViews>
  <sheetFormatPr defaultRowHeight="14.5" x14ac:dyDescent="0.35"/>
  <cols>
    <col min="1" max="1" width="21.453125" bestFit="1" customWidth="1"/>
    <col min="2" max="2" width="14.6328125" bestFit="1" customWidth="1"/>
    <col min="3" max="3" width="12.08984375" bestFit="1" customWidth="1"/>
    <col min="4" max="7" width="13.6328125" bestFit="1" customWidth="1"/>
  </cols>
  <sheetData>
    <row r="1" spans="1:7" x14ac:dyDescent="0.35">
      <c r="B1">
        <v>0</v>
      </c>
      <c r="C1">
        <v>1</v>
      </c>
      <c r="D1">
        <v>2</v>
      </c>
      <c r="E1">
        <v>3</v>
      </c>
      <c r="F1">
        <v>4</v>
      </c>
      <c r="G1">
        <v>5</v>
      </c>
    </row>
    <row r="2" spans="1:7" x14ac:dyDescent="0.35">
      <c r="A2" t="s">
        <v>345</v>
      </c>
      <c r="B2" s="2">
        <f>WACC!B47</f>
        <v>8.9186667750701651E-2</v>
      </c>
    </row>
    <row r="3" spans="1:7" x14ac:dyDescent="0.35">
      <c r="A3" s="11" t="s">
        <v>373</v>
      </c>
      <c r="B3" s="12">
        <f>-'Project Cash Flow'!B19</f>
        <v>-5000000</v>
      </c>
      <c r="C3" s="12">
        <f>'Project Cash Flow'!C19</f>
        <v>800000</v>
      </c>
      <c r="D3" s="12">
        <f>'Project Cash Flow'!D19</f>
        <v>1432000</v>
      </c>
      <c r="E3" s="12">
        <f>'Project Cash Flow'!E19</f>
        <v>1748000</v>
      </c>
      <c r="F3" s="12">
        <f>'Project Cash Flow'!F19</f>
        <v>1906000</v>
      </c>
      <c r="G3" s="12">
        <f>'Project Cash Flow'!G19</f>
        <v>3064000</v>
      </c>
    </row>
    <row r="4" spans="1:7" x14ac:dyDescent="0.35">
      <c r="B4" s="10">
        <f>B3</f>
        <v>-5000000</v>
      </c>
      <c r="C4" s="13">
        <f>C3/(1+$B$2)^C1</f>
        <v>734493.0154645521</v>
      </c>
      <c r="D4" s="13">
        <f t="shared" ref="D4:G4" si="0">D3/(1+$B$2)^D1</f>
        <v>1207086.4771018964</v>
      </c>
      <c r="E4" s="13">
        <f t="shared" si="0"/>
        <v>1352802.7524352826</v>
      </c>
      <c r="F4" s="13">
        <f t="shared" si="0"/>
        <v>1354296.1053140513</v>
      </c>
      <c r="G4" s="13">
        <f t="shared" si="0"/>
        <v>1998836.0680786893</v>
      </c>
    </row>
    <row r="6" spans="1:7" x14ac:dyDescent="0.35">
      <c r="A6" t="s">
        <v>383</v>
      </c>
      <c r="B6" s="14">
        <f>NPV(B2, C3:G3)</f>
        <v>6647514.4183944715</v>
      </c>
    </row>
    <row r="7" spans="1:7" x14ac:dyDescent="0.35">
      <c r="A7" t="s">
        <v>361</v>
      </c>
      <c r="B7" s="10">
        <f>B3</f>
        <v>-5000000</v>
      </c>
    </row>
    <row r="8" spans="1:7" x14ac:dyDescent="0.35">
      <c r="A8" s="11" t="s">
        <v>375</v>
      </c>
      <c r="B8" s="10">
        <f>SUM(B6:B7)</f>
        <v>1647514.4183944715</v>
      </c>
    </row>
    <row r="10" spans="1:7" x14ac:dyDescent="0.35">
      <c r="A10" s="11" t="s">
        <v>376</v>
      </c>
      <c r="B10" s="2">
        <f>IRR(B3:G3)</f>
        <v>0.1866974450871437</v>
      </c>
    </row>
    <row r="12" spans="1:7" x14ac:dyDescent="0.35">
      <c r="A12" s="11" t="s">
        <v>377</v>
      </c>
    </row>
    <row r="13" spans="1:7" x14ac:dyDescent="0.35">
      <c r="B13">
        <v>0</v>
      </c>
      <c r="C13">
        <v>1</v>
      </c>
      <c r="D13">
        <v>2</v>
      </c>
      <c r="E13">
        <v>3</v>
      </c>
      <c r="F13">
        <v>4</v>
      </c>
      <c r="G13">
        <v>5</v>
      </c>
    </row>
    <row r="14" spans="1:7" x14ac:dyDescent="0.35">
      <c r="B14" s="10">
        <f>B3</f>
        <v>-5000000</v>
      </c>
      <c r="C14" s="10">
        <f>B14+C3</f>
        <v>-4200000</v>
      </c>
      <c r="D14" s="10">
        <f t="shared" ref="D14:G14" si="1">C14+D3</f>
        <v>-2768000</v>
      </c>
      <c r="E14" s="10">
        <f t="shared" si="1"/>
        <v>-1020000</v>
      </c>
      <c r="F14" s="10">
        <f t="shared" si="1"/>
        <v>886000</v>
      </c>
      <c r="G14" s="10">
        <f t="shared" si="1"/>
        <v>3950000</v>
      </c>
    </row>
    <row r="16" spans="1:7" x14ac:dyDescent="0.35">
      <c r="A16" t="s">
        <v>380</v>
      </c>
      <c r="B16">
        <f>ABS(E14)</f>
        <v>1020000</v>
      </c>
    </row>
    <row r="17" spans="1:7" x14ac:dyDescent="0.35">
      <c r="A17" t="s">
        <v>381</v>
      </c>
      <c r="B17" s="10">
        <f>F3</f>
        <v>1906000</v>
      </c>
    </row>
    <row r="18" spans="1:7" x14ac:dyDescent="0.35">
      <c r="A18" t="s">
        <v>378</v>
      </c>
      <c r="B18">
        <f>B16/B17</f>
        <v>0.53515215110178382</v>
      </c>
    </row>
    <row r="19" spans="1:7" x14ac:dyDescent="0.35">
      <c r="A19" t="s">
        <v>379</v>
      </c>
      <c r="B19">
        <f>3+B18</f>
        <v>3.5351521511017836</v>
      </c>
    </row>
    <row r="22" spans="1:7" x14ac:dyDescent="0.35">
      <c r="A22" s="18" t="s">
        <v>382</v>
      </c>
      <c r="B22" s="18"/>
      <c r="C22" s="18"/>
      <c r="D22" s="18"/>
      <c r="E22" s="10"/>
      <c r="F22" s="10"/>
      <c r="G22" s="10"/>
    </row>
    <row r="23" spans="1:7" x14ac:dyDescent="0.35">
      <c r="A23" s="18" t="s">
        <v>384</v>
      </c>
      <c r="B23" s="18"/>
    </row>
    <row r="24" spans="1:7" x14ac:dyDescent="0.35">
      <c r="A24" s="11" t="s">
        <v>311</v>
      </c>
      <c r="B24" s="11" t="s">
        <v>375</v>
      </c>
    </row>
    <row r="25" spans="1:7" x14ac:dyDescent="0.35">
      <c r="A25" s="2">
        <v>7.0000000000000007E-2</v>
      </c>
      <c r="B25" s="10">
        <f>B8</f>
        <v>1647514.4183944715</v>
      </c>
    </row>
    <row r="26" spans="1:7" x14ac:dyDescent="0.35">
      <c r="A26" s="2">
        <v>7.4999999999999997E-2</v>
      </c>
      <c r="B26" s="16">
        <f t="dataTable" ref="B26:B33" dt2D="0" dtr="0" r1="B2"/>
        <v>1951882.8819920225</v>
      </c>
    </row>
    <row r="27" spans="1:7" x14ac:dyDescent="0.35">
      <c r="A27" s="2">
        <v>0.08</v>
      </c>
      <c r="B27" s="16">
        <v>1842342.5038576098</v>
      </c>
    </row>
    <row r="28" spans="1:7" x14ac:dyDescent="0.35">
      <c r="A28" s="2">
        <v>8.5000000000000006E-2</v>
      </c>
      <c r="B28" s="16">
        <v>1735290.2784612868</v>
      </c>
    </row>
    <row r="29" spans="1:7" x14ac:dyDescent="0.35">
      <c r="A29" s="2">
        <v>8.9200000000000002E-2</v>
      </c>
      <c r="B29" s="16">
        <v>1647237.5645383438</v>
      </c>
    </row>
    <row r="30" spans="1:7" x14ac:dyDescent="0.35">
      <c r="A30" s="2">
        <v>9.5000000000000001E-2</v>
      </c>
      <c r="B30" s="16">
        <v>1528370.4143883893</v>
      </c>
    </row>
    <row r="31" spans="1:7" x14ac:dyDescent="0.35">
      <c r="A31" s="2">
        <v>0.1</v>
      </c>
      <c r="B31" s="16">
        <v>1428368.6534079248</v>
      </c>
    </row>
    <row r="32" spans="1:7" x14ac:dyDescent="0.35">
      <c r="A32" s="2">
        <v>0.105</v>
      </c>
      <c r="B32" s="16">
        <v>1330586.623565522</v>
      </c>
    </row>
    <row r="33" spans="1:7" x14ac:dyDescent="0.35">
      <c r="A33" s="2">
        <v>0.11</v>
      </c>
      <c r="B33" s="16">
        <v>1234962.6855320623</v>
      </c>
    </row>
    <row r="34" spans="1:7" x14ac:dyDescent="0.35">
      <c r="A34" t="s">
        <v>385</v>
      </c>
    </row>
    <row r="35" spans="1:7" x14ac:dyDescent="0.35">
      <c r="A35" t="s">
        <v>310</v>
      </c>
      <c r="B35" s="15">
        <f>100%</f>
        <v>1</v>
      </c>
      <c r="C35" s="10">
        <f>'Project Cash Flow'!C9*'Financial Analysis'!$B$35</f>
        <v>2000000</v>
      </c>
      <c r="D35" s="10">
        <f>'Project Cash Flow'!D9*'Financial Analysis'!$B$35</f>
        <v>4000000</v>
      </c>
      <c r="E35" s="10">
        <f>'Project Cash Flow'!E9*'Financial Analysis'!$B$35</f>
        <v>5000000</v>
      </c>
      <c r="F35" s="10">
        <f>'Project Cash Flow'!F9*'Financial Analysis'!$B$35</f>
        <v>5500000</v>
      </c>
      <c r="G35" s="10">
        <f>'Project Cash Flow'!G9*'Financial Analysis'!$B$35</f>
        <v>6000000</v>
      </c>
    </row>
    <row r="36" spans="1:7" x14ac:dyDescent="0.35">
      <c r="A36" s="11" t="s">
        <v>311</v>
      </c>
      <c r="B36" s="11" t="s">
        <v>375</v>
      </c>
      <c r="C36" s="11" t="s">
        <v>376</v>
      </c>
    </row>
    <row r="37" spans="1:7" x14ac:dyDescent="0.35">
      <c r="A37" s="15">
        <f>100%</f>
        <v>1</v>
      </c>
      <c r="B37" s="10">
        <f>B8</f>
        <v>1647514.4183944715</v>
      </c>
      <c r="C37" s="2">
        <f>B10</f>
        <v>0.1866974450871437</v>
      </c>
    </row>
    <row r="38" spans="1:7" x14ac:dyDescent="0.35">
      <c r="A38" s="15">
        <f>90%</f>
        <v>0.9</v>
      </c>
      <c r="B38" s="16">
        <f t="dataTable" ref="B38:C43" dt2D="0" dtr="0" r1="B35"/>
        <v>1647514.4183944715</v>
      </c>
      <c r="C38" s="17">
        <v>0.1866974450871437</v>
      </c>
    </row>
    <row r="39" spans="1:7" x14ac:dyDescent="0.35">
      <c r="A39" s="15">
        <f>80%</f>
        <v>0.8</v>
      </c>
      <c r="B39" s="16">
        <v>1647514.4183944715</v>
      </c>
      <c r="C39" s="17">
        <v>0.1866974450871437</v>
      </c>
    </row>
    <row r="40" spans="1:7" x14ac:dyDescent="0.35">
      <c r="A40" s="15">
        <f>70%</f>
        <v>0.7</v>
      </c>
      <c r="B40" s="16">
        <v>1647514.4183944715</v>
      </c>
      <c r="C40" s="17">
        <v>0.1866974450871437</v>
      </c>
    </row>
    <row r="41" spans="1:7" x14ac:dyDescent="0.35">
      <c r="A41" s="15">
        <v>0.6</v>
      </c>
      <c r="B41" s="16">
        <v>1647514.4183944715</v>
      </c>
      <c r="C41" s="17">
        <v>0.1866974450871437</v>
      </c>
    </row>
    <row r="42" spans="1:7" x14ac:dyDescent="0.35">
      <c r="A42" s="15">
        <v>0.5</v>
      </c>
      <c r="B42" s="16">
        <v>1647514.4183944715</v>
      </c>
      <c r="C42" s="17">
        <v>0.1866974450871437</v>
      </c>
    </row>
    <row r="43" spans="1:7" x14ac:dyDescent="0.35">
      <c r="A43" s="15">
        <v>0.4</v>
      </c>
      <c r="B43" s="16">
        <v>1647514.4183944715</v>
      </c>
      <c r="C43" s="17">
        <v>0.1866974450871437</v>
      </c>
    </row>
  </sheetData>
  <mergeCells count="2">
    <mergeCell ref="A23:B23"/>
    <mergeCell ref="A22:D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Boeing Stock Price History (1)</vt:lpstr>
      <vt:lpstr>WACC</vt:lpstr>
      <vt:lpstr>Project Cash Flow</vt:lpstr>
      <vt:lpstr>Financial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2026-04-20T20:22:40Z</dcterms:created>
  <dcterms:modified xsi:type="dcterms:W3CDTF">2026-10-23T17:15:28Z</dcterms:modified>
</cp:coreProperties>
</file>